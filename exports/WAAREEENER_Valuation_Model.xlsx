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10F478C9-35DE-47D2-9FAD-37BC411AB8FD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23" l="1"/>
  <c r="C16" i="23"/>
  <c r="C15" i="23"/>
  <c r="C14" i="23"/>
  <c r="C13" i="23"/>
  <c r="C11" i="23"/>
  <c r="C10" i="23"/>
  <c r="B2" i="22"/>
  <c r="B2" i="20"/>
  <c r="T25" i="13"/>
  <c r="T26" i="13" s="1"/>
  <c r="T27" i="13" s="1"/>
  <c r="T28" i="13" s="1"/>
  <c r="Q25" i="13"/>
  <c r="Q26" i="13" s="1"/>
  <c r="Q27" i="13" s="1"/>
  <c r="Q28" i="13" s="1"/>
  <c r="M17" i="19"/>
  <c r="L17" i="19"/>
  <c r="K17" i="19"/>
  <c r="E17" i="19"/>
  <c r="D17" i="19"/>
  <c r="F17" i="19" s="1"/>
  <c r="Q17" i="19" s="1"/>
  <c r="B17" i="19"/>
  <c r="M16" i="19"/>
  <c r="L16" i="19"/>
  <c r="K16" i="19"/>
  <c r="E16" i="19"/>
  <c r="D16" i="19"/>
  <c r="F16" i="19" s="1"/>
  <c r="Q16" i="19" s="1"/>
  <c r="B16" i="19"/>
  <c r="M15" i="19"/>
  <c r="L15" i="19"/>
  <c r="K15" i="19"/>
  <c r="E15" i="19"/>
  <c r="D15" i="19"/>
  <c r="F15" i="19" s="1"/>
  <c r="Q15" i="19" s="1"/>
  <c r="B15" i="19"/>
  <c r="M14" i="19"/>
  <c r="L14" i="19"/>
  <c r="K14" i="19"/>
  <c r="E14" i="19"/>
  <c r="D14" i="19"/>
  <c r="F14" i="19" s="1"/>
  <c r="Q14" i="19" s="1"/>
  <c r="B14" i="19"/>
  <c r="M13" i="19"/>
  <c r="L13" i="19"/>
  <c r="K13" i="19"/>
  <c r="E13" i="19"/>
  <c r="D13" i="19"/>
  <c r="F13" i="19" s="1"/>
  <c r="Q13" i="19" s="1"/>
  <c r="B13" i="19"/>
  <c r="M12" i="19"/>
  <c r="L12" i="19"/>
  <c r="K12" i="19"/>
  <c r="E12" i="19"/>
  <c r="D12" i="19"/>
  <c r="F12" i="19" s="1"/>
  <c r="Q12" i="19" s="1"/>
  <c r="B12" i="19"/>
  <c r="D40" i="17"/>
  <c r="C36" i="23" s="1"/>
  <c r="D38" i="17"/>
  <c r="C34" i="23" s="1"/>
  <c r="D37" i="17"/>
  <c r="C33" i="23" s="1"/>
  <c r="D44" i="17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AS62" i="18"/>
  <c r="AS61" i="18"/>
  <c r="AS60" i="18"/>
  <c r="AS59" i="18"/>
  <c r="AS58" i="18"/>
  <c r="AS57" i="18"/>
  <c r="AW56" i="18"/>
  <c r="AU56" i="18"/>
  <c r="BA56" i="18"/>
  <c r="AZ56" i="18"/>
  <c r="AS56" i="18" s="1"/>
  <c r="AR56" i="18"/>
  <c r="AT56" i="18" s="1"/>
  <c r="M56" i="18"/>
  <c r="L56" i="18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AV56" i="18" s="1"/>
  <c r="J33" i="6"/>
  <c r="I33" i="6"/>
  <c r="H33" i="6"/>
  <c r="G33" i="6"/>
  <c r="F33" i="6"/>
  <c r="E33" i="6"/>
  <c r="D33" i="6"/>
  <c r="C33" i="6"/>
  <c r="B33" i="6"/>
  <c r="B6" i="6"/>
  <c r="N56" i="18" s="1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Q35" i="19" l="1"/>
  <c r="P35" i="19"/>
  <c r="O35" i="19"/>
  <c r="Q33" i="19"/>
  <c r="P33" i="19"/>
  <c r="O33" i="19"/>
  <c r="AT57" i="18"/>
  <c r="H12" i="19" s="1"/>
  <c r="G12" i="19"/>
  <c r="AT58" i="18"/>
  <c r="H13" i="19" s="1"/>
  <c r="G13" i="19"/>
  <c r="AT59" i="18"/>
  <c r="H14" i="19" s="1"/>
  <c r="G14" i="19"/>
  <c r="AT60" i="18"/>
  <c r="H15" i="19" s="1"/>
  <c r="G15" i="19"/>
  <c r="AT61" i="18"/>
  <c r="H16" i="19" s="1"/>
  <c r="G16" i="19"/>
  <c r="AT62" i="18"/>
  <c r="H17" i="19" s="1"/>
  <c r="G17" i="19"/>
  <c r="O12" i="14"/>
  <c r="O11" i="14"/>
  <c r="L9" i="14" s="1"/>
  <c r="L15" i="14" s="1"/>
  <c r="J15" i="15" s="1"/>
  <c r="C38" i="23"/>
  <c r="A5" i="23"/>
  <c r="Q28" i="19"/>
  <c r="Q27" i="19"/>
  <c r="Q26" i="19"/>
  <c r="Q32" i="19" s="1"/>
  <c r="Q34" i="19" s="1"/>
  <c r="Q37" i="19" s="1"/>
  <c r="Q39" i="19" s="1"/>
  <c r="Q25" i="19"/>
  <c r="C20" i="23" s="1"/>
  <c r="Q24" i="19"/>
  <c r="Q23" i="19"/>
  <c r="I12" i="19"/>
  <c r="P12" i="19"/>
  <c r="O12" i="19"/>
  <c r="J12" i="19"/>
  <c r="I13" i="19"/>
  <c r="P13" i="19"/>
  <c r="O13" i="19"/>
  <c r="J13" i="19"/>
  <c r="I14" i="19"/>
  <c r="P14" i="19"/>
  <c r="O14" i="19"/>
  <c r="J14" i="19"/>
  <c r="I15" i="19"/>
  <c r="P15" i="19"/>
  <c r="O15" i="19"/>
  <c r="J15" i="19"/>
  <c r="I16" i="19"/>
  <c r="P16" i="19"/>
  <c r="O16" i="19"/>
  <c r="J16" i="19"/>
  <c r="I17" i="19"/>
  <c r="P17" i="19"/>
  <c r="O17" i="19"/>
  <c r="J17" i="19"/>
  <c r="E66" i="20"/>
  <c r="E60" i="20"/>
  <c r="I44" i="16"/>
  <c r="J44" i="16"/>
  <c r="K44" i="16"/>
  <c r="L44" i="16"/>
  <c r="H44" i="16"/>
  <c r="I38" i="16"/>
  <c r="J38" i="16"/>
  <c r="K38" i="16"/>
  <c r="L38" i="16"/>
  <c r="H38" i="16"/>
  <c r="J18" i="18"/>
  <c r="K18" i="18"/>
  <c r="L18" i="18"/>
  <c r="M18" i="18"/>
  <c r="N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J28" i="19" l="1"/>
  <c r="J27" i="19"/>
  <c r="J26" i="19"/>
  <c r="J25" i="19"/>
  <c r="J24" i="19"/>
  <c r="J23" i="19"/>
  <c r="O28" i="19"/>
  <c r="O27" i="19"/>
  <c r="O26" i="19"/>
  <c r="O32" i="19" s="1"/>
  <c r="O34" i="19" s="1"/>
  <c r="O37" i="19" s="1"/>
  <c r="O39" i="19" s="1"/>
  <c r="O25" i="19"/>
  <c r="C18" i="23" s="1"/>
  <c r="O24" i="19"/>
  <c r="O23" i="19"/>
  <c r="P28" i="19"/>
  <c r="P27" i="19"/>
  <c r="P26" i="19"/>
  <c r="P32" i="19" s="1"/>
  <c r="P34" i="19" s="1"/>
  <c r="P37" i="19" s="1"/>
  <c r="P39" i="19" s="1"/>
  <c r="P25" i="19"/>
  <c r="C19" i="23" s="1"/>
  <c r="P24" i="19"/>
  <c r="P23" i="19"/>
  <c r="I28" i="19"/>
  <c r="I27" i="19"/>
  <c r="I26" i="19"/>
  <c r="I25" i="19"/>
  <c r="I24" i="19"/>
  <c r="I23" i="19"/>
  <c r="C105" i="9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3" i="22"/>
  <c r="B4" i="20"/>
  <c r="B3" i="20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E27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B22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78" i="20" l="1"/>
  <c r="I89" i="22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23" i="23" s="1"/>
  <c r="K15" i="15"/>
  <c r="C22" i="23" l="1"/>
  <c r="I90" i="22"/>
  <c r="F5" i="23"/>
  <c r="J20" i="15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24" i="23" s="1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23" i="23" l="1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10" i="17"/>
  <c r="L8" i="17"/>
  <c r="B25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24" i="23" l="1"/>
  <c r="K29" i="15"/>
  <c r="C12" i="23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26" i="23"/>
  <c r="C26" i="23"/>
  <c r="C25" i="23"/>
  <c r="K40" i="15"/>
  <c r="K46" i="15" s="1"/>
  <c r="C9" i="23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22" i="23" l="1"/>
  <c r="I12" i="17"/>
  <c r="E22" i="23" s="1"/>
  <c r="D20" i="17"/>
  <c r="C8" i="23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E5" i="23" l="1"/>
  <c r="D26" i="17"/>
  <c r="J14" i="17"/>
  <c r="F23" i="23" s="1"/>
  <c r="K14" i="17"/>
  <c r="F24" i="23" s="1"/>
  <c r="L14" i="17"/>
  <c r="F25" i="23" s="1"/>
  <c r="M14" i="17"/>
  <c r="F26" i="23" s="1"/>
  <c r="D21" i="17"/>
  <c r="M11" i="17" s="1"/>
  <c r="I14" i="17"/>
  <c r="F22" i="23" s="1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D26" i="23" l="1"/>
  <c r="M12" i="17"/>
  <c r="L11" i="17"/>
  <c r="K11" i="17"/>
  <c r="J11" i="17"/>
  <c r="O22" i="10"/>
  <c r="N22" i="10"/>
  <c r="C24" i="10"/>
  <c r="I16" i="17"/>
  <c r="G22" i="23" s="1"/>
  <c r="D23" i="23" l="1"/>
  <c r="J12" i="17"/>
  <c r="D24" i="23"/>
  <c r="K12" i="17"/>
  <c r="D25" i="23"/>
  <c r="L12" i="17"/>
  <c r="E26" i="23"/>
  <c r="D25" i="17"/>
  <c r="D29" i="17" s="1"/>
  <c r="M16" i="17"/>
  <c r="G26" i="23" s="1"/>
  <c r="O24" i="10"/>
  <c r="N24" i="10"/>
  <c r="D34" i="17" l="1"/>
  <c r="C31" i="23" s="1"/>
  <c r="C30" i="23"/>
  <c r="E25" i="23"/>
  <c r="L16" i="17"/>
  <c r="G25" i="23" s="1"/>
  <c r="E24" i="23"/>
  <c r="K16" i="17"/>
  <c r="G24" i="23" s="1"/>
  <c r="E23" i="23"/>
  <c r="J16" i="17"/>
  <c r="G23" i="23" l="1"/>
  <c r="D33" i="17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C29" i="23" l="1"/>
  <c r="D35" i="17"/>
  <c r="C32" i="23" l="1"/>
  <c r="D39" i="17"/>
  <c r="D42" i="17" l="1"/>
  <c r="C35" i="23"/>
  <c r="D45" i="17" l="1"/>
  <c r="C37" i="23"/>
  <c r="C39" i="23" s="1"/>
  <c r="B5" i="23"/>
  <c r="C5" i="23" s="1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<sst xmlns="http://schemas.openxmlformats.org/spreadsheetml/2006/main" count="17017" uniqueCount="8677">
  <si>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</si>
  <si>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</si>
  <si>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</si>
  <si>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</si>
  <si>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</si>
  <si>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</si>
  <si>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</si>
  <si>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</si>
  <si>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</si>
  <si>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</si>
  <si>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</si>
  <si>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</si>
  <si>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</si>
  <si>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</si>
  <si>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</si>
  <si>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</si>
  <si>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</si>
  <si>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</si>
  <si>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</si>
  <si>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</si>
  <si>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</si>
  <si>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</si>
  <si>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</si>
  <si>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</si>
  <si>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</si>
  <si>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</si>
  <si>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</si>
  <si>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</si>
  <si>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</si>
  <si>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</si>
  <si>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</si>
  <si>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</si>
  <si>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</si>
  <si>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</si>
  <si>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</si>
  <si>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</si>
  <si>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</si>
  <si>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</si>
  <si>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</si>
  <si>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</si>
  <si>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</si>
  <si>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</si>
  <si>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</si>
  <si>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</si>
  <si>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</si>
  <si>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</si>
  <si>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</si>
  <si>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</si>
  <si>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</si>
  <si>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</si>
  <si>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</si>
  <si>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</si>
  <si>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</si>
  <si>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</si>
  <si>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</si>
  <si>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</si>
  <si>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</si>
  <si>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</si>
  <si>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</si>
  <si>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</si>
  <si>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</si>
  <si>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</si>
  <si>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</si>
  <si>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</si>
  <si>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</si>
  <si>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</si>
  <si>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</si>
  <si>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</si>
  <si>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</si>
  <si>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</si>
  <si>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</si>
  <si>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</si>
  <si>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</si>
  <si>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</si>
  <si>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</si>
  <si>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</si>
  <si>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</si>
  <si>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</si>
  <si>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</si>
  <si>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</si>
  <si>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</si>
  <si>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</si>
  <si>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</si>
  <si>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</si>
  <si>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</si>
  <si>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</si>
  <si>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</si>
  <si>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</si>
  <si>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</si>
  <si>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</si>
  <si>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</si>
  <si>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</si>
  <si>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</si>
  <si>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</si>
  <si>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</si>
  <si>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</si>
  <si>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</si>
  <si>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</si>
  <si>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</si>
  <si>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</si>
  <si>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</si>
  <si>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</si>
  <si>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</si>
  <si>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</si>
  <si>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</si>
  <si>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</si>
  <si>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</si>
  <si>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</si>
  <si>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</si>
  <si>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</si>
  <si>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</si>
  <si>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</si>
  <si>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</si>
  <si>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</si>
  <si>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</si>
  <si>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</si>
  <si>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</si>
  <si>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</si>
  <si>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</si>
  <si>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</si>
  <si>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</si>
  <si>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</si>
  <si>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</si>
  <si>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</si>
  <si>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</si>
  <si>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</si>
  <si>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</si>
  <si>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</si>
  <si>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</si>
  <si>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</si>
  <si>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</si>
  <si>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</si>
  <si>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</si>
  <si>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</si>
  <si>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</si>
  <si>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</si>
  <si>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</si>
  <si>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</si>
  <si>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</si>
  <si>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</si>
  <si>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</si>
  <si>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</si>
  <si>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</si>
  <si>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</si>
  <si>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</si>
  <si>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</si>
  <si>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</si>
  <si>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</si>
  <si>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</si>
  <si>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</si>
  <si>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</si>
  <si>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</si>
  <si>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</si>
  <si>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</si>
  <si>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</si>
  <si>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</si>
  <si>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</si>
  <si>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</si>
  <si>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</si>
  <si>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</si>
  <si>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</si>
  <si>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</si>
  <si>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</si>
  <si>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</si>
  <si>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</si>
  <si>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</si>
  <si>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</si>
  <si>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</si>
  <si>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</si>
  <si>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</si>
  <si>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</si>
  <si>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</si>
  <si>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</si>
  <si>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</si>
  <si>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</si>
  <si>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</si>
  <si>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</si>
  <si>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</si>
  <si>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</si>
  <si>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</si>
  <si>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</si>
  <si>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</si>
  <si>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</si>
  <si>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</si>
  <si>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</si>
  <si>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</si>
  <si>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</si>
  <si>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</si>
  <si>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</si>
  <si>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</si>
  <si>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</si>
  <si>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</si>
  <si>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</si>
  <si>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</si>
  <si>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</si>
  <si>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</si>
  <si>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</si>
  <si>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</si>
  <si>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</si>
  <si>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</si>
  <si>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</si>
  <si>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</si>
  <si>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</si>
  <si>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</si>
  <si>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</si>
  <si>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</si>
  <si>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</si>
  <si>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</si>
  <si>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</si>
  <si>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</si>
  <si>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</si>
  <si>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</si>
  <si>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</si>
  <si>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</si>
  <si>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</si>
  <si>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</si>
  <si>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</si>
  <si>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</si>
  <si>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</si>
  <si>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</si>
  <si>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</si>
  <si>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</si>
  <si>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</si>
  <si>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</si>
  <si>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</si>
  <si>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</si>
  <si>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</si>
  <si>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</si>
  <si>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</si>
  <si>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</si>
  <si>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</si>
  <si>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</si>
  <si>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</si>
  <si>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</si>
  <si>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</si>
  <si>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</si>
  <si>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</si>
  <si>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</si>
  <si>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</si>
  <si>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</si>
  <si>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</si>
  <si>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</si>
  <si>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</si>
  <si>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</si>
  <si>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</si>
  <si>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</si>
  <si>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</si>
  <si>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</si>
  <si>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</si>
  <si>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</si>
  <si>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</si>
  <si>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</si>
  <si>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</si>
  <si>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</si>
  <si>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</si>
  <si>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</si>
  <si>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</si>
  <si>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</si>
  <si>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</si>
  <si>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</si>
  <si>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</si>
  <si>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</si>
  <si>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</si>
  <si>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</si>
  <si>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</si>
  <si>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</si>
  <si>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</si>
  <si>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</si>
  <si>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</si>
  <si>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</si>
  <si>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</si>
  <si>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</si>
  <si>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</si>
  <si>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</si>
  <si>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</si>
  <si>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</si>
  <si>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</si>
  <si>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</si>
  <si>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</si>
  <si>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</si>
  <si>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</si>
  <si>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</si>
  <si>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</si>
  <si>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</si>
  <si>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</si>
  <si>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</si>
  <si>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</si>
  <si>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</si>
  <si>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</si>
  <si>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</si>
  <si>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</si>
  <si>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</si>
  <si>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</si>
  <si>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</si>
  <si>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</si>
  <si>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</si>
  <si>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</si>
  <si>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</si>
  <si>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</si>
  <si>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</si>
  <si>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</si>
  <si>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</si>
  <si>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</si>
  <si>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</si>
  <si>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</si>
  <si>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</si>
  <si>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</si>
  <si>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</si>
  <si>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</si>
  <si>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</si>
  <si>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</si>
  <si>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</si>
  <si>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</si>
  <si>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</si>
  <si>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</si>
  <si>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</si>
  <si>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</si>
  <si>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</si>
  <si>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</si>
  <si>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</si>
  <si>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</si>
  <si>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</si>
  <si>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</si>
  <si>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</si>
  <si>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</si>
  <si>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</si>
  <si>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</si>
  <si>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</si>
  <si>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</si>
  <si>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</si>
  <si>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</si>
  <si>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</si>
  <si>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</si>
  <si>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</si>
  <si>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</si>
  <si>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</si>
  <si>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</si>
  <si>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</si>
  <si>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</si>
  <si>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</si>
  <si>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</si>
  <si>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</si>
  <si>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</si>
  <si>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</si>
  <si>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</si>
  <si>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</si>
  <si>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</si>
  <si>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</si>
  <si>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</si>
  <si>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</si>
  <si>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</si>
  <si>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</si>
  <si>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</si>
  <si>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</si>
  <si>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</si>
  <si>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</si>
  <si>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</si>
  <si>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</si>
  <si>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</si>
  <si>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</si>
  <si>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</si>
  <si>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</si>
  <si>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</si>
  <si>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</si>
  <si>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</si>
  <si>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</si>
  <si>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</si>
  <si>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</si>
  <si>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</si>
  <si>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</si>
  <si>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</si>
  <si>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</si>
  <si>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</si>
  <si>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</si>
  <si>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</si>
  <si>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</si>
  <si>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</si>
  <si>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</si>
  <si>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</si>
  <si>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</si>
  <si>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</si>
  <si>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</si>
  <si>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</si>
  <si>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</si>
  <si>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</si>
  <si>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</si>
  <si>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</si>
  <si>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</si>
  <si>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</si>
  <si>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</si>
  <si>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</si>
  <si>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</si>
  <si>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</si>
  <si>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</si>
  <si>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</si>
  <si>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</si>
  <si>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</si>
  <si>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</si>
  <si>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</si>
  <si>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</si>
  <si>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</si>
  <si>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</si>
  <si>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</si>
  <si>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</si>
  <si>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</si>
  <si>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</si>
  <si>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</si>
  <si>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</si>
  <si>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</si>
  <si>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</si>
  <si>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</si>
  <si>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</si>
  <si>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</si>
  <si>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</si>
  <si>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</si>
  <si>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</si>
  <si>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</si>
  <si>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</si>
  <si>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</si>
  <si>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</si>
  <si>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</si>
  <si>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</si>
  <si>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</si>
  <si>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</si>
  <si>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</si>
  <si>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</si>
  <si>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</si>
  <si>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</si>
  <si>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</si>
  <si>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</si>
  <si>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</si>
  <si>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</si>
  <si>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</si>
  <si>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</si>
  <si>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</si>
  <si>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</si>
  <si>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</si>
  <si>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</si>
  <si>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</si>
  <si>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</si>
  <si>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</si>
  <si>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</si>
  <si>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</si>
  <si>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</si>
  <si>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</si>
  <si>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</si>
  <si>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</si>
  <si>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</si>
  <si>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</si>
  <si>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</si>
  <si>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</si>
  <si>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</si>
  <si>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</si>
  <si>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</si>
  <si>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</si>
  <si>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</si>
  <si>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</si>
  <si>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</si>
  <si>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</si>
  <si>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</si>
  <si>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</si>
  <si>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</si>
  <si>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</si>
  <si>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</si>
  <si>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</si>
  <si>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</si>
  <si>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</si>
  <si>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</si>
  <si>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</si>
  <si>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</si>
  <si>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</si>
  <si>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</si>
  <si>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</si>
  <si>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</si>
  <si>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</si>
  <si>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</si>
  <si>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</si>
  <si>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</si>
  <si>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</si>
  <si>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</si>
  <si>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</si>
  <si>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</si>
  <si>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</si>
  <si>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</si>
  <si>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</si>
  <si>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</si>
  <si>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</si>
  <si>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</si>
  <si>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</si>
  <si>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</si>
  <si>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</si>
  <si>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</si>
  <si>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</si>
  <si>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</si>
  <si>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</si>
  <si>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</si>
  <si>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</si>
  <si>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</si>
  <si>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</si>
  <si>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</si>
  <si>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</si>
  <si>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</si>
  <si>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</si>
  <si>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</si>
  <si>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</si>
  <si>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</si>
  <si>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</si>
  <si>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</si>
  <si>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</si>
  <si>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</si>
  <si>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</si>
  <si>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</si>
  <si>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</si>
  <si>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</si>
  <si>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</si>
  <si>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</si>
  <si>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</si>
  <si>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</si>
  <si>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</si>
  <si>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</si>
  <si>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</si>
  <si>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</si>
  <si>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</si>
  <si>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</si>
  <si>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</si>
  <si>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</si>
  <si>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</si>
  <si>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</si>
  <si>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</si>
  <si>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</si>
  <si>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</si>
  <si>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</si>
  <si>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</si>
  <si>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</si>
  <si>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</si>
  <si>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</si>
  <si>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</si>
  <si>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</si>
  <si>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</si>
  <si>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</si>
  <si>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</si>
  <si>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</si>
  <si>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</si>
  <si>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</si>
  <si>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</si>
  <si>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</si>
  <si>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</si>
  <si>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</si>
  <si>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</si>
  <si>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</si>
  <si>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</si>
  <si>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</si>
  <si>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</si>
  <si>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</si>
  <si>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</si>
  <si>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</si>
  <si>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</si>
  <si>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</si>
  <si>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</si>
  <si>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</si>
  <si>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</si>
  <si>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</si>
  <si>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</si>
  <si>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</si>
  <si>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</si>
  <si>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</si>
  <si>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</si>
  <si>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</si>
  <si>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</si>
  <si>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</si>
  <si>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</si>
  <si>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</si>
  <si>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</si>
  <si>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</si>
  <si>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</si>
  <si>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</si>
  <si>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</si>
  <si>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</si>
  <si>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</si>
  <si>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</si>
  <si>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</si>
  <si>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</si>
  <si>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</si>
  <si>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</si>
  <si>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</si>
  <si>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</si>
  <si>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</si>
  <si>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</si>
  <si>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</si>
  <si>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</si>
  <si>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</si>
  <si>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</si>
  <si>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</si>
  <si>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</si>
  <si>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</si>
  <si>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</si>
  <si>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</si>
  <si>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</si>
  <si>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</si>
  <si>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</si>
  <si>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</si>
  <si>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</si>
  <si>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</si>
  <si>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</si>
  <si>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</si>
  <si>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</si>
  <si>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</si>
  <si>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</si>
  <si>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</si>
  <si>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</si>
  <si>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</si>
  <si>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</si>
  <si>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</si>
  <si>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</si>
  <si>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</si>
  <si>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</si>
  <si>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</si>
  <si>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</si>
  <si>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</si>
  <si>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</si>
  <si>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</si>
  <si>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</si>
  <si>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</si>
  <si>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</si>
  <si>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</si>
  <si>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</si>
  <si>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</si>
  <si>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</si>
  <si>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</si>
  <si>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</si>
  <si>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</si>
  <si>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</si>
  <si>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</si>
  <si>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</si>
  <si>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</si>
  <si>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</si>
  <si>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</si>
  <si>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</si>
  <si>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</si>
  <si>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</si>
  <si>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</si>
  <si>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</si>
  <si>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</si>
  <si>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</si>
  <si>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</si>
  <si>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</si>
  <si>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</si>
  <si>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</si>
  <si>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</si>
  <si>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</si>
  <si>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</si>
  <si>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</si>
  <si>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</si>
  <si>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</si>
  <si>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</si>
  <si>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</si>
  <si>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</si>
  <si>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</si>
  <si>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</si>
  <si>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</si>
  <si>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</si>
  <si>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</si>
  <si>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</si>
  <si>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</si>
  <si>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</si>
  <si>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</si>
  <si>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</si>
  <si>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</si>
  <si>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</si>
  <si>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</si>
  <si>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</si>
  <si>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</si>
  <si>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</si>
  <si>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</si>
  <si>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</si>
  <si>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</si>
  <si>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</si>
  <si>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</si>
  <si>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</si>
  <si>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</si>
  <si>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</si>
  <si>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</si>
  <si>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</si>
  <si>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</si>
  <si>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</si>
  <si>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</si>
  <si>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</si>
  <si>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</si>
  <si>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</si>
  <si>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</si>
  <si>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</si>
  <si>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</si>
  <si>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</si>
  <si>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</si>
  <si>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</si>
  <si>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</si>
  <si>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</si>
  <si>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</si>
  <si>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</si>
  <si>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</si>
  <si>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</si>
  <si>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</si>
  <si>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</si>
  <si>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</si>
  <si>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</si>
  <si>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</si>
  <si>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</si>
  <si>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</si>
  <si>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</si>
  <si>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</si>
  <si>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</si>
  <si>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</si>
  <si>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</si>
  <si>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</si>
  <si>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</si>
  <si>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</si>
  <si>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</si>
  <si>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</si>
  <si>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</si>
  <si>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</si>
  <si>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</si>
  <si>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</si>
  <si>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</si>
  <si>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</si>
  <si>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</si>
  <si>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</si>
  <si>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</si>
  <si>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</si>
  <si>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</si>
  <si>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</si>
  <si>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</si>
  <si>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</si>
  <si>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</si>
  <si>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</si>
  <si>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</si>
  <si>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</si>
  <si>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</si>
  <si>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</si>
  <si>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</si>
  <si>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</si>
  <si>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</si>
  <si>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</si>
  <si>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</si>
  <si>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</si>
  <si>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</si>
  <si>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</si>
  <si>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</si>
  <si>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</si>
  <si>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</si>
  <si>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</si>
  <si>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</si>
  <si>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</si>
  <si>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</si>
  <si>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</si>
  <si>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</si>
  <si>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</si>
  <si>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</si>
  <si>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</si>
  <si>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</si>
  <si>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</si>
  <si>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</si>
  <si>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</si>
  <si>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</si>
  <si>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</si>
  <si>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</si>
  <si>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</si>
  <si>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</si>
  <si>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</si>
  <si>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</si>
  <si>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</si>
  <si>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</si>
  <si>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</si>
  <si>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</si>
  <si>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</si>
  <si>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</si>
  <si>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</si>
  <si>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</si>
  <si>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</si>
  <si>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</si>
  <si>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</si>
  <si>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</si>
  <si>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</si>
  <si>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</si>
  <si>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</si>
  <si>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</si>
  <si>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</si>
  <si>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</si>
  <si>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</si>
  <si>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</si>
  <si>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</si>
  <si>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</si>
  <si>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</si>
  <si>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</si>
  <si>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</si>
  <si>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</si>
  <si>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</si>
  <si>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</si>
  <si>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</si>
  <si>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</si>
  <si>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</si>
  <si>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</si>
  <si>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</si>
  <si>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</si>
  <si>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</si>
  <si>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</si>
  <si>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</si>
  <si>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</si>
  <si>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</si>
  <si>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</si>
  <si>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</si>
  <si>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</si>
  <si>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</si>
  <si>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</si>
  <si>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</si>
  <si>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</si>
  <si>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</si>
  <si>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</si>
  <si>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</si>
  <si>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</si>
  <si>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</si>
  <si>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</si>
  <si>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</si>
  <si>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</si>
  <si>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</si>
  <si>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</si>
  <si>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</si>
  <si>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</si>
  <si>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</si>
  <si>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</si>
  <si>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</si>
  <si>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</si>
  <si>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</si>
  <si>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</si>
  <si>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</si>
  <si>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</si>
  <si>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</si>
  <si>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</si>
  <si>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</si>
  <si>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</si>
  <si>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</si>
  <si>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</si>
  <si>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</si>
  <si>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</si>
  <si>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</si>
  <si>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</si>
  <si>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</si>
  <si>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</si>
  <si>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</si>
  <si>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</si>
  <si>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</si>
  <si>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</si>
  <si>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</si>
  <si>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</si>
  <si>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</si>
  <si>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</si>
  <si>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</si>
  <si>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</si>
  <si>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</si>
  <si>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</si>
  <si>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</si>
  <si>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</si>
  <si>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</si>
  <si>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</si>
  <si>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</si>
  <si>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</si>
  <si>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</si>
  <si>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</si>
  <si>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</si>
  <si>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</si>
  <si>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</si>
  <si>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</si>
  <si>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</si>
  <si>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</si>
  <si>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</si>
  <si>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</si>
  <si>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</si>
  <si>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</si>
  <si>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</si>
  <si>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</si>
  <si>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</si>
  <si>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</si>
  <si>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</si>
  <si>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</si>
  <si>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</si>
  <si>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</si>
  <si>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</si>
  <si>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</si>
  <si>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</si>
  <si>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</si>
  <si>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</si>
  <si>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</si>
  <si>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</si>
  <si>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</si>
  <si>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</si>
  <si>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</si>
  <si>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</si>
  <si>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</si>
  <si>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</si>
  <si>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</si>
  <si>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</si>
  <si>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</si>
  <si>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</si>
  <si>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</si>
  <si>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</si>
  <si>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</si>
  <si>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</si>
  <si>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</si>
  <si>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</si>
  <si>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</si>
  <si>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</si>
  <si>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</si>
  <si>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</si>
  <si>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</si>
  <si>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</si>
  <si>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</si>
  <si>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</si>
  <si>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</si>
  <si>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</si>
  <si>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</si>
  <si>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</si>
  <si>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</si>
  <si>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</si>
  <si>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</si>
  <si>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</si>
  <si>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</si>
  <si>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</si>
  <si>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</si>
  <si>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</si>
  <si>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</si>
  <si>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</si>
  <si>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</si>
  <si>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</si>
  <si>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</si>
  <si>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</si>
  <si>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</si>
  <si>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</si>
  <si>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</si>
  <si>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</si>
  <si>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</si>
  <si>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</si>
  <si>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</si>
  <si>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</si>
  <si>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</si>
  <si>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</si>
  <si>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</si>
  <si>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</si>
  <si>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</si>
  <si>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</si>
  <si>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</si>
  <si>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</si>
  <si>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</si>
  <si>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</si>
  <si>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</si>
  <si>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</si>
  <si>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</si>
  <si>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</si>
  <si>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</si>
  <si>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</si>
  <si>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</si>
  <si>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</si>
  <si>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</si>
  <si>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</si>
  <si>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</si>
  <si>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</si>
  <si>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</si>
  <si>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</si>
  <si>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</si>
  <si>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</si>
  <si>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</si>
  <si>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</si>
  <si>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</si>
  <si>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</si>
  <si>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</si>
  <si>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</si>
  <si>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</si>
  <si>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</si>
  <si>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</si>
  <si>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</si>
  <si>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</si>
  <si>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</si>
  <si>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</si>
  <si>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</si>
  <si>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</si>
  <si>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</si>
  <si>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</si>
  <si>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</si>
  <si>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</si>
  <si>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</si>
  <si>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</si>
  <si>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</si>
  <si>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</si>
  <si>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</si>
  <si>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</si>
  <si>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</si>
  <si>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</si>
  <si>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</si>
  <si>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</si>
  <si>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</si>
  <si>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</si>
  <si>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</si>
  <si>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</si>
  <si>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</si>
  <si>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</si>
  <si>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</si>
  <si>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</si>
  <si>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</si>
  <si>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</si>
  <si>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</si>
  <si>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</si>
  <si>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</si>
  <si>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</si>
  <si>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</si>
  <si>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</si>
  <si>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</si>
  <si>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</si>
  <si>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</si>
  <si>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</si>
  <si>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</si>
  <si>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</si>
  <si>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</si>
  <si>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</si>
  <si>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</si>
  <si>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</si>
  <si>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</si>
  <si>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</si>
  <si>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</si>
  <si>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</si>
  <si>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</si>
  <si>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</si>
  <si>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</si>
  <si>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</si>
  <si>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</si>
  <si>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</si>
  <si>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</si>
  <si>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</si>
  <si>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</si>
  <si>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</si>
  <si>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</si>
  <si>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</si>
  <si>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</si>
  <si>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</si>
  <si>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</si>
  <si>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</si>
  <si>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</si>
  <si>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</si>
  <si>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</si>
  <si>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</si>
  <si>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</si>
  <si>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</si>
  <si>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</si>
  <si>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</si>
  <si>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</si>
  <si>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</si>
  <si>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</si>
  <si>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</si>
  <si>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</si>
  <si>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</si>
  <si>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</si>
  <si>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</si>
  <si>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</si>
  <si>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</si>
  <si>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</si>
  <si>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</si>
  <si>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</si>
  <si>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</si>
  <si>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</si>
  <si>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</si>
  <si>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</si>
  <si>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</si>
  <si>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</si>
  <si>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</si>
  <si>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</si>
  <si>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</si>
  <si>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</si>
  <si>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</si>
  <si>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</si>
  <si>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</si>
  <si>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</si>
  <si>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</si>
  <si>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</si>
  <si>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</si>
  <si>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</si>
  <si>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</si>
  <si>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</si>
  <si>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</si>
  <si>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</si>
  <si>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</si>
  <si>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</si>
  <si>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</si>
  <si>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</si>
  <si>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</si>
  <si>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</si>
  <si>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</si>
  <si>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</si>
  <si>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</si>
  <si>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</si>
  <si>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</si>
  <si>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</si>
  <si>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</si>
  <si>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</si>
  <si>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</si>
  <si>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</si>
  <si>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</si>
  <si>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</si>
  <si>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</si>
  <si>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</si>
  <si>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</si>
  <si>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</si>
  <si>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</si>
  <si>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</si>
  <si>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</si>
  <si>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</si>
  <si>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</si>
  <si>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</si>
  <si>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</si>
  <si>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</si>
  <si>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</si>
  <si>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</si>
  <si>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</si>
  <si>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</si>
  <si>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</si>
  <si>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</si>
  <si>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</si>
  <si>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</si>
  <si>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</si>
  <si>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</si>
  <si>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</si>
  <si>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</si>
  <si>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</si>
  <si>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</si>
  <si>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</si>
  <si>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</si>
  <si>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</si>
  <si>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</si>
  <si>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</si>
  <si>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</si>
  <si>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</si>
  <si>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</si>
  <si>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</si>
  <si>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</si>
  <si>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</si>
  <si>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</si>
  <si>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</si>
  <si>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</si>
  <si>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</si>
  <si>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</si>
  <si>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</si>
  <si>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</si>
  <si>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</si>
  <si>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</si>
  <si>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</si>
  <si>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</si>
  <si>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</si>
  <si>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</si>
  <si>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</si>
  <si>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</si>
  <si>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</si>
  <si>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</si>
  <si>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</si>
  <si>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</si>
  <si>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</si>
  <si>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</si>
  <si>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</si>
  <si>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</si>
  <si>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</si>
  <si>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</si>
  <si>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</si>
  <si>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</si>
  <si>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</si>
  <si>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</si>
  <si>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</si>
  <si>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</si>
  <si>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</si>
  <si>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</si>
  <si>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</si>
  <si>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</si>
  <si>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</si>
  <si>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</si>
  <si>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</si>
  <si>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</si>
  <si>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</si>
  <si>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</si>
  <si>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</si>
  <si>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</si>
  <si>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</si>
  <si>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</si>
  <si>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</si>
  <si>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</si>
  <si>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</si>
  <si>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</si>
  <si>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</si>
  <si>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</si>
  <si>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</si>
  <si>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</si>
  <si>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</si>
  <si>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</si>
  <si>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</si>
  <si>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</si>
  <si>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</si>
  <si>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</si>
  <si>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</si>
  <si>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</si>
  <si>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</si>
  <si>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</si>
  <si>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</si>
  <si>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</si>
  <si>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</si>
  <si>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</si>
  <si>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</si>
  <si>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</si>
  <si>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</si>
  <si>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</si>
  <si>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</si>
  <si>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</si>
  <si>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</si>
  <si>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</si>
  <si>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</si>
  <si>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</si>
  <si>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</si>
  <si>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</si>
  <si>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</si>
  <si>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</si>
  <si>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</si>
  <si>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</si>
  <si>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</si>
  <si>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</si>
  <si>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</si>
  <si>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</si>
  <si>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</si>
  <si>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</si>
  <si>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</si>
  <si>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</si>
  <si>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</si>
  <si>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</si>
  <si>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</si>
  <si>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</si>
  <si>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</si>
  <si>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</si>
  <si>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</si>
  <si>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</si>
  <si>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</si>
  <si>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</si>
  <si>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</si>
  <si>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</si>
  <si>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</si>
  <si>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</si>
  <si>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</si>
  <si>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</si>
  <si>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</si>
  <si>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</si>
  <si>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</si>
  <si>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</si>
  <si>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</si>
  <si>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</si>
  <si>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</si>
  <si>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</si>
  <si>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</si>
  <si>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</si>
  <si>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</si>
  <si>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</si>
  <si>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</si>
  <si>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</si>
  <si>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</si>
  <si>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</si>
  <si>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</si>
  <si>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</si>
  <si>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</si>
  <si>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</si>
  <si>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</si>
  <si>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</si>
  <si>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</si>
  <si>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</si>
  <si>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</si>
  <si>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</si>
  <si>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</si>
  <si>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</si>
  <si>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</si>
  <si>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</si>
  <si>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</si>
  <si>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</si>
  <si>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</si>
  <si>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</si>
  <si>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</si>
  <si>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</si>
  <si>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</si>
  <si>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</si>
  <si>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</si>
  <si>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</si>
  <si>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</si>
  <si>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</si>
  <si>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</si>
  <si>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</si>
  <si>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</si>
  <si>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</si>
  <si>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</si>
  <si>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</si>
  <si>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</si>
  <si>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</si>
  <si>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</si>
  <si>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</si>
  <si>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</si>
  <si>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</si>
  <si>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</si>
  <si>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</si>
  <si>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</si>
  <si>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</si>
  <si>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</si>
  <si>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</si>
  <si>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</si>
  <si>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</si>
  <si>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</si>
  <si>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</si>
  <si>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</si>
  <si>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</si>
  <si>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</si>
  <si>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</si>
  <si>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</si>
  <si>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</si>
  <si>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</si>
  <si>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</si>
  <si>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</si>
  <si>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</si>
  <si>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</si>
  <si>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</si>
  <si>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</si>
  <si>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</si>
  <si>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</si>
  <si>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</si>
  <si>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</si>
  <si>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</si>
  <si>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</si>
  <si>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</si>
  <si>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</si>
  <si>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</si>
  <si>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</si>
  <si>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</si>
  <si>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</si>
  <si>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</si>
  <si>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</si>
  <si>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</si>
  <si>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</si>
  <si>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</si>
  <si>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</si>
  <si>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</si>
  <si>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</si>
  <si>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</si>
  <si>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</si>
  <si>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</si>
  <si>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</si>
  <si>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</si>
  <si>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</si>
  <si>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</si>
  <si>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</si>
  <si>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</si>
  <si>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</si>
  <si>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</si>
  <si>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</si>
  <si>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</si>
  <si>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</si>
  <si>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</si>
  <si>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</si>
  <si>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</si>
  <si>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</si>
  <si>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</si>
  <si>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</si>
  <si>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</si>
  <si>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</si>
  <si>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</si>
  <si>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</si>
  <si>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</si>
  <si>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</si>
  <si>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</si>
  <si>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</si>
  <si>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</si>
  <si>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</si>
  <si>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</si>
  <si>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</si>
  <si>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</si>
  <si>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</si>
  <si>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</si>
  <si>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</si>
  <si>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</si>
  <si>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</si>
  <si>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</si>
  <si>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</si>
  <si>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</si>
  <si>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</si>
  <si>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</si>
  <si>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</si>
  <si>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</si>
  <si>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</si>
  <si>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</si>
  <si>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</si>
  <si>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</si>
  <si>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</si>
  <si>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</si>
  <si>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</si>
  <si>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</si>
  <si>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</si>
  <si>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</si>
  <si>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</si>
  <si>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</si>
  <si>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</si>
  <si>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</si>
  <si>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</si>
  <si>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</si>
  <si>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</si>
  <si>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</si>
  <si>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</si>
  <si>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</si>
  <si>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</si>
  <si>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</si>
  <si>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</si>
  <si>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</si>
  <si>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</si>
  <si>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</si>
  <si>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</si>
  <si>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</si>
  <si>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</si>
  <si>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</si>
  <si>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</si>
  <si>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</si>
  <si>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</si>
  <si>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</si>
  <si>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</si>
  <si>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</si>
  <si>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</si>
  <si>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</si>
  <si>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</si>
  <si>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</si>
  <si>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</si>
  <si>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</si>
  <si>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</si>
  <si>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</si>
  <si>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</si>
  <si>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</si>
  <si>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</si>
  <si>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</si>
  <si>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</si>
  <si>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</si>
  <si>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</si>
  <si>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</si>
  <si>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</si>
  <si>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</si>
  <si>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</si>
  <si>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</si>
  <si>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</si>
  <si>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</si>
  <si>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</si>
  <si>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</si>
  <si>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</si>
  <si>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</si>
  <si>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</si>
  <si>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</si>
  <si>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</si>
  <si>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</si>
  <si>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</si>
  <si>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</si>
  <si>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</si>
  <si>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</si>
  <si>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</si>
  <si>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</si>
  <si>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</si>
  <si>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</si>
  <si>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</si>
  <si>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</si>
  <si>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</si>
  <si>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</si>
  <si>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</si>
  <si>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</si>
  <si>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</si>
  <si>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</si>
  <si>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</si>
  <si>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</si>
  <si>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</si>
  <si>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</si>
  <si>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</si>
  <si>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</si>
  <si>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</si>
  <si>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</si>
  <si>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</si>
  <si>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</si>
  <si>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</si>
  <si>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</si>
  <si>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</si>
  <si>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</si>
  <si>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</si>
  <si>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</si>
  <si>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</si>
  <si>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</si>
  <si>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</si>
  <si>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</si>
  <si>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</si>
  <si>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</si>
  <si>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</si>
  <si>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</si>
  <si>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</si>
  <si>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</si>
  <si>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</si>
  <si>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</si>
  <si>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</si>
  <si>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</si>
  <si>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</si>
  <si>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</si>
  <si>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</si>
  <si>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</si>
  <si>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</si>
  <si>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</si>
  <si>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</si>
  <si>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</si>
  <si>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</si>
  <si>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</si>
  <si>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</si>
  <si>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</si>
  <si>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</si>
  <si>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</si>
  <si>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</si>
  <si>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</si>
  <si>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</si>
  <si>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</si>
  <si>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</si>
  <si>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</si>
  <si>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</si>
  <si>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</si>
  <si>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</si>
  <si>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</si>
  <si>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</si>
  <si>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</si>
  <si>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</si>
  <si>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</si>
  <si>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</si>
  <si>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</si>
  <si>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</si>
  <si>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</si>
  <si>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</si>
  <si>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</si>
  <si>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</si>
  <si>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</si>
  <si>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</si>
  <si>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</si>
  <si>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</si>
  <si>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</si>
  <si>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</si>
  <si>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</si>
  <si>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</si>
  <si>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</si>
  <si>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</si>
  <si>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</si>
  <si>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</si>
  <si>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</si>
  <si>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</si>
  <si>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</si>
  <si>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</si>
  <si>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</si>
  <si>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</si>
  <si>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</si>
  <si>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</si>
  <si>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</si>
  <si>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</si>
  <si>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</si>
  <si>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</si>
  <si>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</si>
  <si>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</si>
  <si>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</si>
  <si>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</si>
  <si>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</si>
  <si>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</si>
  <si>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</si>
  <si>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</si>
  <si>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</si>
  <si>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</si>
  <si>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</si>
  <si>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</si>
  <si>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</si>
  <si>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</si>
  <si>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</si>
  <si>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</si>
  <si>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</si>
  <si>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</si>
  <si>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</si>
  <si>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</si>
  <si>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</si>
  <si>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</si>
  <si>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</si>
  <si>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</si>
  <si>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</si>
  <si>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</si>
  <si>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</si>
  <si>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</si>
  <si>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</si>
  <si>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</si>
  <si>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</si>
  <si>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</si>
  <si>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</si>
  <si>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</si>
  <si>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</si>
  <si>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</si>
  <si>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</si>
  <si>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</si>
  <si>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</si>
  <si>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</si>
  <si>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</si>
  <si>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</si>
  <si>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</si>
  <si>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</si>
  <si>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</si>
  <si>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</si>
  <si>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</si>
  <si>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</si>
  <si>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</si>
  <si>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</si>
  <si>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</si>
  <si>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</si>
  <si>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</si>
  <si>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</si>
  <si>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</si>
  <si>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</si>
  <si>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</si>
  <si>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</si>
  <si>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</si>
  <si>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</si>
  <si>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</si>
  <si>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</si>
  <si>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</si>
  <si>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</si>
  <si>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</si>
  <si>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</si>
  <si>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</si>
  <si>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</si>
  <si>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</si>
  <si>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</si>
  <si>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</si>
  <si>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</si>
  <si>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</si>
  <si>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</si>
  <si>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</si>
  <si>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</si>
  <si>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</si>
  <si>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</si>
  <si>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</si>
  <si>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</si>
  <si>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</si>
  <si>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</si>
  <si>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</si>
  <si>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</si>
  <si>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</si>
  <si>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</si>
  <si>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</si>
  <si>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</si>
  <si>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</si>
  <si>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</si>
  <si>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</si>
  <si>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</si>
  <si>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</si>
  <si>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</si>
  <si>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</si>
  <si>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</si>
  <si>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</si>
  <si>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</si>
  <si>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</si>
  <si>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</si>
  <si>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</si>
  <si>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</si>
  <si>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</si>
  <si>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</si>
  <si>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</si>
  <si>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</si>
  <si>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</si>
  <si>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</si>
  <si>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</si>
  <si>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</si>
  <si>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</si>
  <si>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</si>
  <si>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</si>
  <si>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</si>
  <si>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</si>
  <si>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</si>
  <si>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</si>
  <si>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</si>
  <si>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</si>
  <si>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</si>
  <si>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</si>
  <si>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</si>
  <si>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</si>
  <si>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</si>
  <si>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</si>
  <si>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</si>
  <si>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</si>
  <si>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</si>
  <si>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</si>
  <si>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</si>
  <si>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</si>
  <si>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</si>
  <si>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</si>
  <si>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</si>
  <si>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</si>
  <si>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</si>
  <si>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</si>
  <si>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</si>
  <si>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</si>
  <si>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</si>
  <si>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</si>
  <si>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</si>
  <si>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</si>
  <si>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</si>
  <si>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</si>
  <si>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</si>
  <si>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</si>
  <si>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</si>
  <si>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</si>
  <si>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</si>
  <si>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</si>
  <si>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</si>
  <si>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</si>
  <si>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</si>
  <si>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</si>
  <si>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</si>
  <si>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</si>
  <si>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</si>
  <si>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</si>
  <si>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</si>
  <si>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</si>
  <si>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</si>
  <si>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</si>
  <si>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</si>
  <si>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</si>
  <si>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</si>
  <si>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</si>
  <si>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</si>
  <si>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</si>
  <si>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</si>
  <si>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</si>
  <si>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</si>
  <si>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</si>
  <si>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</si>
  <si>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</si>
  <si>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</si>
  <si>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</si>
  <si>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</si>
  <si>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</si>
  <si>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</si>
  <si>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</si>
  <si>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</si>
  <si>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</si>
  <si>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</si>
  <si>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</si>
  <si>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</si>
  <si>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</si>
  <si>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</si>
  <si>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</si>
  <si>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</si>
  <si>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</si>
  <si>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</si>
  <si>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</si>
  <si>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</si>
  <si>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</si>
  <si>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</si>
  <si>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</si>
  <si>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</si>
  <si>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</si>
  <si>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</si>
  <si>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</si>
  <si>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</si>
  <si>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</si>
  <si>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</si>
  <si>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</si>
  <si>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</si>
  <si>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</si>
  <si>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</si>
  <si>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</si>
  <si>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</si>
  <si>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</si>
  <si>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</si>
  <si>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</si>
  <si>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</si>
  <si>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</si>
  <si>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</si>
  <si>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</si>
  <si>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</si>
  <si>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</si>
  <si>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</si>
  <si>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</si>
  <si>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</si>
  <si>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</si>
  <si>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</si>
  <si>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</si>
  <si>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</si>
  <si>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</si>
  <si>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</si>
  <si>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</si>
  <si>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</si>
  <si>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</si>
  <si>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</si>
  <si>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</si>
  <si>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</si>
  <si>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</si>
  <si>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</si>
  <si>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</si>
  <si>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</si>
  <si>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</si>
  <si>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</si>
  <si>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</si>
  <si>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</si>
  <si>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</si>
  <si>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</si>
  <si>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</si>
  <si>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</si>
  <si>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</si>
  <si>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</si>
  <si>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</si>
  <si>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</si>
  <si>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</si>
  <si>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</si>
  <si>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</si>
  <si>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</si>
  <si>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</si>
  <si>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</si>
  <si>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</si>
  <si>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</si>
  <si>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</si>
  <si>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</si>
  <si>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</si>
  <si>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</si>
  <si>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</si>
  <si>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</si>
  <si>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</si>
  <si>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</si>
  <si>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</si>
  <si>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</si>
  <si>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</si>
  <si>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</si>
  <si>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</si>
  <si>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</si>
  <si>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</si>
  <si>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</si>
  <si>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</si>
  <si>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</si>
  <si>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</si>
  <si>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</si>
  <si>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</si>
  <si>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</si>
  <si>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</si>
  <si>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</si>
  <si>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</si>
  <si>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</si>
  <si>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</si>
  <si>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</si>
  <si>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</si>
  <si>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</si>
  <si>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</si>
  <si>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</si>
  <si>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</si>
  <si>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</si>
  <si>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</si>
  <si>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</si>
  <si>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</si>
  <si>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</si>
  <si>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</si>
  <si>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</si>
  <si>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</si>
  <si>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</si>
  <si>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</si>
  <si>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</si>
  <si>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</si>
  <si>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</si>
  <si>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</si>
  <si>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</si>
  <si>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</si>
  <si>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</si>
  <si>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</si>
  <si>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</si>
  <si>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</si>
  <si>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</si>
  <si>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</si>
  <si>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</si>
  <si>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</si>
  <si>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</si>
  <si>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</si>
  <si>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</si>
  <si>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</si>
  <si>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</si>
  <si>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</si>
  <si>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</si>
  <si>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</si>
  <si>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</si>
  <si>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</si>
  <si>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</si>
  <si>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</si>
  <si>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</si>
  <si>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</si>
  <si>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</si>
  <si>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</si>
  <si>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</si>
  <si>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</si>
  <si>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</si>
  <si>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</si>
  <si>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</si>
  <si>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</si>
  <si>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</si>
  <si>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</si>
  <si>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</si>
  <si>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</si>
  <si>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</si>
  <si>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</si>
  <si>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</si>
  <si>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</si>
  <si>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</si>
  <si>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</si>
  <si>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</si>
  <si>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</si>
  <si>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</si>
  <si>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</si>
  <si>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</si>
  <si>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</si>
  <si>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</si>
  <si>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</si>
  <si>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</si>
  <si>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</si>
  <si>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</si>
  <si>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</si>
  <si>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</si>
  <si>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</si>
  <si>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</si>
  <si>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</si>
  <si>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</si>
  <si>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</si>
  <si>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</si>
  <si>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</si>
  <si>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</si>
  <si>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</si>
  <si>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</si>
  <si>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</si>
  <si>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</si>
  <si>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</si>
  <si>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</si>
  <si>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</si>
  <si>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</si>
  <si>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</si>
  <si>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</si>
  <si>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</si>
  <si>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</si>
  <si>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</si>
  <si>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</si>
  <si>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</si>
  <si>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</si>
  <si>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</si>
  <si>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</si>
  <si>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</si>
  <si>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</si>
  <si>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</si>
  <si>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</si>
  <si>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</si>
  <si>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</si>
  <si>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</si>
  <si>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</si>
  <si>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</si>
  <si>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</si>
  <si>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</si>
  <si>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</si>
  <si>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</si>
  <si>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</si>
  <si>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</si>
  <si>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</si>
  <si>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</si>
  <si>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</si>
  <si>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</si>
  <si>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</si>
  <si>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</si>
  <si>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</si>
  <si>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</si>
  <si>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</si>
  <si>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</si>
  <si>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</si>
  <si>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</si>
  <si>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</si>
  <si>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</si>
  <si>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</si>
  <si>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</si>
  <si>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</si>
  <si>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</si>
  <si>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</si>
  <si>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</si>
  <si>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</si>
  <si>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</si>
  <si>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</si>
  <si>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</si>
  <si>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</si>
  <si>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</si>
  <si>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</si>
  <si>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</si>
  <si>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</si>
  <si>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</si>
  <si>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</si>
  <si>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</si>
  <si>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</si>
  <si>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</si>
  <si>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</si>
  <si>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</si>
  <si>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</si>
  <si>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</si>
  <si>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</si>
  <si>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</si>
  <si>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</si>
  <si>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</si>
  <si>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</si>
  <si>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</si>
  <si>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</si>
  <si>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</si>
  <si>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</si>
  <si>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</si>
  <si>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</si>
  <si>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</si>
  <si>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</si>
  <si>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</si>
  <si>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</si>
  <si>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</si>
  <si>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</si>
  <si>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</si>
  <si>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</si>
  <si>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</si>
  <si>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</si>
  <si>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</si>
  <si>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</si>
  <si>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</si>
  <si>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</si>
  <si>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</si>
  <si>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</si>
  <si>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</si>
  <si>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</si>
  <si>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</si>
  <si>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</si>
  <si>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</si>
  <si>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</si>
  <si>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</si>
  <si>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</si>
  <si>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</si>
  <si>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</si>
  <si>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</si>
  <si>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</si>
  <si>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</si>
  <si>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</si>
  <si>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</si>
  <si>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</si>
  <si>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</si>
  <si>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</si>
  <si>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</si>
  <si>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</si>
  <si>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</si>
  <si>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</si>
  <si>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</si>
  <si>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</si>
  <si>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</si>
  <si>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</si>
  <si>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</si>
  <si>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</si>
  <si>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</si>
  <si>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</si>
  <si>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</si>
  <si>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</si>
  <si>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</si>
  <si>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</si>
  <si>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</si>
  <si>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</si>
  <si>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</si>
  <si>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</si>
  <si>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</si>
  <si>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</si>
  <si>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</si>
  <si>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</si>
  <si>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</si>
  <si>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</si>
  <si>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</si>
  <si>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</si>
  <si>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</si>
  <si>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</si>
  <si>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</si>
  <si>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</si>
  <si>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</si>
  <si>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</si>
  <si>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</si>
  <si>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</si>
  <si>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</si>
  <si>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</si>
  <si>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</si>
  <si>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</si>
  <si>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</si>
  <si>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</si>
  <si>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</si>
  <si>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</si>
  <si>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</si>
  <si>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</si>
  <si>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</si>
  <si>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</si>
  <si>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</si>
  <si>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</si>
  <si>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</si>
  <si>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</si>
  <si>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</si>
  <si>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</si>
  <si>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</si>
  <si>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</si>
  <si>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</si>
  <si>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</si>
  <si>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</si>
  <si>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</si>
  <si>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</si>
  <si>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</si>
  <si>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</si>
  <si>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</si>
  <si>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</si>
  <si>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</si>
  <si>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</si>
  <si>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</si>
  <si>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</si>
  <si>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</si>
  <si>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</si>
  <si>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</si>
  <si>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</si>
  <si>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</si>
  <si>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</si>
  <si>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</si>
  <si>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</si>
  <si>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</si>
  <si>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</si>
  <si>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</si>
  <si>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</si>
  <si>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</si>
  <si>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</si>
  <si>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</si>
  <si>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</si>
  <si>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</si>
  <si>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</si>
  <si>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</si>
  <si>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</si>
  <si>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</si>
  <si>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</si>
  <si>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</si>
  <si>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</si>
  <si>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</si>
  <si>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</si>
  <si>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</si>
  <si>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</si>
  <si>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</si>
  <si>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</si>
  <si>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</si>
  <si>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</si>
  <si>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</si>
  <si>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</si>
  <si>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</si>
  <si>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</si>
  <si>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</si>
  <si>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</si>
  <si>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</si>
  <si>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</si>
  <si>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</si>
  <si>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</si>
  <si>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</si>
  <si>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</si>
  <si>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</si>
  <si>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</si>
  <si>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</si>
  <si>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</si>
  <si>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</si>
  <si>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</si>
  <si>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</si>
  <si>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</si>
  <si>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</si>
  <si>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</si>
  <si>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</si>
  <si>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</si>
  <si>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</si>
  <si>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</si>
  <si>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</si>
  <si>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</si>
  <si>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</si>
  <si>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</si>
  <si>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</si>
  <si>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</si>
  <si>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</si>
  <si>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</si>
  <si>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</si>
  <si>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</si>
  <si>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</si>
  <si>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</si>
  <si>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</si>
  <si>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</si>
  <si>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</si>
  <si>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</si>
  <si>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</si>
  <si>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</si>
  <si>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</si>
  <si>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</si>
  <si>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</si>
  <si>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</si>
  <si>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</si>
  <si>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</si>
  <si>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</si>
  <si>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</si>
  <si>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</si>
  <si>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</si>
  <si>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</si>
  <si>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</si>
  <si>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</si>
  <si>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</si>
  <si>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</si>
  <si>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</si>
  <si>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</si>
  <si>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</si>
  <si>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</si>
  <si>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</si>
  <si>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</si>
  <si>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</si>
  <si>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</si>
  <si>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</si>
  <si>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</si>
  <si>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</si>
  <si>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</si>
  <si>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</si>
  <si>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</si>
  <si>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</si>
  <si>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</si>
  <si>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</si>
  <si>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</si>
  <si>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</si>
  <si>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</si>
  <si>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</si>
  <si>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</si>
  <si>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</si>
  <si>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</si>
  <si>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</si>
  <si>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</si>
  <si>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</si>
  <si>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</si>
  <si>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</si>
  <si>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</si>
  <si>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</si>
  <si>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</si>
  <si>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</si>
  <si>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</si>
  <si>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</si>
  <si>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</si>
  <si>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</si>
  <si>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</si>
  <si>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</si>
  <si>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</si>
  <si>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</si>
  <si>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</si>
  <si>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</si>
  <si>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</si>
  <si>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</si>
  <si>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</si>
  <si>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</si>
  <si>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</si>
  <si>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</si>
  <si>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</si>
  <si>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</si>
  <si>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</si>
  <si>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</si>
  <si>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</si>
  <si>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</si>
  <si>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</si>
  <si>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</si>
  <si>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</si>
  <si>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</si>
  <si>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</si>
  <si>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</si>
  <si>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</si>
  <si>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</si>
  <si>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</si>
  <si>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</si>
  <si>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</si>
  <si>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</si>
  <si>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</si>
  <si>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</si>
  <si>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</si>
  <si>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</si>
  <si>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</si>
  <si>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</si>
  <si>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</si>
  <si>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</si>
  <si>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</si>
  <si>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</si>
  <si>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</si>
  <si>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</si>
  <si>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</si>
  <si>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</si>
  <si>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</si>
  <si>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</si>
  <si>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</si>
  <si>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</si>
  <si>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</si>
  <si>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</si>
  <si>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</si>
  <si>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</si>
  <si>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</si>
  <si>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</si>
  <si>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</si>
  <si>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</si>
  <si>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</si>
  <si>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</si>
  <si>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</si>
  <si>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</si>
  <si>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</si>
  <si>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</si>
  <si>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</si>
  <si>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</si>
  <si>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</si>
  <si>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</si>
  <si>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</si>
  <si>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</si>
  <si>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</si>
  <si>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</si>
  <si>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</si>
  <si>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</si>
  <si>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</si>
  <si>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</si>
  <si>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</si>
  <si>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</si>
  <si>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</si>
  <si>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</si>
  <si>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</si>
  <si>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</si>
  <si>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</si>
  <si>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</si>
  <si>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</si>
  <si>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</si>
  <si>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</si>
  <si>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</si>
  <si>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</si>
  <si>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</si>
  <si>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</si>
  <si>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</si>
  <si>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</si>
  <si>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</si>
  <si>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</si>
  <si>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</si>
  <si>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</si>
  <si>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</si>
  <si>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</si>
  <si>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</si>
  <si>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</si>
  <si>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</si>
  <si>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</si>
  <si>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</si>
  <si>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</si>
  <si>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</si>
  <si>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</si>
  <si>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</si>
  <si>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</si>
  <si>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</si>
  <si>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</si>
  <si>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</si>
  <si>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</si>
  <si>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</si>
  <si>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</si>
  <si>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</si>
  <si>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</si>
  <si>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</si>
  <si>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</si>
  <si>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</si>
  <si>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</si>
  <si>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</si>
  <si>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</si>
  <si>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</si>
  <si>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</si>
  <si>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</si>
  <si>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</si>
  <si>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</si>
  <si>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</si>
  <si>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</si>
  <si>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</si>
  <si>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</si>
  <si>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</si>
  <si>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</si>
  <si>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</si>
  <si>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</si>
  <si>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</si>
  <si>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</si>
  <si>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</si>
  <si>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</si>
  <si>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</si>
  <si>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</si>
  <si>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</si>
  <si>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</si>
  <si>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</si>
  <si>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</si>
  <si>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</si>
  <si>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</si>
  <si>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</si>
  <si>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</si>
  <si>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</si>
  <si>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</si>
  <si>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</si>
  <si>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</si>
  <si>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</si>
  <si>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</si>
  <si>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</si>
  <si>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</si>
  <si>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</si>
  <si>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</si>
  <si>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</si>
  <si>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</si>
  <si>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</si>
  <si>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</si>
  <si>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</si>
  <si>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</si>
  <si>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</si>
  <si>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</si>
  <si>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</si>
  <si>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</si>
  <si>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</si>
  <si>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</si>
  <si>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</si>
  <si>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</si>
  <si>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</si>
  <si>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</si>
  <si>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</si>
  <si>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</si>
  <si>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</si>
  <si>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</si>
  <si>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</si>
  <si>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</si>
  <si>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</si>
  <si>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</si>
  <si>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</si>
  <si>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</si>
  <si>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</si>
  <si>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</si>
  <si>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</si>
  <si>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</si>
  <si>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</si>
  <si>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</si>
  <si>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</si>
  <si>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</si>
  <si>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</si>
  <si>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</si>
  <si>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</si>
  <si>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</si>
  <si>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</si>
  <si>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</si>
  <si>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</si>
  <si>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</si>
  <si>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</si>
  <si>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</si>
  <si>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</si>
  <si>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</si>
  <si>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</si>
  <si>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</si>
  <si>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</si>
  <si>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</si>
  <si>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</si>
  <si>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</si>
  <si>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</si>
  <si>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</si>
  <si>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</si>
  <si>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</si>
  <si>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</si>
  <si>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</si>
  <si>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</si>
  <si>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</si>
  <si>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</si>
  <si>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</si>
  <si>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</si>
  <si>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</si>
  <si>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</si>
  <si>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</si>
  <si>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</si>
  <si>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</si>
  <si>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</si>
  <si>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</si>
  <si>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</si>
  <si>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</si>
  <si>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</si>
  <si>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</si>
  <si>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</si>
  <si>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</si>
  <si>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</si>
  <si>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</si>
  <si>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</si>
  <si>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</si>
  <si>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</si>
  <si>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</si>
  <si>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</si>
  <si>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</si>
  <si>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</si>
  <si>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</si>
  <si>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</si>
  <si>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</si>
  <si>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</si>
  <si>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</si>
  <si>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</si>
  <si>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</si>
  <si>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</si>
  <si>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</si>
  <si>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</si>
  <si>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</si>
  <si>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</si>
  <si>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</si>
  <si>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</si>
  <si>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</si>
  <si>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</si>
  <si>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</si>
  <si>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</si>
  <si>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</si>
  <si>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</si>
  <si>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</si>
  <si>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</si>
  <si>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</si>
  <si>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</si>
  <si>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</si>
  <si>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</si>
  <si>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</si>
  <si>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</si>
  <si>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</si>
  <si>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</si>
  <si>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</si>
  <si>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</si>
  <si>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</si>
  <si>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</si>
  <si>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</si>
  <si>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</si>
  <si>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</si>
  <si>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</si>
  <si>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</si>
  <si>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</si>
  <si>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</si>
  <si>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</si>
  <si>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</si>
  <si>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</si>
  <si>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</si>
  <si>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</si>
  <si>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</si>
  <si>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</si>
  <si>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</si>
  <si>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</si>
  <si>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</si>
  <si>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</si>
  <si>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</si>
  <si>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</si>
  <si>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</si>
  <si>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</si>
  <si>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</si>
  <si>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</si>
  <si>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</si>
  <si>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</si>
  <si>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</si>
  <si>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</si>
  <si>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</si>
  <si>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</si>
  <si>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</si>
  <si>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</si>
  <si>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</si>
  <si>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</si>
  <si>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</si>
  <si>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</si>
  <si>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</si>
  <si>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</si>
  <si>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</si>
  <si>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</si>
  <si>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</si>
  <si>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</si>
  <si>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</si>
  <si>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</si>
  <si>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</si>
  <si>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</si>
  <si>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</si>
  <si>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</si>
  <si>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</si>
  <si>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</si>
  <si>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</si>
  <si>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</si>
  <si>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</si>
  <si>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</si>
  <si>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</si>
  <si>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</si>
  <si>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</si>
  <si>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</si>
  <si>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</si>
  <si>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</si>
  <si>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</si>
  <si>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</si>
  <si>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</si>
  <si>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</si>
  <si>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</si>
  <si>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</si>
  <si>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</si>
  <si>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</si>
  <si>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</si>
  <si>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</si>
  <si>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</si>
  <si>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</si>
  <si>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</si>
  <si>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</si>
  <si>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</si>
  <si>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</si>
  <si>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</si>
  <si>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</si>
  <si>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</si>
  <si>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</si>
  <si>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</si>
  <si>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</si>
  <si>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</si>
  <si>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</si>
  <si>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</si>
  <si>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</si>
  <si>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</si>
  <si>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</si>
  <si>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</si>
  <si>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</si>
  <si>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</si>
  <si>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</si>
  <si>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</si>
  <si>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</si>
  <si>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</si>
  <si>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</si>
  <si>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</si>
  <si>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</si>
  <si>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</si>
  <si>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</si>
  <si>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</si>
  <si>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</si>
  <si>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</si>
  <si>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</si>
  <si>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</si>
  <si>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</si>
  <si>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</si>
  <si>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</si>
  <si>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</si>
  <si>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</si>
  <si>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</si>
  <si>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</si>
  <si>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</si>
  <si>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</si>
  <si>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</si>
  <si>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</si>
  <si>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</si>
  <si>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</si>
  <si>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</si>
  <si>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</si>
  <si>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</si>
  <si>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</si>
  <si>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</si>
  <si>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</si>
  <si>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</si>
  <si>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</si>
  <si>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</si>
  <si>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</si>
  <si>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</si>
  <si>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</si>
  <si>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</si>
  <si>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</si>
  <si>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</si>
  <si>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</si>
  <si>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</si>
  <si>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</si>
  <si>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</si>
  <si>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</si>
  <si>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</si>
  <si>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</si>
  <si>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</si>
  <si>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</si>
  <si>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</si>
  <si>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</si>
  <si>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</si>
  <si>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</si>
  <si>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</si>
  <si>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</si>
  <si>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</si>
  <si>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</si>
  <si>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</si>
  <si>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</si>
  <si>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</si>
  <si>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</si>
  <si>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</si>
  <si>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</si>
  <si>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</si>
  <si>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</si>
  <si>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</si>
  <si>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</si>
  <si>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</si>
  <si>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</si>
  <si>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</si>
  <si>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</si>
  <si>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</si>
  <si>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</si>
  <si>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</si>
  <si>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</si>
  <si>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</si>
  <si>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</si>
  <si>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</si>
  <si>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</si>
  <si>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</si>
  <si>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</si>
  <si>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</si>
  <si>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</si>
  <si>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</si>
  <si>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</si>
  <si>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</si>
  <si>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</si>
  <si>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</si>
  <si>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</si>
  <si>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</si>
  <si>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</si>
  <si>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</si>
  <si>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</si>
  <si>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</si>
  <si>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</si>
  <si>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</si>
  <si>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</si>
  <si>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</si>
  <si>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</si>
  <si>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</si>
  <si>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</si>
  <si>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</si>
  <si>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</si>
  <si>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</si>
  <si>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</si>
  <si>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</si>
  <si>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</si>
  <si>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</si>
  <si>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</si>
  <si>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</si>
  <si>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</si>
  <si>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</si>
  <si>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</si>
  <si>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</si>
  <si>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</si>
  <si>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</si>
  <si>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</si>
  <si>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</si>
  <si>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</si>
  <si>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</si>
  <si>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</si>
  <si>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</si>
  <si>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</si>
  <si>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</si>
  <si>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</si>
  <si>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</si>
  <si>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</si>
  <si>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</si>
  <si>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</si>
  <si>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</si>
  <si>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</si>
  <si>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</si>
  <si>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</si>
  <si>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</si>
  <si>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</si>
  <si>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</si>
  <si>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</si>
  <si>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</si>
  <si>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</si>
  <si>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</si>
  <si>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</si>
  <si>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</si>
  <si>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</si>
  <si>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</si>
  <si>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</si>
  <si>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</si>
  <si>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</si>
  <si>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</si>
  <si>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</si>
  <si>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</si>
  <si>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</si>
  <si>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</si>
  <si>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</si>
  <si>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</si>
  <si>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</si>
  <si>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</si>
  <si>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</si>
  <si>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</si>
  <si>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</si>
  <si>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</si>
  <si>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</si>
  <si>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</si>
  <si>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</si>
  <si>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</si>
  <si>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</si>
  <si>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</si>
  <si>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</si>
  <si>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</si>
  <si>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</si>
  <si>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</si>
  <si>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</si>
  <si>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</si>
  <si>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</si>
  <si>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</si>
  <si>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</si>
  <si>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</si>
  <si>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</si>
  <si>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</si>
  <si>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</si>
  <si>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</si>
  <si>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</si>
  <si>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</si>
  <si>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</si>
  <si>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</si>
  <si>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</si>
  <si>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</si>
  <si>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</si>
  <si>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</si>
  <si>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</si>
  <si>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</si>
  <si>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</si>
  <si>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</si>
  <si>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</si>
  <si>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</si>
  <si>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</si>
  <si>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</si>
  <si>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</si>
  <si>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</si>
  <si>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</si>
  <si>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</si>
  <si>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</si>
  <si>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</si>
  <si>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</si>
  <si>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</si>
  <si>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</si>
  <si>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</si>
  <si>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</si>
  <si>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</si>
  <si>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</si>
  <si>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</si>
  <si>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</si>
  <si>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</si>
  <si>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</si>
  <si>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</si>
  <si>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</si>
  <si>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</si>
  <si>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</si>
  <si>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</si>
  <si>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</si>
  <si>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</si>
  <si>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</si>
  <si>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</si>
  <si>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</si>
  <si>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</si>
  <si>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</si>
  <si>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</si>
  <si>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</si>
  <si>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</si>
  <si>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</si>
  <si>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</si>
  <si>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</si>
  <si>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</si>
  <si>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</si>
  <si>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</si>
  <si>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</si>
  <si>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</si>
  <si>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</si>
  <si>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</si>
  <si>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</si>
  <si>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</si>
  <si>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</si>
  <si>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</si>
  <si>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</si>
  <si>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</si>
  <si>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</si>
  <si>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</si>
  <si>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</si>
  <si>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</si>
  <si>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</si>
  <si>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</si>
  <si>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</si>
  <si>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</si>
  <si>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</si>
  <si>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</si>
  <si>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</si>
  <si>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</si>
  <si>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</si>
  <si>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</si>
  <si>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</si>
  <si>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</si>
  <si>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</si>
  <si>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</si>
  <si>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</si>
  <si>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</si>
  <si>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</si>
  <si>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</si>
  <si>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</si>
  <si>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</si>
  <si>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</si>
  <si>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</si>
  <si>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</si>
  <si>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</si>
  <si>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</si>
  <si>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</si>
  <si>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</si>
  <si>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</si>
  <si>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</si>
  <si>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</si>
  <si>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</si>
  <si>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</si>
  <si>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</si>
  <si>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</si>
  <si>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</si>
  <si>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</si>
  <si>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</si>
  <si>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</si>
  <si>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</si>
  <si>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</si>
  <si>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</si>
  <si>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</si>
  <si>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</si>
  <si>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</si>
  <si>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</si>
  <si>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</si>
  <si>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</si>
  <si>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</si>
  <si>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</si>
  <si>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</si>
  <si>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</si>
  <si>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</si>
  <si>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</si>
  <si>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</si>
  <si>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</si>
  <si>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</si>
  <si>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</si>
  <si>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</si>
  <si>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</si>
  <si>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</si>
  <si>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</si>
  <si>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</si>
  <si>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</si>
  <si>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</si>
  <si>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</si>
  <si>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</si>
  <si>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</si>
  <si>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</si>
  <si>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</si>
  <si>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</si>
  <si>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</si>
  <si>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</si>
  <si>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</si>
  <si>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</si>
  <si>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</si>
  <si>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</si>
  <si>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</si>
  <si>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</si>
  <si>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</si>
  <si>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</si>
  <si>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</si>
  <si>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</si>
  <si>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</si>
  <si>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</si>
  <si>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</si>
  <si>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</si>
  <si>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</si>
  <si>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</si>
  <si>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</si>
  <si>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</si>
  <si>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</si>
  <si>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</si>
  <si>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</si>
  <si>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</si>
  <si>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</si>
  <si>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</si>
  <si>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</si>
  <si>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</si>
  <si>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</si>
  <si>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</si>
  <si>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</si>
  <si>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</si>
  <si>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</si>
  <si>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</si>
  <si>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</si>
  <si>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</si>
  <si>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</si>
  <si>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</si>
  <si>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</si>
  <si>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</si>
  <si>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</si>
  <si>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</si>
  <si>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</si>
  <si>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</si>
  <si>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</si>
  <si>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</si>
  <si>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</si>
  <si>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</si>
  <si>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</si>
  <si>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</si>
  <si>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</si>
  <si>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</si>
  <si>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</si>
  <si>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</si>
  <si>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</si>
  <si>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</si>
  <si>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</si>
  <si>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</si>
  <si>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</si>
  <si>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</si>
  <si>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</si>
  <si>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</si>
  <si>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</si>
  <si>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</si>
  <si>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</si>
  <si>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</si>
  <si>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</si>
  <si>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</si>
  <si>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</si>
  <si>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</si>
  <si>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</si>
  <si>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</si>
  <si>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</si>
  <si>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</si>
  <si>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</si>
  <si>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</si>
  <si>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</si>
  <si>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</si>
  <si>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</si>
  <si>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</si>
  <si>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</si>
  <si>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</si>
  <si>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</si>
  <si>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</si>
  <si>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</si>
  <si>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</si>
  <si>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</si>
  <si>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</si>
  <si>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</si>
  <si>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</si>
  <si>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</si>
  <si>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</si>
  <si>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</si>
  <si>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</si>
  <si>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</si>
  <si>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</si>
  <si>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</si>
  <si>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</si>
  <si>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</si>
  <si>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</si>
  <si>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</si>
  <si>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</si>
  <si>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</si>
  <si>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</si>
  <si>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</si>
  <si>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</si>
  <si>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</si>
  <si>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</si>
  <si>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</si>
  <si>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</si>
  <si>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</si>
  <si>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</si>
  <si>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</si>
  <si>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</si>
  <si>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</si>
  <si>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</si>
  <si>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</si>
  <si>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</si>
  <si>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</si>
  <si>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</si>
  <si>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</si>
  <si>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</si>
  <si>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</si>
  <si>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</si>
  <si>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</si>
  <si>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</si>
  <si>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</si>
  <si>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</si>
  <si>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</si>
  <si>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</si>
  <si>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</si>
  <si>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</si>
  <si>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</si>
  <si>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</si>
  <si>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</si>
  <si>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</si>
  <si>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</si>
  <si>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</si>
  <si>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</si>
  <si>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</si>
  <si>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</si>
  <si>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</si>
  <si>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</si>
  <si>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</si>
  <si>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</si>
  <si>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</si>
  <si>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</si>
  <si>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</si>
  <si>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</si>
  <si>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</si>
  <si>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</si>
  <si>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</si>
  <si>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</si>
  <si>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</si>
  <si>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</si>
  <si>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</si>
  <si>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</si>
  <si>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</si>
  <si>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</si>
  <si>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</si>
  <si>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</si>
  <si>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</si>
  <si>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</si>
  <si>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</si>
  <si>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</si>
  <si>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</si>
  <si>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</si>
  <si>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</si>
  <si>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</si>
  <si>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</si>
  <si>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</si>
  <si>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</si>
  <si>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</si>
  <si>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</si>
  <si>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</si>
  <si>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</si>
  <si>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</si>
  <si>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</si>
  <si>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</si>
  <si>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</si>
  <si>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</si>
  <si>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</si>
  <si>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</si>
  <si>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</si>
  <si>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</si>
  <si>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</si>
  <si>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</si>
  <si>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</si>
  <si>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</si>
  <si>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</si>
  <si>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</si>
  <si>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</si>
  <si>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</si>
  <si>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</si>
  <si>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</si>
  <si>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</si>
  <si>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</si>
  <si>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</si>
  <si>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</si>
  <si>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</si>
  <si>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</si>
  <si>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</si>
  <si>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</si>
  <si>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</si>
  <si>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</si>
  <si>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</si>
  <si>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</si>
  <si>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</si>
  <si>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</si>
  <si>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</si>
  <si>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</si>
  <si>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</si>
  <si>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</si>
  <si>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</si>
  <si>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</si>
  <si>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</si>
  <si>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</si>
  <si>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</si>
  <si>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</si>
  <si>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</si>
  <si>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</si>
  <si>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</si>
  <si>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</si>
  <si>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</si>
  <si>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</si>
  <si>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</si>
  <si>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</si>
  <si>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</si>
  <si>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</si>
  <si>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</si>
  <si>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</si>
  <si>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</si>
  <si>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</si>
  <si>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</si>
  <si>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</si>
  <si>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</si>
  <si>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</si>
  <si>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</si>
  <si>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</si>
  <si>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</si>
  <si>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</si>
  <si>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</si>
  <si>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</si>
  <si>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</si>
  <si>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</si>
  <si>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</si>
  <si>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</si>
  <si>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</si>
  <si>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</si>
  <si>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</si>
  <si>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</si>
  <si>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</si>
  <si>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</si>
  <si>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</si>
  <si>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</si>
  <si>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</si>
  <si>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</si>
  <si>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</si>
  <si>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</si>
  <si>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</si>
  <si>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</si>
  <si>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</si>
  <si>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</si>
  <si>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</si>
  <si>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</si>
  <si>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</si>
  <si>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</si>
  <si>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</si>
  <si>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</si>
  <si>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</si>
  <si>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</si>
  <si>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</si>
  <si>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</si>
  <si>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</si>
  <si>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</si>
  <si>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</si>
  <si>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</si>
  <si>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</si>
  <si>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</si>
  <si>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</si>
  <si>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</si>
  <si>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</si>
  <si>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</si>
  <si>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</si>
  <si>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</si>
  <si>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</si>
  <si>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</si>
  <si>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</si>
  <si>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</si>
  <si>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</si>
  <si>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</si>
  <si>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</si>
  <si>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</si>
  <si>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</si>
  <si>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</si>
  <si>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</si>
  <si>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</si>
  <si>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</si>
  <si>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</si>
  <si>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</si>
  <si>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</si>
  <si>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</si>
  <si>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</si>
  <si>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</si>
  <si>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</si>
  <si>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</si>
  <si>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</si>
  <si>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</si>
  <si>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</si>
  <si>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</si>
  <si>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</si>
  <si>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</si>
  <si>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</si>
  <si>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</si>
  <si>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</si>
  <si>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</si>
  <si>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</si>
  <si>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</si>
  <si>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</si>
  <si>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</si>
  <si>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</si>
  <si>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</si>
  <si>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</si>
  <si>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</si>
  <si>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</si>
  <si>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</si>
  <si>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</si>
  <si>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</si>
  <si>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</si>
  <si>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</si>
  <si>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</si>
  <si>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</si>
  <si>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</si>
  <si>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</si>
  <si>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</si>
  <si>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</si>
  <si>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</si>
  <si>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</si>
  <si>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</si>
  <si>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</si>
  <si>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</si>
  <si>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</si>
  <si>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</si>
  <si>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</si>
  <si>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</si>
  <si>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</si>
  <si>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</si>
  <si>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</si>
  <si>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</si>
  <si>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</si>
  <si>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</si>
  <si>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</si>
  <si>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</si>
  <si>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</si>
  <si>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</si>
  <si>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</si>
  <si>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</si>
  <si>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</si>
  <si>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</si>
  <si>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</si>
  <si>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</si>
  <si>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</si>
  <si>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</si>
  <si>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</si>
  <si>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</si>
  <si>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</si>
  <si>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</si>
  <si>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</si>
  <si>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</si>
  <si>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</si>
  <si>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</si>
  <si>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</si>
  <si>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</si>
  <si>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</si>
  <si>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</si>
  <si>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</si>
  <si>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</si>
  <si>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</si>
  <si>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</si>
  <si>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</si>
  <si>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</si>
  <si>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</si>
  <si>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</si>
  <si>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</si>
  <si>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</si>
  <si>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</si>
  <si>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</si>
  <si>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</si>
  <si>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</si>
  <si>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</si>
  <si>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</si>
  <si>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</si>
  <si>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</si>
  <si>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</si>
  <si>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</si>
  <si>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</si>
  <si>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</si>
  <si>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</si>
  <si>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</si>
  <si>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</si>
  <si>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</si>
  <si>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</si>
  <si>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</si>
  <si>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</si>
  <si>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</si>
  <si>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</si>
  <si>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</si>
  <si>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</si>
  <si>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</si>
  <si>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</si>
  <si>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</si>
  <si>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</si>
  <si>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</si>
  <si>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</si>
  <si>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</si>
  <si>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</si>
  <si>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</si>
  <si>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</si>
  <si>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</si>
  <si>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</si>
  <si>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</si>
  <si>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</si>
  <si>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</si>
  <si>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</si>
  <si>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</si>
  <si>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</si>
  <si>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</si>
  <si>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</si>
  <si>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</si>
  <si>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</si>
  <si>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</si>
  <si>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</si>
  <si>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</si>
  <si>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</si>
  <si>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</si>
  <si>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</si>
  <si>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</si>
  <si>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</si>
  <si>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</si>
  <si>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</si>
  <si>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</si>
  <si>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</si>
  <si>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</si>
  <si>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</si>
  <si>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</si>
  <si>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</si>
  <si>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</si>
  <si>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</si>
  <si>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</si>
  <si>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</si>
  <si>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</si>
  <si>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</si>
  <si>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</si>
  <si>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</si>
  <si>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</si>
  <si>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</si>
  <si>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</si>
  <si>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</si>
  <si>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</si>
  <si>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</si>
  <si>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</si>
  <si>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</si>
  <si>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</si>
  <si>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</si>
  <si>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</si>
  <si>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</si>
  <si>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</si>
  <si>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</si>
  <si>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</si>
  <si>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</si>
  <si>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</si>
  <si>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</si>
  <si>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</si>
  <si>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</si>
  <si>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</si>
  <si>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</si>
  <si>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</si>
  <si>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</si>
  <si>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</si>
  <si>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</si>
  <si>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</si>
  <si>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</si>
  <si>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</si>
  <si>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</si>
  <si>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</si>
  <si>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</si>
  <si>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</si>
  <si>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</si>
  <si>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</si>
  <si>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</si>
  <si>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</si>
  <si>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</si>
  <si>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</si>
  <si>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</si>
  <si>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</si>
  <si>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</si>
  <si>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</si>
  <si>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</si>
  <si>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</si>
  <si>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</si>
  <si>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</si>
  <si>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</si>
  <si>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</si>
  <si>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</si>
  <si>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</si>
  <si>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</si>
  <si>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</si>
  <si>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</si>
  <si>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</si>
  <si>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</si>
  <si>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</si>
  <si>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</si>
  <si>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</si>
  <si>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</si>
  <si>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</si>
  <si>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</si>
  <si>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</si>
  <si>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</si>
  <si>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</si>
  <si>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</si>
  <si>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</si>
  <si>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</si>
  <si>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</si>
  <si>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</si>
  <si>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</si>
  <si>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</si>
  <si>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</si>
  <si>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</si>
  <si>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</si>
  <si>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</si>
  <si>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</si>
  <si>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</si>
  <si>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</si>
  <si>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</si>
  <si>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</si>
  <si>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</si>
  <si>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</si>
  <si>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</si>
  <si>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</si>
  <si>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</si>
  <si>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</si>
  <si>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</si>
  <si>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</si>
  <si>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</si>
  <si>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</si>
  <si>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</si>
  <si>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</si>
  <si>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</si>
  <si>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</si>
  <si>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</si>
  <si>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</si>
  <si>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</si>
  <si>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</si>
  <si>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</si>
  <si>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</si>
  <si>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</si>
  <si>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</si>
  <si>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</si>
  <si>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</si>
  <si>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</si>
  <si>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</si>
  <si>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</si>
  <si>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</si>
  <si>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</si>
  <si>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</si>
  <si>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</si>
  <si>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</si>
  <si>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</si>
  <si>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</si>
  <si>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</si>
  <si>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</si>
  <si>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</si>
  <si>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</si>
  <si>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</si>
  <si>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</si>
  <si>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</si>
  <si>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</si>
  <si>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</si>
  <si>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</si>
  <si>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</si>
  <si>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</si>
  <si>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</si>
  <si>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</si>
  <si>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</si>
  <si>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</si>
  <si>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</si>
  <si>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</si>
  <si>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</si>
  <si>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</si>
  <si>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</si>
  <si>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</si>
  <si>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</si>
  <si>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</si>
  <si>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</si>
  <si>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</si>
  <si>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</si>
  <si>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</si>
  <si>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</si>
  <si>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</si>
  <si>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</si>
  <si>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</si>
  <si>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</si>
  <si>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</si>
  <si>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</si>
  <si>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</si>
  <si>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</si>
  <si>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</si>
  <si>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</si>
  <si>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</si>
  <si>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</si>
  <si>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</si>
  <si>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</si>
  <si>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</si>
  <si>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</si>
  <si>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</si>
  <si>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</si>
  <si>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</si>
  <si>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</si>
  <si>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</si>
  <si>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</si>
  <si>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</si>
  <si>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</si>
  <si>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</si>
  <si>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</si>
  <si>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</si>
  <si>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</si>
  <si>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</si>
  <si>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</si>
  <si>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</si>
  <si>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</si>
  <si>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</si>
  <si>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</si>
  <si>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</si>
  <si>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</si>
  <si>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</si>
  <si>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</si>
  <si>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</si>
  <si>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</si>
  <si>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</si>
  <si>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</si>
  <si>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</si>
  <si>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</si>
  <si>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</si>
  <si>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</si>
  <si>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</si>
  <si>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</si>
  <si>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</si>
  <si>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</si>
  <si>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</si>
  <si>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</si>
  <si>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</si>
  <si>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</si>
  <si>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</si>
  <si>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</si>
  <si>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</si>
  <si>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</si>
  <si>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</si>
  <si>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</si>
  <si>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</si>
  <si>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</si>
  <si>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</si>
  <si>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</si>
  <si>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</si>
  <si>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</si>
  <si>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</si>
  <si>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</si>
  <si>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</si>
  <si>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</si>
  <si>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</si>
  <si>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</si>
  <si>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</si>
  <si>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</si>
  <si>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</si>
  <si>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</si>
  <si>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</si>
  <si>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</si>
  <si>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</si>
  <si>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</si>
  <si>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</si>
  <si>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</si>
  <si>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</si>
  <si>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</si>
  <si>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</si>
  <si>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</si>
  <si>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</si>
  <si>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</si>
  <si>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</si>
  <si>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</si>
  <si>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</si>
  <si>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</si>
  <si>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</si>
  <si>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</si>
  <si>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</si>
  <si>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</si>
  <si>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</si>
  <si>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</si>
  <si>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</si>
  <si>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</si>
  <si>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</si>
  <si>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</si>
  <si>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</si>
  <si>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</si>
  <si>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</si>
  <si>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</si>
  <si>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</si>
  <si>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</si>
  <si>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</si>
  <si>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</si>
  <si>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</si>
  <si>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</si>
  <si>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</si>
  <si>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</si>
  <si>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</si>
  <si>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</si>
  <si>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</si>
  <si>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</si>
  <si>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</si>
  <si>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</si>
  <si>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</si>
  <si>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</si>
  <si>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</si>
  <si>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</si>
  <si>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</si>
  <si>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</si>
  <si>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</si>
  <si>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</si>
  <si>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</si>
  <si>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</si>
  <si>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</si>
  <si>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</si>
  <si>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</si>
  <si>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</si>
  <si>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</si>
  <si>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</si>
  <si>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</si>
  <si>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</si>
  <si>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</si>
  <si>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</si>
  <si>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</si>
  <si>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</si>
  <si>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</si>
  <si>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</si>
  <si>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</si>
  <si>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</si>
  <si>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</si>
  <si>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</si>
  <si>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</si>
  <si>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</si>
  <si>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</si>
  <si>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</si>
  <si>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</si>
  <si>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</si>
  <si>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</si>
  <si>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</si>
  <si>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</si>
  <si>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</si>
  <si>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</si>
  <si>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</si>
  <si>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</si>
  <si>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</si>
  <si>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</si>
  <si>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</si>
  <si>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</si>
  <si>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</si>
  <si>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</si>
  <si>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</si>
  <si>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</si>
  <si>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</si>
  <si>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</si>
  <si>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</si>
  <si>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</si>
  <si>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</si>
  <si>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</si>
  <si>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</si>
  <si>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</si>
  <si>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</si>
  <si>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</si>
  <si>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</si>
  <si>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</si>
  <si>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</si>
  <si>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</si>
  <si>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</si>
  <si>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</si>
  <si>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</si>
  <si>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</si>
  <si>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</si>
  <si>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</si>
  <si>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</si>
  <si>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</si>
  <si>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</si>
  <si>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</si>
  <si>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</si>
  <si>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</si>
  <si>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</si>
  <si>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</si>
  <si>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</si>
  <si>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</si>
  <si>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</si>
  <si>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</si>
  <si>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</si>
  <si>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</si>
  <si>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</si>
  <si>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</si>
  <si>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</si>
  <si>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</si>
  <si>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</si>
  <si>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</si>
  <si>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</si>
  <si>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</si>
  <si>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</si>
  <si>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</si>
  <si>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</si>
  <si>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</si>
  <si>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</si>
  <si>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</si>
  <si>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</si>
  <si>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</si>
  <si>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</si>
  <si>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</si>
  <si>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</si>
  <si>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</si>
  <si>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</si>
  <si>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</si>
  <si>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</si>
  <si>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</si>
  <si>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</si>
  <si>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</si>
  <si>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</si>
  <si>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</si>
  <si>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</si>
  <si>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</si>
  <si>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</si>
  <si>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</si>
  <si>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</si>
  <si>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</si>
  <si>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</si>
  <si>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</si>
  <si>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</si>
  <si>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</si>
  <si>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</si>
  <si>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</si>
  <si>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</si>
  <si>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</si>
  <si>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</si>
  <si>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</si>
  <si>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</si>
  <si>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</si>
  <si>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</si>
  <si>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</si>
  <si>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</si>
  <si>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</si>
  <si>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</si>
  <si>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</si>
  <si>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</si>
  <si>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</si>
  <si>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</si>
  <si>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</si>
  <si>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</si>
  <si>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</si>
  <si>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</si>
  <si>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</si>
  <si>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</si>
  <si>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</si>
  <si>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</si>
  <si>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</si>
  <si>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</si>
  <si>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</si>
  <si>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</si>
  <si>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</si>
  <si>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</si>
  <si>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</si>
  <si>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</si>
  <si>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</si>
  <si>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</si>
  <si>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</si>
  <si>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</si>
  <si>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</si>
  <si>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</si>
  <si>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</si>
  <si>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</si>
  <si>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</si>
  <si>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</si>
  <si>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</si>
  <si>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</si>
  <si>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</si>
  <si>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</si>
  <si>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</si>
  <si>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</si>
  <si>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</si>
  <si>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</si>
  <si>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</si>
  <si>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</si>
  <si>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</si>
  <si>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</si>
  <si>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</si>
  <si>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</si>
  <si>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</si>
  <si>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</si>
  <si>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</si>
  <si>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</si>
  <si>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</si>
  <si>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</si>
  <si>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</si>
  <si>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</si>
  <si>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</si>
  <si>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</si>
  <si>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</si>
  <si>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</si>
  <si>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</si>
  <si>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</si>
  <si>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</si>
  <si>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</si>
  <si>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</si>
  <si>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</si>
  <si>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</si>
  <si>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</si>
  <si>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</si>
  <si>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</si>
  <si>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</si>
  <si>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</si>
  <si>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</si>
  <si>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</si>
  <si>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</si>
  <si>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</si>
  <si>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</si>
  <si>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</si>
  <si>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</si>
  <si>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</si>
  <si>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</si>
  <si>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</si>
  <si>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</si>
  <si>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</si>
  <si>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</si>
  <si>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</si>
  <si>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</si>
  <si>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</si>
  <si>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</si>
  <si>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</si>
  <si>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</si>
  <si>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</si>
  <si>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</si>
  <si>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</si>
  <si>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</si>
  <si>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</si>
  <si>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</si>
  <si>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</si>
  <si>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</si>
  <si>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</si>
  <si>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</si>
  <si>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</si>
  <si>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</si>
  <si>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</si>
  <si>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</si>
  <si>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</si>
  <si>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</si>
  <si>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</si>
  <si>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</si>
  <si>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</si>
  <si>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</si>
  <si>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</si>
  <si>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</si>
  <si>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</si>
  <si>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</si>
  <si>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</si>
  <si>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</si>
  <si>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</si>
  <si>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</si>
  <si>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</si>
  <si>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</si>
  <si>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</si>
  <si>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</si>
  <si>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</si>
  <si>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</si>
  <si>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</si>
  <si>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</si>
  <si>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</si>
  <si>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</si>
  <si>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</si>
  <si>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</si>
  <si>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</si>
  <si>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</si>
  <si>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</si>
  <si>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</si>
  <si>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</si>
  <si>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</si>
  <si>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</si>
  <si>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</si>
  <si>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</si>
  <si>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</si>
  <si>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</si>
  <si>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</si>
  <si>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</si>
  <si>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</si>
  <si>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</si>
  <si>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</si>
  <si>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</si>
  <si>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</si>
  <si>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</si>
  <si>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</si>
  <si>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</si>
  <si>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</si>
  <si>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</si>
  <si>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</si>
  <si>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</si>
  <si>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</si>
  <si>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</si>
  <si>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</si>
  <si>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</si>
  <si>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</si>
  <si>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</si>
  <si>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</si>
  <si>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</si>
  <si>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</si>
  <si>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</si>
  <si>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</si>
  <si>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</si>
  <si>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</si>
  <si>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</si>
  <si>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</si>
  <si>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</si>
  <si>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</si>
  <si>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</si>
  <si>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</si>
  <si>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</si>
  <si>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</si>
  <si>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</si>
  <si>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</si>
  <si>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</si>
  <si>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</si>
  <si>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</si>
  <si>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</si>
  <si>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</si>
  <si>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</si>
  <si>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</si>
  <si>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</si>
  <si>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</si>
  <si>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</si>
  <si>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</si>
  <si>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</si>
  <si>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</si>
  <si>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</si>
  <si>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</si>
  <si>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</si>
  <si>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</si>
  <si>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</si>
  <si>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</si>
  <si>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</si>
  <si>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</si>
  <si>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</si>
  <si>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</si>
  <si>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</si>
  <si>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</si>
  <si>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</si>
  <si>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</si>
  <si>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</si>
  <si>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</si>
  <si>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</si>
  <si>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</si>
  <si>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</si>
  <si>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</si>
  <si>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</si>
  <si>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</si>
  <si>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</si>
  <si>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</si>
  <si>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</si>
  <si>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</si>
  <si>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</si>
  <si>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</si>
  <si>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</si>
  <si>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</si>
  <si>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</si>
  <si>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</si>
  <si>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</si>
  <si>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</si>
  <si>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</si>
  <si>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</si>
  <si>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</si>
  <si>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</si>
  <si>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</si>
  <si>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</si>
  <si>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</si>
  <si>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</si>
  <si>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</si>
  <si>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</si>
  <si>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</si>
  <si>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</si>
  <si>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</si>
  <si>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</si>
  <si>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</si>
  <si>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</si>
  <si>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</si>
  <si>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</si>
  <si>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</si>
  <si>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</si>
  <si>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</si>
  <si>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</si>
  <si>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</si>
  <si>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</si>
  <si>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</si>
  <si>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</si>
  <si>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</si>
  <si>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</si>
  <si>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</si>
  <si>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</si>
  <si>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</si>
  <si>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</si>
  <si>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</si>
  <si>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</si>
  <si>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</si>
  <si>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</si>
  <si>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</si>
  <si>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</si>
  <si>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</si>
  <si>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</si>
  <si>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</si>
  <si>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</si>
  <si>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</si>
  <si>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</si>
  <si>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</si>
  <si>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</si>
  <si>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</si>
  <si>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</si>
  <si>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</si>
  <si>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</si>
  <si>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</si>
  <si>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</si>
  <si>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</si>
  <si>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</si>
  <si>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</si>
  <si>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</si>
  <si>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</si>
  <si>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</si>
  <si>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</si>
  <si>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</si>
  <si>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</si>
  <si>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</si>
  <si>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</si>
  <si>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</si>
  <si>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</si>
  <si>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</si>
  <si>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</si>
  <si>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</si>
  <si>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</si>
  <si>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</si>
  <si>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</si>
  <si>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</si>
  <si>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</si>
  <si>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</si>
  <si>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</si>
  <si>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</si>
  <si>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</si>
  <si>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</si>
  <si>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</si>
  <si>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</si>
  <si>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</si>
  <si>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</si>
  <si>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</si>
  <si>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</si>
  <si>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</si>
  <si>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</si>
  <si>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</si>
  <si>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</si>
  <si>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</si>
  <si>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</si>
  <si>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</si>
  <si>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</si>
  <si>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</si>
  <si>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</si>
  <si>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</si>
  <si>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</si>
  <si>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</si>
  <si>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</si>
  <si>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</si>
  <si>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</si>
  <si>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</si>
  <si>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</si>
  <si>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</si>
  <si>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</si>
  <si>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</si>
  <si>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</si>
  <si>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</si>
  <si>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</si>
  <si>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</si>
  <si>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</si>
  <si>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</si>
  <si>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</si>
  <si>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</si>
  <si>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</si>
  <si>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</si>
  <si>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</si>
  <si>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</si>
  <si>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</si>
  <si>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</si>
  <si>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</si>
  <si>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</si>
  <si>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</si>
  <si>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</si>
  <si>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</si>
  <si>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</si>
  <si>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</si>
  <si>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</si>
  <si>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</si>
  <si>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</si>
  <si>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</si>
  <si>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</si>
  <si>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</si>
  <si>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</si>
  <si>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</si>
  <si>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</si>
  <si>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</si>
  <si>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</si>
  <si>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</si>
  <si>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</si>
  <si>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</si>
  <si>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</si>
  <si>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</si>
  <si>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</si>
  <si>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</si>
  <si>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</si>
  <si>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</si>
  <si>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</si>
  <si>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</si>
  <si>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</si>
  <si>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</si>
  <si>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</si>
  <si>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</si>
  <si>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</si>
  <si>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</si>
  <si>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</si>
  <si>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</si>
  <si>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</si>
  <si>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</si>
  <si>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</si>
  <si>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</si>
  <si>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</si>
  <si>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</si>
  <si>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</si>
  <si>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</si>
  <si>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</si>
  <si>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</si>
  <si>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</si>
  <si>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</si>
  <si>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</si>
  <si>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</si>
  <si>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</si>
  <si>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</si>
  <si>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</si>
  <si>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</si>
  <si>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</si>
  <si>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</si>
  <si>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</si>
  <si>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</si>
  <si>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</si>
  <si>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</si>
  <si>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</si>
  <si>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</si>
  <si>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</si>
  <si>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</si>
  <si>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</si>
  <si>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</si>
  <si>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</si>
  <si>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</si>
  <si>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</si>
  <si>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</si>
  <si>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</si>
  <si>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</si>
  <si>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</si>
  <si>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</si>
  <si>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</si>
  <si>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</si>
  <si>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</si>
  <si>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</si>
  <si>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</si>
  <si>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</si>
  <si>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</si>
  <si>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</si>
  <si>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</si>
  <si>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</si>
  <si>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</si>
  <si>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</si>
  <si>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</si>
  <si>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</si>
  <si>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</si>
  <si>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</si>
  <si>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</si>
  <si>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</si>
  <si>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</si>
  <si>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</si>
  <si>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</si>
  <si>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</si>
  <si>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</si>
  <si>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</si>
  <si>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</si>
  <si>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</si>
  <si>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</si>
  <si>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</si>
  <si>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</si>
  <si>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</si>
  <si>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</si>
  <si>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</si>
  <si>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</si>
  <si>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</si>
  <si>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</si>
  <si>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</si>
  <si>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</si>
  <si>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</si>
  <si>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</si>
  <si>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</si>
  <si>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</si>
  <si>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</si>
  <si>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</si>
  <si>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</si>
  <si>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</si>
  <si>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</si>
  <si>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</si>
  <si>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</si>
  <si>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</si>
  <si>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</si>
  <si>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</si>
  <si>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</si>
  <si>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</si>
  <si>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</si>
  <si>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</si>
  <si>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</si>
  <si>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</si>
  <si>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</si>
  <si>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</si>
  <si>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</si>
  <si>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</si>
  <si>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</si>
  <si>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</si>
  <si>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</si>
  <si>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</si>
  <si>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</si>
  <si>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</si>
  <si>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</si>
  <si>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</si>
  <si>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</si>
  <si>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</si>
  <si>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</si>
  <si>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</si>
  <si>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</si>
  <si>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</si>
  <si>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</si>
  <si>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</si>
  <si>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</si>
  <si>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</si>
  <si>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</si>
  <si>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</si>
  <si>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</si>
  <si>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</si>
  <si>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</si>
  <si>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</si>
  <si>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</si>
  <si>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</si>
  <si>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</si>
  <si>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</si>
  <si>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</si>
  <si>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</si>
  <si>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</si>
  <si>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</si>
  <si>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</si>
  <si>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</si>
  <si>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</si>
  <si>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</si>
  <si>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</si>
  <si>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</si>
  <si>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</si>
  <si>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</si>
  <si>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</si>
  <si>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</si>
  <si>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</si>
  <si>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</si>
  <si>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</si>
  <si>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</si>
  <si>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</si>
  <si>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</si>
  <si>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</si>
  <si>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</si>
  <si>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</si>
  <si>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</si>
  <si>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</si>
  <si>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</si>
  <si>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</si>
  <si>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</si>
  <si>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</si>
  <si>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</si>
  <si>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</si>
  <si>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</si>
  <si>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</si>
  <si>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</si>
  <si>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</si>
  <si>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</si>
  <si>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</si>
  <si>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</si>
  <si>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</si>
  <si>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</si>
  <si>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</si>
  <si>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</si>
  <si>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</si>
  <si>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</si>
  <si>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</si>
  <si>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</si>
  <si>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</si>
  <si>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</si>
  <si>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</si>
  <si>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</si>
  <si>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</si>
  <si>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</si>
  <si>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</si>
  <si>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</si>
  <si>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</si>
  <si>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</si>
  <si>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</si>
  <si>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</si>
  <si>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</si>
  <si>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</si>
  <si>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</si>
  <si>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</si>
  <si>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</si>
  <si>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</si>
  <si>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</si>
  <si>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</si>
  <si>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</si>
  <si>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</si>
  <si>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</si>
  <si>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</si>
  <si>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</si>
  <si>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</si>
  <si>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</si>
  <si>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</si>
  <si>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</si>
  <si>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</si>
  <si>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</si>
  <si>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</si>
  <si>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</si>
  <si>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</si>
  <si>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</si>
  <si>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</si>
  <si>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</si>
  <si>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</si>
  <si>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</si>
  <si>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</si>
  <si>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</si>
  <si>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</si>
  <si>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</si>
  <si>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</si>
  <si>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</si>
  <si>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</si>
  <si>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</si>
  <si>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</si>
  <si>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</si>
  <si>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</si>
  <si>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</si>
  <si>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</si>
  <si>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</si>
  <si>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</si>
  <si>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</si>
  <si>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</si>
  <si>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</si>
  <si>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</si>
  <si>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</si>
  <si>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</si>
  <si>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</si>
  <si>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</si>
  <si>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</si>
  <si>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</si>
  <si>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</si>
  <si>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</si>
  <si>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</si>
  <si>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</si>
  <si>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</si>
  <si>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</si>
  <si>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</si>
  <si>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</si>
  <si>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</si>
  <si>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</si>
  <si>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</si>
  <si>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</si>
  <si>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</si>
  <si>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</si>
  <si>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</si>
  <si>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</si>
  <si>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</si>
  <si>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</si>
  <si>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</si>
  <si>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</si>
  <si>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</si>
  <si>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</si>
  <si>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</si>
  <si>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</si>
  <si>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</si>
  <si>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</si>
  <si>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</si>
  <si>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</si>
  <si>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</si>
  <si>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</si>
  <si>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</si>
  <si>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</si>
  <si>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</si>
  <si>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</si>
  <si>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</si>
  <si>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</si>
  <si>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</si>
  <si>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</si>
  <si>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</si>
  <si>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</si>
  <si>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</si>
  <si>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</si>
  <si>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</si>
  <si>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</si>
  <si>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</si>
  <si>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</si>
  <si>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</si>
  <si>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</si>
  <si>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</si>
  <si>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</si>
  <si>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</si>
  <si>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</si>
  <si>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</si>
  <si>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</si>
  <si>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</si>
  <si>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</si>
  <si>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</si>
  <si>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</si>
  <si>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</si>
  <si>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</si>
  <si>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</si>
  <si>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</si>
  <si>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</si>
  <si>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</si>
  <si>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</si>
  <si>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</si>
  <si>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</si>
  <si>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</si>
  <si>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</si>
  <si>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</si>
  <si>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</si>
  <si>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</si>
  <si>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</si>
  <si>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</si>
  <si>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</si>
  <si>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</si>
  <si>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</si>
  <si>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</si>
  <si>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</si>
  <si>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</si>
  <si>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</si>
  <si>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</si>
  <si>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</si>
  <si>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</si>
  <si>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</si>
  <si>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</si>
  <si>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</si>
  <si>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</si>
  <si>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</si>
  <si>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</si>
  <si>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</si>
  <si>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</si>
  <si>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</si>
  <si>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</si>
  <si>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</si>
  <si>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</si>
  <si>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</si>
  <si>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</si>
  <si>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</si>
  <si>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</si>
  <si>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</si>
  <si>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</si>
  <si>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</si>
  <si>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</si>
  <si>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</si>
  <si>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</si>
  <si>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</si>
  <si>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</si>
  <si>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</si>
  <si>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</si>
  <si>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</si>
  <si>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</si>
  <si>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</si>
  <si>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</si>
  <si>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</si>
  <si>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</si>
  <si>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</si>
  <si>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</si>
  <si>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</si>
  <si>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</si>
  <si>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</si>
  <si>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</si>
  <si>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</si>
  <si>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</si>
  <si>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</si>
  <si>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</si>
  <si>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</si>
  <si>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</si>
  <si>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</si>
  <si>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</si>
  <si>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</si>
  <si>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</si>
  <si>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</si>
  <si>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</si>
  <si>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</si>
  <si>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</si>
  <si>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</si>
  <si>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</si>
  <si>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</si>
  <si>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</si>
  <si>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</si>
  <si>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</si>
  <si>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</si>
  <si>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</si>
  <si>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</si>
  <si>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</si>
  <si>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</si>
  <si>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</si>
  <si>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</si>
  <si>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</si>
  <si>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</si>
  <si>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</si>
  <si>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</si>
  <si>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</si>
  <si>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</si>
  <si>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</si>
  <si>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</si>
  <si>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</si>
  <si>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</si>
  <si>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</si>
  <si>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</si>
  <si>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</si>
  <si>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</si>
  <si>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</si>
  <si>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</si>
  <si>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</si>
  <si>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</si>
  <si>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</si>
  <si>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</si>
  <si>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</si>
  <si>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</si>
  <si>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</si>
  <si>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</si>
  <si>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</si>
  <si>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</si>
  <si>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</si>
  <si>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</si>
  <si>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</si>
  <si>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</si>
  <si>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</si>
  <si>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</si>
  <si>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</si>
  <si>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</si>
  <si>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</si>
  <si>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</si>
  <si>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</si>
  <si>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</si>
  <si>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</si>
  <si>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</si>
  <si>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</si>
  <si>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</si>
  <si>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</si>
  <si>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</si>
  <si>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</si>
  <si>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</si>
  <si>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</si>
  <si>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</si>
  <si>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</si>
  <si>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</si>
  <si>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</si>
  <si>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</si>
  <si>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</si>
  <si>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</si>
  <si>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</si>
  <si>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</si>
  <si>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</si>
  <si>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</si>
  <si>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</si>
  <si>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</si>
  <si>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</si>
  <si>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</si>
  <si>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</si>
  <si>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</si>
  <si>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</si>
  <si>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</si>
  <si>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</si>
  <si>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</si>
  <si>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</si>
  <si>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</si>
  <si>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</si>
  <si>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</si>
  <si>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</si>
  <si>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</si>
  <si>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</si>
  <si>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</si>
  <si>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</si>
  <si>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</si>
  <si>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</si>
  <si>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</si>
  <si>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</si>
  <si>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</si>
  <si>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</si>
  <si>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</si>
  <si>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</si>
  <si>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</si>
  <si>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</si>
  <si>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</si>
  <si>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</si>
  <si>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</si>
  <si>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</si>
  <si>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</si>
  <si>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</si>
  <si>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</si>
  <si>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</si>
  <si>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</si>
  <si>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</si>
  <si>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</si>
  <si>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</si>
  <si>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</si>
  <si>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</si>
  <si>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</si>
  <si>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</si>
  <si>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</si>
  <si>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</si>
  <si>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</si>
  <si>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</si>
  <si>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</si>
  <si>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</si>
  <si>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</si>
  <si>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</si>
  <si>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</si>
  <si>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</si>
  <si>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</si>
  <si>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</si>
  <si>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</si>
  <si>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</si>
  <si>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</si>
  <si>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</si>
  <si>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</si>
  <si>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</si>
  <si>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</si>
  <si>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</si>
  <si>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</si>
  <si>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</si>
  <si>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</si>
  <si>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</si>
  <si>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</si>
  <si>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</si>
  <si>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</si>
  <si>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</si>
  <si>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</si>
  <si>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</si>
  <si>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</si>
  <si>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</si>
  <si>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</si>
  <si>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</si>
  <si>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</si>
  <si>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</si>
  <si>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</si>
  <si>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</si>
  <si>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</si>
  <si>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</si>
  <si>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</si>
  <si>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</si>
  <si>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</si>
  <si>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</si>
  <si>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</si>
  <si>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</si>
  <si>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</si>
  <si>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</si>
  <si>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</si>
  <si>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</si>
  <si>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</si>
  <si>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</si>
  <si>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</si>
  <si>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</si>
  <si>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</si>
  <si>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</si>
  <si>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</si>
  <si>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</si>
  <si>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</si>
  <si>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</si>
  <si>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</si>
  <si>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</si>
  <si>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</si>
  <si>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</si>
  <si>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</si>
  <si>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</si>
  <si>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</si>
  <si>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</si>
  <si>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</si>
  <si>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</si>
  <si>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</si>
  <si>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</si>
  <si>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</si>
  <si>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</si>
  <si>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</si>
  <si>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</si>
  <si>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</si>
  <si>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</si>
  <si>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</si>
  <si>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</si>
  <si>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</si>
  <si>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</si>
  <si>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</si>
  <si>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</si>
  <si>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</si>
  <si>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</si>
  <si>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</si>
  <si>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</si>
  <si>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</si>
  <si>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</si>
  <si>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</si>
  <si>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</si>
  <si>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</si>
  <si>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</si>
  <si>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</si>
  <si>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</si>
  <si>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</si>
  <si>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</si>
  <si>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</si>
  <si>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</si>
  <si>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</si>
  <si>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</si>
  <si>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</si>
  <si>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</si>
  <si>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</si>
  <si>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</si>
  <si>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</si>
  <si>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</si>
  <si>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</si>
  <si>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</si>
  <si>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</si>
  <si>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</si>
  <si>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</si>
  <si>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</si>
  <si>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</si>
  <si>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</si>
  <si>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</si>
  <si>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</si>
  <si>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</si>
  <si>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</si>
  <si>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</si>
  <si>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</si>
  <si>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</si>
  <si>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</si>
  <si>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</si>
  <si>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</si>
  <si>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</si>
  <si>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</si>
  <si>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</si>
  <si>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</si>
  <si>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</si>
  <si>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</si>
  <si>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</si>
  <si>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</si>
  <si>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</si>
  <si>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</si>
  <si>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</si>
  <si>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</si>
  <si>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</si>
  <si>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</si>
  <si>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</si>
  <si>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</si>
  <si>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</si>
  <si>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</si>
  <si>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</si>
  <si>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</si>
  <si>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</si>
  <si>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</si>
  <si>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</si>
  <si>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</si>
  <si>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</si>
  <si>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</si>
  <si>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</si>
  <si>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</si>
  <si>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</si>
  <si>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</si>
  <si>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</si>
  <si>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</si>
  <si>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</si>
  <si>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</si>
  <si>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</si>
  <si>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</si>
  <si>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</si>
  <si>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</si>
  <si>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</si>
  <si>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</si>
  <si>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</si>
  <si>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</si>
  <si>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</si>
  <si>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</si>
  <si>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</si>
  <si>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</si>
  <si>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</si>
  <si>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</si>
  <si>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</si>
  <si>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</si>
  <si>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</si>
  <si>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</si>
  <si>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</si>
  <si>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</si>
  <si>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</si>
  <si>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</si>
  <si>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</si>
  <si>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</si>
  <si>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</si>
  <si>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</si>
  <si>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</si>
  <si>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</si>
  <si>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</si>
  <si>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</si>
  <si>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</si>
  <si>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</si>
  <si>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</si>
  <si>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</si>
  <si>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</si>
  <si>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</si>
  <si>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</si>
  <si>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</si>
  <si>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</si>
  <si>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</si>
  <si>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</si>
  <si>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</si>
  <si>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</si>
  <si>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</si>
  <si>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</si>
  <si>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</si>
  <si>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</si>
  <si>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</si>
  <si>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</si>
  <si>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</si>
  <si>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</si>
  <si>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</si>
  <si>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</si>
  <si>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</si>
  <si>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</si>
  <si>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</si>
  <si>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</si>
  <si>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</si>
  <si>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</si>
  <si>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</si>
  <si>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</si>
  <si>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</si>
  <si>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</si>
  <si>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</si>
  <si>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</si>
  <si>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</si>
  <si>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</si>
  <si>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</si>
  <si>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</si>
  <si>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</si>
  <si>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</si>
  <si>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</si>
  <si>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</si>
  <si>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</si>
  <si>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</si>
  <si>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</si>
  <si>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</si>
  <si>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</si>
  <si>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</si>
  <si>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</si>
  <si>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</si>
  <si>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</si>
  <si>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</si>
  <si>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</si>
  <si>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</si>
  <si>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</si>
  <si>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</si>
  <si>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</si>
  <si>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</si>
  <si>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</si>
  <si>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</si>
  <si>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</si>
  <si>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</si>
  <si>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</si>
  <si>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</si>
  <si>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</si>
  <si>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</si>
  <si>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</si>
  <si>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</si>
  <si>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</si>
  <si>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</si>
  <si>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</si>
  <si>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</si>
  <si>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</si>
  <si>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</si>
  <si>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</si>
  <si>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</si>
  <si>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</si>
  <si>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</si>
  <si>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</si>
  <si>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</si>
  <si>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</si>
  <si>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</si>
  <si>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</si>
  <si>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</si>
  <si>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</si>
  <si>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</si>
  <si>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</si>
  <si>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</si>
  <si>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</si>
  <si>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</si>
  <si>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</si>
  <si>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</si>
  <si>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</si>
  <si>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</si>
  <si>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</si>
  <si>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</si>
  <si>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</si>
  <si>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</si>
  <si>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</si>
  <si>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</si>
  <si>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</si>
  <si>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</si>
  <si>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</si>
  <si>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</si>
  <si>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</si>
  <si>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</si>
  <si>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</si>
  <si>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</si>
  <si>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</si>
  <si>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</si>
  <si>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</si>
  <si>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</si>
  <si>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</si>
  <si>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</si>
  <si>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</si>
  <si>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</si>
  <si>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</si>
  <si>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</si>
  <si>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</si>
  <si>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</si>
  <si>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</si>
  <si>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</si>
  <si>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</si>
  <si>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</si>
  <si>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</si>
  <si>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</si>
  <si>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</si>
  <si>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</si>
  <si>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</si>
  <si>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</si>
  <si>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</si>
  <si>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</si>
  <si>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</si>
  <si>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</si>
  <si>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</si>
  <si>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</si>
  <si>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</si>
  <si>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</si>
  <si>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</si>
  <si>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</si>
  <si>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</si>
  <si>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</si>
  <si>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</si>
  <si>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</si>
  <si>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</si>
  <si>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</si>
  <si>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</si>
  <si>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</si>
  <si>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</si>
  <si>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</si>
  <si>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</si>
  <si>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</si>
  <si>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</si>
  <si>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</si>
  <si>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</si>
  <si>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</si>
  <si>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</si>
  <si>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</si>
  <si>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</si>
  <si>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</si>
  <si>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</si>
  <si>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</si>
  <si>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</si>
  <si>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</si>
  <si>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</si>
  <si>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</si>
  <si>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</si>
  <si>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</si>
  <si>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</si>
  <si>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</si>
  <si>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</si>
  <si>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</si>
  <si>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</si>
  <si>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</si>
  <si>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</si>
  <si>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</si>
  <si>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</si>
  <si>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</si>
  <si>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</si>
  <si>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</si>
  <si>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</si>
  <si>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</si>
  <si>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</si>
  <si>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</si>
  <si>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</si>
  <si>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</si>
  <si>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</si>
  <si>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</si>
  <si>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</si>
  <si>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</si>
  <si>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</si>
  <si>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</si>
  <si>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</si>
  <si>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</si>
  <si>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</si>
  <si>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</si>
  <si>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</si>
  <si>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</si>
  <si>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</si>
  <si>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</si>
  <si>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</si>
  <si>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</si>
  <si>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</si>
  <si>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</si>
  <si>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</si>
  <si>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</si>
  <si>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</si>
  <si>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</si>
  <si>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</si>
  <si>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</si>
  <si>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</si>
  <si>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</si>
  <si>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</si>
  <si>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</si>
  <si>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</si>
  <si>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</si>
  <si>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</si>
  <si>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</si>
  <si>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</si>
  <si>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</si>
  <si>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</si>
  <si>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</si>
  <si>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</si>
  <si>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</si>
  <si>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</si>
  <si>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</si>
  <si>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</si>
  <si>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</si>
  <si>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</si>
  <si>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</si>
  <si>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</si>
  <si>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</si>
  <si>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</si>
  <si>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</si>
  <si>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</si>
  <si>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</si>
  <si>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</si>
  <si>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</si>
  <si>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</si>
  <si>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</si>
  <si>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</si>
  <si>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</si>
  <si>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</si>
  <si>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</si>
  <si>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</si>
  <si>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</si>
  <si>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</si>
  <si>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</si>
  <si>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</si>
  <si>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</si>
  <si>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</si>
  <si>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</si>
  <si>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</si>
  <si>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</si>
  <si>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</si>
  <si>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</si>
  <si>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</si>
  <si>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</si>
  <si>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</si>
  <si>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</si>
  <si>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</si>
  <si>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</si>
  <si>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</si>
  <si>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</si>
  <si>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</si>
  <si>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</si>
  <si>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</si>
  <si>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</si>
  <si>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</si>
  <si>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</si>
  <si>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</si>
  <si>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</si>
  <si>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</si>
  <si>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</si>
  <si>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</si>
  <si>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</si>
  <si>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</si>
  <si>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</si>
  <si>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</si>
  <si>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</si>
  <si>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</si>
  <si>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</si>
  <si>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</si>
  <si>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</si>
  <si>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</si>
  <si>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</si>
  <si>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</si>
  <si>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</si>
  <si>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</si>
  <si>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</si>
  <si>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</si>
  <si>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</si>
  <si>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</si>
  <si>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</si>
  <si>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</si>
  <si>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</si>
  <si>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</si>
  <si>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</si>
  <si>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</si>
  <si>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</si>
  <si>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</si>
  <si>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</si>
  <si>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</si>
  <si>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</si>
  <si>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</si>
  <si>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</si>
  <si>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</si>
  <si>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</si>
  <si>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</si>
  <si>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</si>
  <si>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</si>
  <si>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</si>
  <si>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</si>
  <si>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</si>
  <si>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</si>
  <si>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</si>
  <si>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</si>
  <si>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</si>
  <si>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</si>
  <si>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</si>
  <si>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</si>
  <si>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</si>
  <si>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</si>
  <si>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</si>
  <si>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</si>
  <si>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</si>
  <si>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</si>
  <si>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</si>
  <si>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</si>
  <si>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</si>
  <si>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</si>
  <si>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</si>
  <si>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</si>
  <si>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</si>
  <si>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</si>
  <si>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</si>
  <si>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</si>
  <si>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</si>
  <si>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</si>
  <si>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</si>
  <si>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</si>
  <si>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</si>
  <si>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</si>
  <si>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</si>
  <si>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</si>
  <si>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</si>
  <si>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</si>
  <si>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</si>
  <si>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</si>
  <si>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</si>
  <si>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</si>
  <si>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</si>
  <si>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</si>
  <si>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</si>
  <si>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</si>
  <si>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</si>
  <si>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</si>
  <si>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</si>
  <si>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</si>
  <si>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</si>
  <si>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</si>
  <si>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</si>
  <si>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</si>
  <si>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</si>
  <si>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</si>
  <si>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</si>
  <si>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</si>
  <si>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</si>
  <si>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</si>
  <si>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</si>
  <si>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</si>
  <si>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</si>
  <si>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</si>
  <si>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</si>
  <si>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</si>
  <si>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</si>
  <si>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</si>
  <si>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</si>
  <si>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</si>
  <si>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</si>
  <si>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</si>
  <si>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</si>
  <si>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</si>
  <si>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</si>
  <si>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</si>
  <si>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</si>
  <si>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</si>
  <si>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</si>
  <si>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</si>
  <si>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</si>
  <si>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</si>
  <si>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</si>
  <si>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</si>
  <si>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</si>
  <si>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</si>
  <si>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</si>
  <si>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</si>
  <si>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</si>
  <si>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</si>
  <si>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</si>
  <si>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</si>
  <si>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</si>
  <si>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</si>
  <si>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</si>
  <si>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</si>
  <si>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</si>
  <si>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</si>
  <si>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</si>
  <si>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</si>
  <si>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</si>
  <si>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</si>
  <si>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</si>
  <si>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</si>
  <si>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</si>
  <si>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</si>
  <si>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</si>
  <si>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</si>
  <si>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</si>
  <si>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</si>
  <si>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</si>
  <si>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</si>
  <si>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</si>
  <si>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</si>
  <si>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</si>
  <si>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</si>
  <si>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</si>
  <si>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</si>
  <si>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</si>
  <si>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</si>
  <si>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</si>
  <si>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</si>
  <si>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</si>
  <si>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</si>
  <si>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</si>
  <si>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</si>
  <si>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</si>
  <si>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</si>
  <si>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</si>
  <si>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</si>
  <si>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</si>
  <si>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</si>
  <si>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</si>
  <si>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</si>
  <si>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</si>
  <si>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</si>
  <si>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</si>
  <si>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</si>
  <si>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</si>
  <si>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</si>
  <si>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</si>
  <si>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</si>
  <si>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</si>
  <si>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</si>
  <si>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</si>
  <si>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</si>
  <si>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</si>
  <si>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</si>
  <si>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</si>
  <si>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</si>
  <si>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</si>
  <si>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</si>
  <si>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</si>
  <si>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</si>
  <si>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</si>
  <si>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</si>
  <si>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</si>
  <si>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</si>
  <si>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</si>
  <si>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</si>
  <si>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</si>
  <si>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</si>
  <si>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</si>
  <si>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</si>
  <si>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</si>
  <si>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</si>
  <si>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</si>
  <si>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</si>
  <si>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</si>
  <si>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</si>
  <si>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</si>
  <si>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</si>
  <si>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</si>
  <si>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</si>
  <si>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</si>
  <si>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</si>
  <si>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</si>
  <si>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</si>
  <si>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</si>
  <si>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</si>
  <si>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</si>
  <si>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</si>
  <si>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</si>
  <si>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</si>
  <si>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</si>
  <si>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</si>
  <si>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</si>
  <si>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</si>
  <si>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</si>
  <si>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</si>
  <si>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</si>
  <si>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</si>
  <si>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</si>
  <si>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</si>
  <si>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</si>
  <si>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</si>
  <si>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</si>
  <si>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</si>
  <si>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</si>
  <si>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</si>
  <si>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</si>
  <si>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</si>
  <si>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</si>
  <si>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</si>
  <si>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</si>
  <si>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</si>
  <si>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</si>
  <si>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</si>
  <si>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</si>
  <si>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</si>
  <si>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</si>
  <si>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</si>
  <si>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</si>
  <si>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</si>
  <si>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</si>
  <si>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</si>
  <si>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</si>
  <si>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</si>
  <si>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</si>
  <si>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</si>
  <si>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</si>
  <si>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</si>
  <si>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</si>
  <si>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</si>
  <si>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</si>
  <si>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</si>
  <si>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</si>
  <si>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</si>
  <si>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</si>
  <si>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</si>
  <si>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</si>
  <si>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</si>
  <si>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</si>
  <si>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</si>
  <si>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</si>
  <si>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</si>
  <si>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</si>
  <si>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</si>
  <si>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</si>
  <si>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</si>
  <si>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</si>
  <si>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</si>
  <si>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</si>
  <si>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</si>
  <si>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</si>
  <si>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</si>
  <si>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</si>
  <si>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</si>
  <si>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</si>
  <si>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</si>
  <si>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</si>
  <si>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</si>
  <si>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</si>
  <si>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</si>
  <si>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</si>
  <si>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</si>
  <si>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</si>
  <si>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</si>
  <si>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</si>
  <si>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</si>
  <si>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</si>
  <si>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</si>
  <si>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</si>
  <si>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</si>
  <si>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</si>
  <si>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</si>
  <si>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</si>
  <si>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</si>
  <si>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</si>
  <si>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</si>
  <si>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</si>
  <si>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</si>
  <si>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</si>
  <si>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</si>
  <si>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</si>
  <si>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</si>
  <si>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</si>
  <si>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</si>
  <si>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</si>
  <si>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</si>
  <si>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</si>
  <si>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</si>
  <si>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</si>
  <si>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</si>
  <si>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</si>
  <si>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</si>
  <si>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</si>
  <si>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</si>
  <si>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</si>
  <si>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</si>
  <si>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</si>
  <si>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</si>
  <si>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</si>
  <si>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</si>
  <si>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</si>
  <si>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</si>
  <si>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</si>
  <si>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</si>
  <si>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</si>
  <si>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</si>
  <si>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</si>
  <si>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</si>
  <si>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</si>
  <si>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</si>
  <si>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</si>
  <si>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</si>
  <si>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</si>
  <si>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</si>
  <si>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</si>
  <si>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</si>
  <si>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</si>
  <si>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</si>
  <si>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</si>
  <si>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</si>
  <si>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</si>
  <si>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</si>
  <si>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</si>
  <si>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</si>
  <si>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</si>
  <si>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</si>
  <si>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</si>
  <si>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</si>
  <si>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</si>
  <si>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</si>
  <si>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</si>
  <si>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</si>
  <si>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</si>
  <si>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</si>
  <si>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</si>
  <si>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</si>
  <si>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</si>
  <si>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</si>
  <si>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</si>
  <si>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</si>
  <si>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</si>
  <si>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</si>
  <si>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</si>
  <si>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</si>
  <si>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</si>
  <si>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</si>
  <si>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</si>
  <si>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</si>
  <si>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</si>
  <si>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</si>
  <si>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</si>
  <si>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</si>
  <si>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</si>
  <si>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</si>
  <si>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</si>
  <si>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</si>
  <si>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</si>
  <si>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</si>
  <si>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</si>
  <si>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</si>
  <si>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</si>
  <si>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</si>
  <si>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</si>
  <si>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</si>
  <si>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</si>
  <si>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</si>
  <si>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</si>
  <si>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</si>
  <si>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</si>
  <si>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</si>
  <si>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</si>
  <si>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</si>
  <si>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</si>
  <si>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</si>
  <si>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</si>
  <si>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</si>
  <si>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</si>
  <si>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</si>
  <si>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</si>
  <si>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</si>
  <si>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</si>
  <si>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</si>
  <si>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</si>
  <si>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</si>
  <si>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</si>
  <si>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</si>
  <si>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</si>
  <si>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</si>
  <si>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</si>
  <si>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</si>
  <si>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</si>
  <si>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</si>
  <si>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</si>
  <si>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</si>
  <si>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</si>
  <si>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</si>
  <si>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</si>
  <si>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</si>
  <si>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</si>
  <si>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</si>
  <si>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</si>
  <si>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</si>
  <si>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</si>
  <si>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</si>
  <si>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</si>
  <si>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</si>
  <si>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</si>
  <si>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</si>
  <si>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</si>
  <si>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</si>
  <si>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</si>
  <si>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</si>
  <si>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</si>
  <si>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</si>
  <si>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</si>
  <si>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</si>
  <si>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</si>
  <si>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</si>
  <si>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</si>
  <si>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</si>
  <si>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</si>
  <si>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</si>
  <si>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</si>
  <si>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</si>
  <si>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</si>
  <si>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</si>
  <si>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</si>
  <si>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</si>
  <si>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</si>
  <si>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</si>
  <si>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</si>
  <si>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</si>
  <si>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</si>
  <si>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</si>
  <si>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</si>
  <si>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</si>
  <si>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</si>
  <si>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</si>
  <si>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</si>
  <si>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</si>
  <si>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</si>
  <si>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</si>
  <si>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</si>
  <si>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</si>
  <si>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</si>
  <si>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</si>
  <si>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</si>
  <si>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</si>
  <si>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</si>
  <si>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</si>
  <si>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</si>
  <si>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</si>
  <si>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</si>
  <si>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</si>
  <si>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</si>
  <si>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</si>
  <si>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</si>
  <si>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</si>
  <si>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</si>
  <si>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</si>
  <si>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</si>
  <si>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</si>
  <si>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</si>
  <si>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</si>
  <si>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</si>
  <si>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</si>
  <si>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</si>
  <si>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</si>
  <si>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</si>
  <si>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</si>
  <si>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</si>
  <si>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</si>
  <si>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</si>
  <si>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</si>
  <si>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</si>
  <si>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</si>
  <si>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</si>
  <si>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</si>
  <si>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</si>
  <si>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</si>
  <si>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</si>
  <si>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</si>
  <si>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</si>
  <si>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</si>
  <si>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</si>
  <si>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</si>
  <si>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</si>
  <si>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</si>
  <si>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</si>
  <si>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</si>
  <si>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</si>
  <si>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</si>
  <si>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</si>
  <si>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</si>
  <si>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</si>
  <si>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</si>
  <si>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</si>
  <si>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</si>
  <si>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</si>
  <si>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</si>
  <si>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</si>
  <si>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</si>
  <si>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</si>
  <si>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</si>
  <si>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</si>
  <si>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</si>
  <si>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</si>
  <si>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</si>
  <si>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</si>
  <si>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</si>
  <si>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</si>
  <si>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</si>
  <si>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</si>
  <si>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</si>
  <si>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</si>
  <si>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</si>
  <si>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</si>
  <si>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</si>
  <si>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</si>
  <si>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</si>
  <si>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</si>
  <si>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</si>
  <si>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</si>
  <si>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</si>
  <si>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</si>
  <si>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</si>
  <si>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</si>
  <si>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</si>
  <si>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</si>
  <si>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</si>
  <si>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</si>
  <si>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</si>
  <si>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</si>
  <si>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</si>
  <si>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</si>
  <si>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</si>
  <si>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</si>
  <si>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</si>
  <si>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</si>
  <si>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</si>
  <si>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</si>
  <si>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</si>
  <si>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</si>
  <si>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</si>
  <si>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</si>
  <si>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</si>
  <si>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</si>
  <si>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</si>
  <si>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</si>
  <si>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</si>
  <si>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</si>
  <si>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</si>
  <si>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</si>
  <si>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</si>
  <si>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</si>
  <si>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</si>
  <si>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</si>
  <si>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</si>
  <si>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</si>
  <si>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</si>
  <si>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</si>
  <si>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</si>
  <si>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</si>
  <si>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</si>
  <si>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</si>
  <si>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</si>
  <si>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</si>
  <si>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</si>
  <si>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</si>
  <si>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</si>
  <si>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</si>
  <si>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</si>
  <si>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</si>
  <si>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</si>
  <si>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</si>
  <si>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</si>
  <si>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</si>
  <si>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</si>
  <si>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</si>
  <si>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</si>
  <si>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</si>
  <si>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</si>
  <si>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</si>
  <si>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</si>
  <si>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</si>
  <si>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</si>
  <si>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</si>
  <si>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</si>
  <si>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</si>
  <si>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</si>
  <si>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</si>
  <si>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</si>
  <si>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</si>
  <si>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</si>
  <si>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</si>
  <si>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</si>
  <si>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</si>
  <si>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</si>
  <si>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</si>
  <si>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</si>
  <si>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</si>
  <si>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</si>
  <si>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</si>
  <si>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</si>
  <si>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</si>
  <si>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</si>
  <si>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</si>
  <si>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</si>
  <si>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</si>
  <si>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</si>
  <si>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</si>
  <si>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</si>
  <si>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</si>
  <si>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</si>
  <si>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</si>
  <si>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</si>
  <si>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</si>
  <si>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</si>
  <si>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</si>
  <si>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</si>
  <si>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</si>
  <si>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</si>
  <si>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</si>
  <si>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</si>
  <si>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</si>
  <si>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</si>
  <si>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</si>
  <si>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</si>
  <si>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</si>
  <si>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</si>
  <si>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</si>
  <si>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</si>
  <si>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</si>
  <si>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</si>
  <si>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</si>
  <si>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</si>
  <si>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</si>
  <si>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</si>
  <si>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</si>
  <si>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</si>
  <si>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</si>
  <si>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</si>
  <si>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</si>
  <si>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</si>
  <si>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</si>
  <si>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</si>
  <si>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</si>
  <si>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</si>
  <si>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</si>
  <si>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</si>
  <si>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</si>
  <si>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</si>
  <si>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</si>
  <si>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</si>
  <si>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</si>
  <si>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</si>
  <si>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</si>
  <si>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</si>
  <si>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</si>
  <si>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</si>
  <si>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</si>
  <si>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</si>
  <si>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</si>
  <si>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</si>
  <si>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</si>
  <si>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</si>
  <si>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</si>
  <si>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</si>
  <si>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</si>
  <si>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</si>
  <si>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</si>
  <si>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</si>
  <si>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</si>
  <si>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</si>
  <si>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</si>
  <si>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</si>
  <si>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</si>
  <si>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</si>
  <si>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</si>
  <si>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</si>
  <si>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</si>
  <si>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</si>
  <si>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</si>
  <si>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</si>
  <si>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</si>
  <si>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</si>
  <si>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</si>
  <si>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</si>
  <si>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</si>
  <si>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</si>
  <si>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</si>
  <si>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</si>
  <si>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</si>
  <si>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</si>
  <si>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</si>
  <si>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</si>
  <si>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</si>
  <si>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</si>
  <si>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</si>
  <si>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</si>
  <si>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</si>
  <si>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</si>
  <si>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</si>
  <si>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</si>
  <si>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</si>
  <si>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</si>
  <si>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</si>
  <si>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</si>
  <si>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</si>
  <si>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</si>
  <si>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</si>
  <si>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</si>
  <si>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</si>
  <si>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</si>
  <si>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</si>
  <si>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</si>
  <si>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</si>
  <si>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</si>
  <si>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</si>
  <si>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</si>
  <si>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</si>
  <si>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</si>
  <si>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</si>
  <si>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</si>
  <si>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</si>
  <si>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</si>
  <si>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</si>
  <si>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</si>
  <si>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</si>
  <si>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</si>
  <si>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</si>
  <si>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</si>
  <si>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</si>
  <si>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</si>
  <si>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</si>
  <si>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</si>
  <si>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</si>
  <si>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</si>
  <si>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</si>
  <si>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</si>
  <si>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</si>
  <si>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</si>
  <si>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</si>
  <si>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</si>
  <si>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</si>
  <si>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</si>
  <si>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</si>
  <si>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</si>
  <si>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</si>
  <si>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</si>
  <si>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</si>
  <si>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</si>
  <si>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</si>
  <si>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</si>
  <si>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</si>
  <si>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</si>
  <si>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</si>
  <si>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</si>
  <si>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</si>
  <si>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</si>
  <si>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</si>
  <si>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</si>
  <si>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</si>
  <si>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</si>
  <si>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</si>
  <si>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</si>
  <si>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</si>
  <si>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</si>
  <si>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</si>
  <si>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</si>
  <si>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</si>
  <si>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</si>
  <si>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</si>
  <si>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</si>
  <si>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</si>
  <si>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</si>
  <si>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</si>
  <si>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</si>
  <si>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</si>
  <si>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</si>
  <si>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</si>
  <si>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</si>
  <si>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</si>
  <si>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</si>
  <si>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</si>
  <si>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</si>
  <si>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</si>
  <si>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</si>
  <si>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</si>
  <si>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</si>
  <si>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</si>
  <si>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</si>
  <si>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</si>
  <si>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</si>
  <si>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</si>
  <si>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</si>
  <si>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</si>
  <si>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</si>
  <si>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</si>
  <si>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</si>
  <si>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</si>
  <si>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</si>
  <si>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</si>
  <si>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</si>
  <si>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</si>
  <si>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</si>
  <si>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</si>
  <si>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</si>
  <si>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</si>
  <si>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</si>
  <si>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</si>
  <si>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</si>
  <si>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</si>
  <si>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</si>
  <si>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</si>
  <si>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</si>
  <si>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</si>
  <si>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</si>
  <si>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</si>
  <si>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</si>
  <si>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</si>
  <si>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</si>
  <si>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</si>
  <si>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</si>
  <si>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</si>
  <si>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</si>
  <si>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</si>
  <si>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</si>
  <si>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</si>
  <si>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</si>
  <si>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</si>
  <si>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</si>
  <si>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</si>
  <si>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</si>
  <si>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</si>
  <si>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</si>
  <si>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</si>
  <si>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</si>
  <si>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</si>
  <si>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</si>
  <si>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</si>
  <si>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</si>
  <si>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</si>
  <si>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</si>
  <si>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</si>
  <si>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</si>
  <si>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</si>
  <si>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</si>
  <si>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</si>
  <si>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</si>
  <si>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</si>
  <si>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</si>
  <si>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</si>
  <si>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</si>
  <si>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</si>
  <si>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</si>
  <si>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</si>
  <si>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</si>
  <si>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</si>
  <si>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</si>
  <si>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</si>
  <si>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</si>
  <si>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</si>
  <si>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</si>
  <si>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</si>
  <si>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</si>
  <si>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</si>
  <si>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</si>
  <si>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</si>
  <si>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</si>
  <si>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</si>
  <si>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</si>
  <si>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</si>
  <si>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</si>
  <si>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</si>
  <si>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</si>
  <si>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</si>
  <si>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</si>
  <si>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</si>
  <si>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</si>
  <si>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</si>
  <si>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</si>
  <si>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</si>
  <si>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</si>
  <si>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</si>
  <si>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</si>
  <si>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</si>
  <si>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</si>
  <si>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</si>
  <si>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</si>
  <si>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</si>
  <si>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</si>
  <si>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</si>
  <si>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</si>
  <si>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</si>
  <si>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</si>
  <si>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</si>
  <si>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</si>
  <si>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</si>
  <si>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</si>
  <si>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</si>
  <si>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</si>
  <si>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</si>
  <si>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</si>
  <si>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</si>
  <si>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</si>
  <si>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</si>
  <si>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</si>
  <si>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</si>
  <si>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</si>
  <si>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</si>
  <si>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</si>
  <si>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</si>
  <si>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</si>
  <si>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</si>
  <si>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</si>
  <si>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</si>
  <si>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</si>
  <si>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</si>
  <si>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</si>
  <si>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</si>
  <si>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</si>
  <si>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</si>
  <si>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</si>
  <si>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</si>
  <si>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</si>
  <si>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</si>
  <si>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</si>
  <si>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</si>
  <si>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</si>
  <si>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</si>
  <si>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</si>
  <si>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</si>
  <si>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</si>
  <si>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</si>
  <si>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</si>
  <si>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</si>
  <si>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</si>
  <si>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</si>
  <si>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</si>
  <si>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</si>
  <si>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</si>
  <si>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</si>
  <si>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</si>
  <si>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</si>
  <si>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</si>
  <si>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</si>
  <si>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</si>
  <si>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</si>
  <si>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</si>
  <si>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</si>
  <si>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</si>
  <si>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</si>
  <si>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</si>
  <si>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</si>
  <si>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</si>
  <si>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</si>
  <si>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</si>
  <si>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</si>
  <si>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</si>
  <si>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</si>
  <si>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</si>
  <si>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</si>
  <si>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</si>
  <si>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</si>
  <si>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</si>
  <si>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</si>
  <si>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</si>
  <si>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</si>
  <si>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</si>
  <si>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</si>
  <si>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</si>
  <si>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</si>
  <si>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</si>
  <si>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</si>
  <si>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</si>
  <si>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</si>
  <si>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</si>
  <si>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</si>
  <si>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</si>
  <si>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</si>
  <si>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</si>
  <si>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</si>
  <si>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</si>
  <si>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</si>
  <si>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</si>
  <si>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</si>
  <si>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</si>
  <si>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</si>
  <si>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</si>
  <si>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</si>
  <si>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</si>
  <si>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</si>
  <si>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</si>
  <si>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</si>
  <si>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</si>
  <si>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</si>
  <si>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</si>
  <si>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</si>
  <si>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</si>
  <si>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</si>
  <si>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</si>
  <si>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</si>
  <si>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</si>
  <si>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</si>
  <si>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</si>
  <si>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</si>
  <si>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</si>
  <si>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</si>
  <si>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</si>
  <si>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</si>
  <si>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</si>
  <si>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</si>
  <si>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</si>
  <si>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</si>
  <si>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</si>
  <si>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</si>
  <si>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</si>
  <si>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</si>
  <si>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</si>
  <si>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</si>
  <si>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</si>
  <si>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</si>
  <si>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</si>
  <si>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</si>
  <si>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</si>
  <si>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</si>
  <si>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</si>
  <si>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</si>
  <si>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</si>
  <si>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</si>
  <si>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</si>
  <si>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</si>
  <si>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</si>
  <si>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</si>
  <si>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</si>
  <si>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</si>
  <si>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</si>
  <si>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</si>
  <si>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</si>
  <si>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</si>
  <si>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</si>
  <si>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</si>
  <si>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</si>
  <si>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</si>
  <si>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</si>
  <si>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</si>
  <si>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</si>
  <si>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</si>
  <si>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</si>
  <si>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</si>
  <si>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</si>
  <si>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</si>
  <si>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</si>
  <si>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</si>
  <si>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</si>
  <si>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</si>
  <si>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</si>
  <si>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</si>
  <si>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</si>
  <si>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</si>
  <si>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</si>
  <si>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</si>
  <si>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</si>
  <si>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</si>
  <si>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</si>
  <si>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</si>
  <si>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</si>
  <si>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</si>
  <si>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</si>
  <si>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</si>
  <si>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</si>
  <si>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</si>
  <si>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</si>
  <si>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</si>
  <si>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</si>
  <si>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</si>
  <si>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</si>
  <si>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</si>
  <si>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</si>
  <si>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</si>
  <si>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</si>
  <si>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</si>
  <si>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</si>
  <si>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</si>
  <si>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</si>
  <si>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</si>
  <si>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</si>
  <si>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</si>
  <si>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</si>
  <si>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</si>
  <si>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</si>
  <si>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</si>
  <si>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</si>
  <si>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</si>
  <si>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</si>
  <si>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</si>
  <si>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</si>
  <si>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</si>
  <si>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</si>
  <si>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</si>
  <si>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</si>
  <si>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</si>
  <si>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</si>
  <si>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</si>
  <si>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</si>
  <si>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</si>
  <si>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</si>
  <si>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</si>
  <si>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</si>
  <si>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</si>
  <si>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</si>
  <si>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</si>
  <si>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</si>
  <si>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</si>
  <si>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</si>
  <si>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</si>
  <si>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</si>
  <si>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</si>
  <si>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</si>
  <si>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</si>
  <si>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</si>
  <si>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</si>
  <si>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</si>
  <si>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</si>
  <si>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</si>
  <si>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</si>
  <si>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</si>
  <si>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</si>
  <si>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</si>
  <si>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</si>
  <si>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</si>
  <si>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</si>
  <si>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</si>
  <si>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</si>
  <si>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</si>
  <si>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</si>
  <si>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</si>
  <si>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</si>
  <si>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</si>
  <si>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</si>
  <si>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</si>
  <si>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</si>
  <si>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</si>
  <si>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</si>
  <si>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</si>
  <si>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</si>
  <si>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</si>
  <si>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</si>
  <si>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</si>
  <si>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</si>
  <si>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</si>
  <si>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</si>
  <si>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</si>
  <si>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</si>
  <si>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</si>
  <si>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</si>
  <si>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</si>
  <si>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</si>
  <si>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</si>
  <si>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</si>
  <si>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</si>
  <si>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</si>
  <si>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</si>
  <si>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</si>
  <si>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</si>
  <si>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</si>
  <si>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</si>
  <si>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</si>
  <si>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</si>
  <si>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</si>
  <si>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</si>
  <si>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</si>
  <si>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</si>
  <si>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</si>
  <si>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</si>
  <si>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</si>
  <si>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</si>
  <si>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</si>
  <si>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</si>
  <si>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</si>
  <si>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</si>
  <si>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</si>
  <si>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</si>
  <si>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</si>
  <si>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</si>
  <si>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</si>
  <si>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</si>
  <si>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</si>
  <si>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</si>
  <si>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</si>
  <si>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</si>
  <si>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</si>
  <si>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</si>
  <si>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</si>
  <si>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</si>
  <si>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</si>
  <si>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</si>
  <si>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</si>
  <si>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</si>
  <si>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</si>
  <si>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</si>
  <si>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</si>
  <si>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</si>
  <si>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</si>
  <si>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</si>
  <si>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</si>
  <si>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</si>
  <si>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</si>
  <si>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</si>
  <si>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</si>
  <si>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</si>
  <si>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</si>
  <si>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</si>
  <si>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</si>
  <si>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</si>
  <si>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</si>
  <si>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</si>
  <si>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</si>
  <si>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</si>
  <si>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</si>
  <si>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</si>
  <si>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</si>
  <si>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</si>
  <si>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</si>
  <si>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</si>
  <si>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</si>
  <si>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</si>
  <si>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</si>
  <si>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</si>
  <si>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</si>
  <si>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</si>
  <si>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</si>
  <si>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</si>
  <si>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</si>
  <si>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</si>
  <si>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</si>
  <si>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</si>
  <si>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</si>
  <si>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</si>
  <si>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</si>
  <si>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</si>
  <si>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</si>
  <si>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</si>
  <si>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</si>
  <si>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</si>
  <si>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</si>
  <si>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</si>
  <si>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</si>
  <si>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</si>
  <si>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</si>
  <si>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</si>
  <si>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</si>
  <si>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</si>
  <si>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</si>
  <si>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</si>
  <si>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</si>
  <si>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</si>
  <si>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</si>
  <si>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</si>
  <si>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</si>
  <si>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</si>
  <si>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</si>
  <si>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</si>
  <si>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</si>
  <si>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</si>
  <si>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</si>
  <si>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</si>
  <si>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</si>
  <si>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</si>
  <si>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</si>
  <si>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</si>
  <si>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</si>
  <si>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</si>
  <si>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</si>
  <si>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</si>
  <si>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</si>
  <si>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</si>
  <si>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</si>
  <si>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</si>
  <si>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</si>
  <si>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</si>
  <si>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</si>
  <si>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</si>
  <si>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</si>
  <si>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</si>
  <si>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</si>
  <si>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</si>
  <si>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</si>
  <si>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</si>
  <si>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</si>
  <si>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</si>
  <si>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</si>
  <si>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</si>
  <si>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</si>
  <si>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</si>
  <si>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</si>
  <si>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</si>
  <si>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</si>
  <si>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</si>
  <si>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</si>
  <si>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</si>
  <si>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</si>
  <si>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</si>
  <si>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</si>
  <si>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</si>
  <si>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</si>
  <si>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</si>
  <si>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</si>
  <si>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</si>
  <si>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</si>
  <si>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</si>
  <si>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</si>
  <si>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</si>
  <si>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</si>
  <si>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</si>
  <si>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</si>
  <si>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</si>
  <si>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</si>
  <si>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</si>
  <si>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</si>
  <si>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</si>
  <si>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</si>
  <si>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</si>
  <si>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</si>
  <si>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</si>
  <si>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</si>
  <si>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</si>
  <si>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</si>
  <si>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</si>
  <si>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</si>
  <si>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</si>
  <si>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</si>
  <si>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</si>
  <si>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</si>
  <si>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</si>
  <si>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</si>
  <si>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</si>
  <si>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</si>
  <si>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</si>
  <si>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</si>
  <si>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</si>
  <si>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</si>
  <si>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</si>
  <si>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</si>
  <si>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</si>
  <si>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</si>
  <si>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</si>
  <si>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</si>
  <si>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</si>
  <si>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</si>
  <si>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</si>
  <si>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</si>
  <si>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</si>
  <si>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</si>
  <si>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</si>
  <si>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</si>
  <si>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</si>
  <si>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</si>
  <si>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</si>
  <si>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</si>
  <si>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</si>
  <si>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</si>
  <si>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</si>
  <si>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</si>
  <si>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</si>
  <si>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</si>
  <si>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</si>
  <si>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</si>
  <si>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</si>
  <si>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</si>
  <si>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</si>
  <si>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</si>
  <si>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</si>
  <si>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</si>
  <si>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</si>
  <si>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</si>
  <si>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</si>
  <si>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</si>
  <si>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</si>
  <si>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</si>
  <si>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</si>
  <si>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</si>
  <si>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</si>
  <si>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</si>
  <si>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</si>
  <si>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</si>
  <si>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</si>
  <si>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</si>
  <si>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</si>
  <si>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</si>
  <si>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</si>
  <si>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</si>
  <si>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</si>
  <si>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</si>
  <si>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</si>
  <si>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</si>
  <si>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</si>
  <si>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</si>
  <si>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</si>
  <si>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</si>
  <si>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</si>
  <si>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</si>
  <si>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</si>
  <si>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</si>
  <si>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</si>
  <si>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</si>
  <si>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</si>
  <si>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</si>
  <si>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</si>
  <si>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</si>
  <si>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</si>
  <si>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</si>
  <si>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</si>
  <si>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</si>
  <si>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</si>
  <si>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</si>
  <si>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</si>
  <si>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</si>
  <si>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</si>
  <si>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</si>
  <si>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</si>
  <si>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</si>
  <si>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</si>
  <si>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</si>
  <si>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</si>
  <si>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</si>
  <si>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</si>
  <si>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</si>
  <si>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</si>
  <si>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</si>
  <si>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</si>
  <si>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</si>
  <si>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</si>
  <si>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</si>
  <si>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</si>
  <si>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</si>
  <si>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</si>
  <si>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</si>
  <si>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</si>
  <si>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</si>
  <si>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</si>
  <si>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</si>
  <si>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</si>
  <si>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</si>
  <si>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</si>
  <si>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</si>
  <si>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</si>
  <si>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</si>
  <si>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</si>
  <si>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</si>
  <si>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</si>
  <si>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</si>
  <si>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</si>
  <si>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</si>
  <si>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</si>
  <si>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</si>
  <si>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</si>
  <si>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</si>
  <si>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</si>
  <si>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</si>
  <si>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</si>
  <si>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</si>
  <si>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</si>
  <si>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</si>
  <si>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</si>
  <si>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</si>
  <si>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</si>
  <si>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</si>
  <si>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</si>
  <si>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</si>
  <si>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</si>
  <si>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</si>
  <si>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</si>
  <si>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</si>
  <si>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</si>
  <si>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</si>
  <si>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</si>
  <si>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</si>
  <si>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</si>
  <si>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</si>
  <si>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</si>
  <si>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</si>
  <si>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</si>
  <si>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</si>
  <si>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</si>
  <si>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</si>
  <si>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</si>
  <si>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</si>
  <si>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</si>
  <si>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</si>
  <si>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</si>
  <si>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</si>
  <si>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</si>
  <si>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</si>
  <si>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</si>
  <si>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</si>
  <si>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</si>
  <si>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</si>
  <si>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</si>
  <si>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</si>
  <si>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</si>
  <si>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</si>
  <si>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</si>
  <si>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</si>
  <si>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</si>
  <si>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</si>
  <si>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</si>
  <si>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</si>
  <si>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</si>
  <si>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</si>
  <si>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</si>
  <si>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</si>
  <si>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</si>
  <si>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</si>
  <si>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</si>
  <si>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</si>
  <si>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</si>
  <si>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</si>
  <si>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</si>
  <si>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</si>
  <si>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</si>
  <si>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</si>
  <si>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</si>
  <si>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</si>
  <si>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</si>
  <si>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</si>
  <si>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</si>
  <si>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</si>
  <si>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</si>
  <si>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</si>
  <si>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</si>
  <si>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</si>
  <si>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</si>
  <si>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</si>
  <si>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</si>
  <si>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</si>
  <si>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</si>
  <si>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</si>
  <si>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</si>
  <si>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</si>
  <si>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</si>
  <si>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</si>
  <si>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</si>
  <si>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</si>
  <si>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</si>
  <si>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</si>
  <si>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</si>
  <si>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</si>
  <si>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</si>
  <si>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</si>
  <si>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</si>
  <si>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</si>
  <si>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</si>
  <si>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</si>
  <si>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</si>
  <si>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</si>
  <si>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</si>
  <si>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</si>
  <si>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</si>
  <si>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</si>
  <si>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</si>
  <si>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</si>
  <si>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</si>
  <si>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</si>
  <si>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</si>
  <si>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</si>
  <si>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</si>
  <si>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</si>
  <si>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</si>
  <si>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</si>
  <si>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</si>
  <si>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</si>
  <si>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</si>
  <si>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</si>
  <si>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</si>
  <si>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</si>
  <si>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</si>
  <si>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</si>
  <si>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</si>
  <si>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</si>
  <si>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</si>
  <si>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</si>
  <si>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</si>
  <si>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</si>
  <si>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</si>
  <si>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</si>
  <si>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</si>
  <si>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</si>
  <si>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</si>
  <si>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</si>
  <si>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</si>
  <si>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</si>
  <si>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</si>
  <si>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</si>
  <si>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</si>
  <si>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</si>
  <si>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</si>
  <si>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</si>
  <si>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</si>
  <si>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</si>
  <si>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</si>
  <si>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</si>
  <si>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</si>
  <si>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</si>
  <si>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</si>
  <si>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</si>
  <si>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</si>
  <si>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</si>
  <si>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</si>
  <si>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</si>
  <si>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</si>
  <si>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</si>
  <si>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</si>
  <si>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</si>
  <si>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</si>
  <si>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</si>
  <si>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</si>
  <si>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</si>
  <si>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</si>
  <si>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</si>
  <si>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</si>
  <si>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</si>
  <si>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</si>
  <si>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</si>
  <si>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</si>
  <si>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</si>
  <si>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</si>
  <si>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</si>
  <si>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</si>
  <si>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</si>
  <si>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</si>
  <si>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</si>
  <si>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</si>
  <si>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</si>
  <si>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</si>
  <si>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</si>
  <si>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</si>
  <si>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</si>
  <si>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</si>
  <si>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</si>
  <si>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</si>
  <si>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</si>
  <si>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</si>
  <si>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</si>
  <si>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</si>
  <si>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</si>
  <si>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</si>
  <si>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</si>
  <si>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</si>
  <si>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</si>
  <si>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</si>
  <si>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</si>
  <si>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</si>
  <si>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</si>
  <si>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</si>
  <si>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</si>
  <si>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</si>
  <si>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</si>
  <si>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</si>
  <si>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</si>
  <si>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</si>
  <si>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</si>
  <si>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</si>
  <si>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</si>
  <si>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</si>
  <si>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</si>
  <si>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</si>
  <si>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</si>
  <si>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</si>
  <si>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</si>
  <si>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</si>
  <si>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</si>
  <si>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</si>
  <si>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</si>
  <si>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</si>
  <si>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</si>
  <si>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</si>
  <si>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</si>
  <si>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</si>
  <si>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</si>
  <si>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</si>
  <si>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</si>
  <si>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</si>
  <si>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</si>
  <si>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</si>
  <si>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</si>
  <si>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</si>
  <si>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</si>
  <si>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</si>
  <si>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</si>
  <si>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</si>
  <si>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</si>
  <si>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</si>
  <si>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</si>
  <si>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</si>
  <si>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</si>
  <si>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</si>
  <si>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</si>
  <si>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</si>
  <si>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</si>
  <si>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</si>
  <si>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</si>
  <si>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</si>
  <si>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</si>
  <si>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</si>
  <si>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</si>
  <si>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</si>
  <si>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</si>
  <si>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</si>
  <si>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</si>
  <si>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</si>
  <si>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</si>
  <si>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</si>
  <si>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</si>
  <si>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</si>
  <si>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</si>
  <si>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</si>
  <si>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</si>
  <si>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</si>
  <si>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</si>
  <si>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</si>
  <si>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</si>
  <si>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</si>
  <si>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</si>
  <si>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</si>
  <si>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</si>
  <si>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</si>
  <si>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</si>
  <si>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</si>
  <si>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</si>
  <si>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</si>
  <si>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</si>
  <si>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</si>
  <si>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</si>
  <si>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</si>
  <si>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</si>
  <si>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</si>
  <si>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</si>
  <si>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</si>
  <si>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</si>
  <si>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</si>
  <si>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</si>
  <si>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</si>
  <si>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</si>
  <si>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</si>
  <si>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</si>
  <si>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</si>
  <si>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</si>
  <si>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</si>
  <si>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</si>
  <si>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</si>
  <si>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</si>
  <si>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</si>
  <si>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</si>
  <si>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</si>
  <si>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</si>
  <si>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</si>
  <si>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</si>
  <si>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</si>
  <si>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</si>
  <si>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</si>
  <si>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</si>
  <si>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</si>
  <si>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</si>
  <si>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</si>
  <si>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</si>
  <si>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</si>
  <si>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</si>
  <si>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</si>
  <si>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</si>
  <si>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</si>
  <si>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</si>
  <si>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</si>
  <si>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</si>
  <si>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</si>
  <si>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</si>
  <si>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</si>
  <si>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</si>
  <si>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</si>
  <si>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</si>
  <si>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</si>
  <si>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</si>
  <si>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</si>
  <si>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</si>
  <si>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</si>
  <si>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</si>
  <si>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</si>
  <si>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</si>
  <si>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</si>
  <si>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</si>
  <si>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</si>
  <si>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</si>
  <si>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</si>
  <si>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</si>
  <si>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</si>
  <si>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</si>
  <si>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</si>
  <si>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</si>
  <si>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</si>
  <si>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</si>
  <si>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</si>
  <si>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</si>
  <si>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</si>
  <si>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</si>
  <si>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</si>
  <si>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</si>
  <si>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</si>
  <si>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</si>
  <si>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</si>
  <si>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</si>
  <si>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</si>
  <si>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</si>
  <si>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</si>
  <si>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</si>
  <si>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</si>
  <si>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</si>
  <si>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</si>
  <si>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</si>
  <si>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</si>
  <si>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</si>
  <si>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</si>
  <si>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</si>
  <si>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</si>
  <si>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</si>
  <si>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</si>
  <si>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</si>
  <si>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</si>
  <si>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</si>
  <si>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</si>
  <si>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</si>
  <si>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</si>
  <si>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</si>
  <si>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</si>
  <si>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</si>
  <si>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</si>
  <si>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</si>
  <si>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</si>
  <si>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</si>
  <si>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</si>
  <si>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</si>
  <si>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</si>
  <si>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</si>
  <si>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</si>
  <si>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</si>
  <si>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</si>
  <si>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</si>
  <si>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</si>
  <si>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</si>
  <si>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</si>
  <si>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</si>
  <si>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</si>
  <si>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</si>
  <si>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</si>
  <si>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</si>
  <si>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</si>
  <si>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</si>
  <si>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</si>
  <si>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</si>
  <si>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</si>
  <si>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</si>
  <si>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</si>
  <si>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</si>
  <si>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</si>
  <si>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</si>
  <si>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</si>
  <si>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</si>
  <si>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</si>
  <si>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</si>
  <si>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</si>
  <si>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</si>
  <si>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</si>
  <si>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</si>
  <si>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</si>
  <si>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</si>
  <si>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</si>
  <si>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</si>
  <si>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</si>
  <si>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</si>
  <si>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</si>
  <si>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</si>
  <si>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</si>
  <si>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</si>
  <si>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</si>
  <si>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</si>
  <si>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</si>
  <si>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</si>
  <si>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</si>
  <si>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</si>
  <si>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</si>
  <si>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</si>
  <si>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</si>
  <si>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</si>
  <si>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</si>
  <si>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</si>
  <si>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</si>
  <si>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</si>
  <si>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</si>
  <si>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</si>
  <si>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</si>
  <si>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</si>
  <si>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</si>
  <si>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</si>
  <si>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</si>
  <si>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</si>
  <si>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</si>
  <si>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</si>
  <si>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</si>
  <si>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</si>
  <si>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</si>
  <si>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</si>
  <si>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</si>
  <si>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</si>
  <si>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</si>
  <si>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</si>
  <si>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</si>
  <si>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</si>
  <si>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</si>
  <si>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</si>
  <si>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</si>
  <si>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</si>
  <si>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</si>
  <si>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</si>
  <si>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</si>
  <si>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</si>
  <si>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</si>
  <si>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</si>
  <si>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</si>
  <si>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</si>
  <si>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</si>
  <si>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</si>
  <si>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</si>
  <si>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</si>
  <si>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</si>
  <si>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</si>
  <si>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</si>
  <si>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</si>
  <si>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</si>
  <si>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</si>
  <si>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</si>
  <si>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</si>
  <si>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</si>
  <si>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</si>
  <si>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</si>
  <si>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</si>
  <si>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</si>
  <si>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</si>
  <si>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</si>
  <si>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</si>
  <si>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</si>
  <si>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</si>
  <si>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</si>
  <si>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</si>
  <si>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</si>
  <si>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</si>
  <si>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</si>
  <si>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</si>
  <si>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</si>
  <si>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</si>
  <si>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</si>
  <si>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</si>
  <si>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</si>
  <si>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</si>
  <si>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</si>
  <si>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</si>
  <si>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</si>
  <si>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</si>
  <si>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</si>
  <si>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</si>
  <si>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</si>
  <si>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</si>
  <si>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</si>
  <si>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</si>
  <si>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</si>
  <si>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</si>
  <si>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</si>
  <si>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</si>
  <si>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</si>
  <si>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</si>
  <si>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</si>
  <si>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</si>
  <si>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</si>
  <si>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</si>
  <si>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</si>
  <si>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</si>
  <si>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</si>
  <si>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</si>
  <si>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</si>
  <si>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</si>
  <si>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</si>
  <si>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</si>
  <si>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</si>
  <si>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</si>
  <si>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</si>
  <si>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</si>
  <si>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</si>
  <si>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</si>
  <si>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</si>
  <si>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</si>
  <si>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</si>
  <si>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</si>
  <si>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</si>
  <si>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</si>
  <si>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</si>
  <si>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</si>
  <si>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</si>
  <si>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</si>
  <si>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</si>
  <si>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</si>
  <si>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</si>
  <si>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</si>
  <si>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</si>
  <si>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</si>
  <si>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</si>
  <si>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</si>
  <si>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</si>
  <si>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</si>
  <si>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</si>
  <si>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</si>
  <si>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</si>
  <si>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</si>
  <si>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</si>
  <si>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</si>
  <si>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</si>
  <si>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</si>
  <si>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</si>
  <si>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</si>
  <si>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</si>
  <si>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</si>
  <si>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</si>
  <si>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</si>
  <si>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</si>
  <si>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</si>
  <si>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</si>
  <si>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</si>
  <si>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</si>
  <si>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</si>
  <si>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</si>
  <si>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</si>
  <si>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</si>
  <si>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</si>
  <si>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</si>
  <si>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</si>
  <si>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</si>
  <si>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</si>
  <si>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</si>
  <si>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</si>
  <si>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</si>
  <si>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</si>
  <si>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</si>
  <si>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</si>
  <si>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</si>
  <si>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</si>
  <si>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</si>
  <si>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</si>
  <si>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</si>
  <si>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</si>
  <si>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</si>
  <si>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</si>
  <si>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</si>
  <si>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</si>
  <si>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</si>
  <si>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</si>
  <si>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</si>
  <si>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</si>
  <si>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</si>
  <si>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</si>
  <si>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</si>
  <si>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</si>
  <si>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</si>
  <si>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</si>
  <si>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</si>
  <si>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</si>
  <si>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</si>
  <si>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</si>
  <si>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</si>
  <si>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</si>
  <si>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</si>
  <si>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</si>
  <si>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</si>
  <si>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</si>
  <si>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</si>
  <si>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</si>
  <si>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</si>
  <si>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</si>
  <si>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</si>
  <si>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</si>
  <si>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</si>
  <si>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</si>
  <si>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</si>
  <si>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</si>
  <si>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</si>
  <si>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</si>
  <si>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</si>
  <si>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</si>
  <si>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</si>
  <si>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</si>
  <si>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</si>
  <si>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</si>
  <si>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</si>
  <si>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</si>
  <si>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</si>
  <si>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</si>
  <si>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</si>
  <si>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</si>
  <si>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</si>
  <si>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</si>
  <si>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</si>
  <si>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</si>
  <si>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</si>
  <si>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</si>
  <si>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</si>
  <si>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</si>
  <si>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</si>
  <si>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</si>
  <si>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</si>
  <si>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</si>
  <si>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</si>
  <si>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</si>
  <si>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</si>
  <si>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</si>
  <si>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</si>
  <si>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</si>
  <si>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</si>
  <si>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</si>
  <si>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</si>
  <si>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</si>
  <si>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</si>
  <si>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</si>
  <si>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</si>
  <si>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</si>
  <si>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</si>
  <si>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</si>
  <si>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</si>
  <si>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</si>
  <si>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</si>
  <si>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</si>
  <si>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</si>
  <si>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</si>
  <si>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</si>
  <si>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</si>
  <si>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</si>
  <si>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</si>
  <si>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</si>
  <si>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</si>
  <si>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</si>
  <si>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</si>
  <si>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</si>
  <si>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</si>
  <si>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</si>
  <si>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</si>
  <si>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</si>
  <si>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</si>
  <si>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</si>
  <si>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</si>
  <si>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</si>
  <si>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</si>
  <si>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</si>
  <si>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</si>
  <si>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</si>
  <si>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</si>
  <si>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</si>
  <si>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</si>
  <si>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</si>
  <si>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</si>
  <si>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</si>
  <si>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</si>
  <si>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</si>
  <si>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</si>
  <si>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</si>
  <si>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</si>
  <si>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</si>
  <si>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</si>
  <si>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</si>
  <si>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</si>
  <si>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</si>
  <si>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</si>
  <si>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</si>
  <si>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</si>
  <si>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</si>
  <si>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</si>
  <si>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</si>
  <si>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</si>
  <si>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</si>
  <si>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</si>
  <si>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</si>
  <si>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</si>
  <si>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</si>
  <si>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</si>
  <si>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</si>
  <si>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</si>
  <si>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</si>
  <si>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</si>
  <si>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</si>
  <si>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</si>
  <si>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</si>
  <si>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</si>
  <si>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</si>
  <si>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</si>
  <si>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</si>
  <si>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</si>
  <si>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</si>
  <si>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</si>
  <si>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</si>
  <si>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</si>
  <si>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</si>
  <si>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</si>
  <si>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</si>
  <si>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</si>
  <si>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</si>
  <si>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</si>
  <si>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</si>
  <si>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</si>
  <si>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</si>
  <si>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</si>
  <si>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</si>
  <si>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</si>
  <si>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</si>
  <si>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</si>
  <si>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</si>
  <si>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</si>
  <si>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</si>
  <si>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</si>
  <si>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</si>
  <si>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</si>
  <si>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</si>
  <si>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</si>
  <si>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</si>
  <si>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</si>
  <si>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</si>
  <si>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</si>
  <si>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</si>
  <si>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</si>
  <si>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</si>
  <si>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</si>
  <si>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</si>
  <si>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</si>
  <si>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</si>
  <si>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</si>
  <si>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</si>
  <si>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</si>
  <si>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</si>
  <si>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</si>
  <si>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</si>
  <si>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</si>
  <si>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</si>
  <si>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</si>
  <si>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</si>
  <si>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</si>
  <si>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</si>
  <si>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</si>
  <si>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</si>
  <si>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</si>
  <si>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</si>
  <si>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</si>
  <si>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</si>
  <si>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</si>
  <si>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</si>
  <si>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</si>
  <si>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</si>
  <si>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</si>
  <si>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</si>
  <si>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</si>
  <si>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</si>
  <si>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</si>
  <si>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</si>
  <si>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</si>
  <si>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</si>
  <si>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</si>
  <si>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</si>
  <si>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</si>
  <si>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</si>
  <si>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</si>
  <si>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</si>
  <si>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</si>
  <si>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</si>
  <si>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</si>
  <si>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</si>
  <si>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</si>
  <si>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</si>
  <si>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</si>
  <si>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</si>
  <si>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</si>
  <si>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</si>
  <si>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</si>
  <si>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</si>
  <si>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</si>
  <si>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</si>
  <si>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</si>
  <si>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</si>
  <si>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</si>
  <si>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</si>
  <si>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</si>
  <si>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</si>
  <si>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</si>
  <si>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</si>
  <si>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</si>
  <si>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</si>
  <si>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</si>
  <si>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</si>
  <si>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</si>
  <si>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</si>
  <si>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</si>
  <si>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</si>
  <si>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</si>
  <si>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</si>
  <si>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</si>
  <si>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</si>
  <si>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</si>
  <si>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</si>
  <si>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</si>
  <si>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</si>
  <si>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</si>
  <si>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</si>
  <si>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</si>
  <si>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</si>
  <si>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</si>
  <si>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</si>
  <si>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</si>
  <si>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</si>
  <si>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</si>
  <si>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</si>
  <si>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</si>
  <si>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</si>
  <si>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</si>
  <si>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</si>
  <si>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</si>
  <si>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</si>
  <si>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</si>
  <si>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</si>
  <si>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</si>
  <si>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</si>
  <si>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</si>
  <si>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</si>
  <si>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</si>
  <si>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</si>
  <si>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</si>
  <si>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</si>
  <si>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</si>
  <si>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</si>
  <si>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</si>
  <si>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</si>
  <si>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</si>
  <si>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</si>
  <si>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</si>
  <si>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</si>
  <si>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</si>
  <si>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</si>
  <si>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</si>
  <si>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</si>
  <si>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</si>
  <si>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</si>
  <si>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</si>
  <si>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</si>
  <si>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</si>
  <si>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</si>
  <si>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</si>
  <si>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</si>
  <si>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</si>
  <si>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</si>
  <si>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</si>
  <si>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</si>
  <si>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</si>
  <si>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</si>
  <si>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</si>
  <si>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</si>
  <si>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</si>
  <si>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</si>
  <si>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</si>
  <si>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</si>
  <si>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</si>
  <si>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</si>
  <si>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</si>
  <si>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</si>
  <si>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</si>
  <si>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</si>
  <si>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</si>
  <si>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</si>
  <si>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</si>
  <si>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</si>
  <si>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</si>
  <si>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</si>
  <si>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</si>
  <si>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</si>
  <si>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</si>
  <si>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</si>
  <si>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</si>
  <si>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</si>
  <si>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</si>
  <si>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</si>
  <si>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</si>
  <si>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</si>
  <si>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</si>
  <si>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</si>
  <si>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</si>
  <si>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</si>
  <si>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</si>
  <si>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</si>
  <si>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</si>
  <si>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</si>
  <si>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</si>
  <si>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</si>
  <si>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</si>
  <si>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</si>
  <si>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</si>
  <si>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</si>
  <si>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</si>
  <si>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</si>
  <si>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</si>
  <si>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</si>
  <si>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</si>
  <si>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</si>
  <si>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</si>
  <si>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</si>
  <si>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</si>
  <si>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</si>
  <si>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</si>
  <si>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</si>
  <si>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</si>
  <si>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</si>
  <si>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</si>
  <si>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</si>
  <si>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</si>
  <si>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</si>
  <si>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</si>
  <si>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</si>
  <si>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</si>
  <si>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</si>
  <si>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</si>
  <si>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</si>
  <si>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</si>
  <si>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</si>
  <si>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</si>
  <si>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</si>
  <si>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</si>
  <si>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</si>
  <si>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</si>
  <si>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</si>
  <si>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</si>
  <si>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</si>
  <si>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</si>
  <si>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</si>
  <si>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</si>
  <si>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</si>
  <si>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</si>
  <si>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</si>
  <si>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</si>
  <si>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</si>
  <si>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</si>
  <si>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</si>
  <si>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</si>
  <si>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</si>
  <si>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</si>
  <si>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</si>
  <si>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</si>
  <si>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</si>
  <si>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</si>
  <si>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</si>
  <si>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</si>
  <si>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</si>
  <si>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</si>
  <si>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</si>
  <si>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</si>
  <si>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</si>
  <si>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</si>
  <si>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</si>
  <si>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</si>
  <si>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</si>
  <si>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</si>
  <si>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</si>
  <si>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</si>
  <si>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</si>
  <si>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</si>
  <si>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</si>
  <si>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</si>
  <si>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</si>
  <si>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</si>
  <si>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</si>
  <si>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</si>
  <si>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</si>
  <si>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</si>
  <si>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</si>
  <si>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</si>
  <si>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</si>
  <si>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</si>
  <si>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</si>
  <si>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</si>
  <si>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</si>
  <si>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</si>
  <si>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</si>
  <si>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</si>
  <si>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</si>
  <si>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</si>
  <si>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</si>
  <si>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</si>
  <si>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</si>
  <si>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</si>
  <si>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</si>
  <si>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</si>
  <si>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</si>
  <si>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</si>
  <si>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</si>
  <si>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</si>
  <si>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</si>
  <si>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</si>
  <si>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</si>
  <si>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</si>
  <si>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</si>
  <si>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</si>
  <si>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</si>
  <si>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</si>
  <si>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</si>
  <si>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</si>
  <si>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</si>
  <si>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</si>
  <si>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</si>
  <si>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</si>
  <si>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</si>
  <si>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</si>
  <si>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</si>
  <si>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</si>
  <si>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</si>
  <si>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</si>
  <si>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</si>
  <si>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</si>
  <si>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</si>
  <si>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</si>
  <si>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</si>
  <si>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</si>
  <si>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</si>
  <si>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</si>
  <si>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</si>
  <si>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</si>
  <si>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</si>
  <si>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</si>
  <si>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</si>
  <si>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</si>
  <si>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</si>
  <si>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</si>
  <si>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</si>
  <si>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</si>
  <si>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</si>
  <si>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</si>
  <si>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</si>
  <si>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</si>
  <si>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</si>
  <si>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</si>
  <si>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</si>
  <si>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</si>
  <si>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</si>
  <si>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</si>
  <si>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</si>
  <si>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</si>
  <si>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</si>
  <si>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</si>
  <si>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</si>
  <si>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</si>
  <si>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</si>
  <si>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</si>
  <si>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</si>
  <si>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</si>
  <si>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</si>
  <si>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</si>
  <si>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</si>
  <si>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</si>
  <si>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</si>
  <si>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</si>
  <si>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</si>
  <si>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</si>
  <si>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</si>
  <si>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</si>
  <si>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</si>
  <si>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</si>
  <si>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</si>
  <si>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</si>
  <si>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</si>
  <si>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</si>
  <si>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</si>
  <si>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</si>
  <si>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</si>
  <si>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</si>
  <si>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</si>
  <si>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</si>
  <si>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</si>
  <si>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</si>
  <si>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</si>
  <si>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</si>
  <si>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</si>
  <si>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</si>
  <si>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</si>
  <si>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</si>
  <si>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</si>
  <si>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</si>
  <si>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</si>
  <si>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</si>
  <si>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</si>
  <si>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</si>
  <si>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</si>
  <si>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</si>
  <si>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</si>
  <si>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</si>
  <si>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</si>
  <si>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</si>
  <si>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</si>
  <si>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</si>
  <si>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</si>
  <si>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</si>
  <si>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</si>
  <si>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</si>
  <si>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</si>
  <si>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</si>
  <si>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</si>
  <si>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</si>
  <si>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</si>
  <si>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</si>
  <si>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</si>
  <si>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</si>
  <si>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</si>
  <si>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</si>
  <si>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</si>
  <si>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</si>
  <si>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</si>
  <si>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</si>
  <si>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</si>
  <si>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</si>
  <si>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</si>
  <si>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</si>
  <si>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</si>
  <si>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</si>
  <si>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</si>
  <si>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</si>
  <si>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</si>
  <si>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</si>
  <si>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</si>
  <si>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</si>
  <si>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</si>
  <si>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</si>
  <si>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</si>
  <si>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</si>
  <si>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</si>
  <si>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</si>
  <si>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</si>
  <si>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</si>
  <si>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</si>
  <si>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</si>
  <si>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</si>
  <si>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</si>
  <si>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</si>
  <si>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</si>
  <si>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</si>
  <si>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</si>
  <si>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</si>
  <si>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</si>
  <si>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</si>
  <si>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</si>
  <si>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</si>
  <si>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</si>
  <si>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</si>
  <si>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</si>
  <si>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</si>
  <si>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</si>
  <si>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</si>
  <si>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</si>
  <si>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</si>
  <si>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</si>
  <si>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</si>
  <si>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</si>
  <si>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</si>
  <si>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</si>
  <si>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</si>
  <si>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</si>
  <si>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</si>
  <si>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</si>
  <si>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</si>
  <si>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</si>
  <si>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</si>
  <si>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</si>
  <si>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</si>
  <si>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</si>
  <si>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</si>
  <si>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</si>
  <si>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</si>
  <si>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</si>
  <si>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</si>
  <si>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</si>
  <si>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</si>
  <si>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</si>
  <si>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</si>
  <si>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</si>
  <si>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</si>
  <si>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</si>
  <si>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</si>
  <si>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</si>
  <si>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</si>
  <si>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</si>
  <si>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</si>
  <si>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</si>
  <si>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</si>
  <si>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</si>
  <si>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</si>
  <si>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</si>
  <si>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</si>
  <si>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</si>
  <si>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</si>
  <si>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</si>
  <si>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</si>
  <si>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</si>
  <si>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</si>
  <si>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</si>
  <si>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</si>
  <si>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</si>
  <si>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</si>
  <si>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</si>
  <si>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</si>
  <si>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</si>
  <si>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</si>
  <si>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</si>
  <si>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</si>
  <si>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</si>
  <si>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</si>
  <si>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</si>
  <si>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</si>
  <si>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</si>
  <si>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</si>
  <si>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</si>
  <si>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</si>
  <si>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</si>
  <si>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</si>
  <si>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</si>
  <si>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</si>
  <si>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</si>
  <si>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</si>
  <si>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</si>
  <si>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</si>
  <si>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</si>
  <si>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</si>
  <si>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</si>
  <si>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</si>
  <si>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</si>
  <si>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</si>
  <si>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</si>
  <si>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</si>
  <si>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</si>
  <si>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</si>
  <si>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</si>
  <si>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</si>
  <si>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</si>
  <si>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</si>
  <si>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</si>
  <si>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</si>
  <si>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</si>
  <si>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</si>
  <si>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</si>
  <si>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</si>
  <si>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</si>
  <si>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</si>
  <si>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</si>
  <si>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</si>
  <si>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</si>
  <si>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</si>
  <si>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</si>
  <si>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</si>
  <si>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</si>
  <si>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</si>
  <si>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</si>
  <si>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</si>
  <si>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</si>
  <si>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</si>
  <si>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</si>
  <si>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</si>
  <si>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</si>
  <si>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</si>
  <si>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</si>
  <si>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</si>
  <si>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</si>
  <si>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</si>
  <si>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</si>
  <si>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</si>
  <si>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</si>
  <si>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</si>
  <si>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</si>
  <si>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</si>
  <si>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</si>
  <si>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</si>
  <si>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</si>
  <si>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</si>
  <si>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</si>
  <si>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</si>
  <si>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</si>
  <si>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</si>
  <si>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</si>
  <si>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</si>
  <si>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</si>
  <si>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</si>
  <si>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</si>
  <si>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</si>
  <si>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</si>
  <si>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</si>
  <si>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</si>
  <si>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</si>
  <si>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</si>
  <si>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</si>
  <si>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</si>
  <si>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</si>
  <si>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</si>
  <si>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</si>
  <si>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</si>
  <si>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</si>
  <si>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</si>
  <si>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</si>
  <si>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</si>
  <si>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</si>
  <si>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</si>
  <si>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</si>
  <si>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</si>
  <si>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</si>
  <si>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</si>
  <si>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</si>
  <si>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</si>
  <si>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</si>
  <si>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</si>
  <si>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</si>
  <si>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</si>
  <si>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</si>
  <si>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</si>
  <si>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</si>
  <si>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</si>
  <si>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</si>
  <si>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</si>
  <si>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</si>
  <si>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</si>
  <si>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</si>
  <si>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</si>
  <si>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</si>
  <si>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</si>
  <si>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</si>
  <si>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</si>
  <si>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</si>
  <si>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</si>
  <si>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</si>
  <si>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</si>
  <si>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</si>
  <si>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</si>
  <si>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</si>
  <si>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</si>
  <si>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</si>
  <si>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</si>
  <si>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</si>
  <si>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</si>
  <si>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</si>
  <si>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</si>
  <si>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</si>
  <si>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</si>
  <si>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</si>
  <si>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</si>
  <si>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</si>
  <si>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</si>
  <si>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</si>
  <si>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</si>
  <si>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</si>
  <si>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</si>
  <si>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</si>
  <si>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</si>
  <si>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</si>
  <si>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</si>
  <si>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</si>
  <si>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</si>
  <si>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</si>
  <si>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</si>
  <si>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</si>
  <si>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</si>
  <si>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</si>
  <si>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</si>
  <si>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</si>
  <si>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</si>
  <si>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</si>
  <si>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</si>
  <si>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</si>
  <si>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</si>
  <si>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</si>
  <si>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</si>
  <si>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</si>
  <si>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</si>
  <si>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</si>
  <si>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</si>
  <si>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</si>
  <si>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</si>
  <si>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</si>
  <si>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</si>
  <si>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</si>
  <si>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</si>
  <si>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</si>
  <si>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</si>
  <si>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</si>
  <si>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</si>
  <si>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</si>
  <si>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</si>
  <si>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</si>
  <si>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</si>
  <si>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</si>
  <si>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</si>
  <si>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</si>
  <si>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</si>
  <si>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</si>
  <si>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</si>
  <si>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</si>
  <si>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</si>
  <si>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</si>
  <si>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</si>
  <si>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</si>
  <si>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</si>
  <si>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</si>
  <si>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</si>
  <si>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</si>
  <si>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</si>
  <si>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</si>
  <si>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</si>
  <si>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</si>
  <si>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</si>
  <si>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</si>
  <si>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</si>
  <si>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</si>
  <si>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</si>
  <si>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</si>
  <si>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</si>
  <si>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</si>
  <si>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</si>
  <si>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</si>
  <si>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</si>
  <si>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</si>
  <si>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</si>
  <si>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</si>
  <si>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</si>
  <si>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</si>
  <si>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</si>
  <si>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</si>
  <si>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</si>
  <si>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</si>
  <si>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</si>
  <si>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</si>
  <si>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</si>
  <si>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</si>
  <si>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</si>
  <si>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</si>
  <si>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</si>
  <si>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</si>
  <si>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</si>
  <si>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</si>
  <si>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</si>
  <si>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</si>
  <si>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</si>
  <si>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</si>
  <si>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</si>
  <si>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</si>
  <si>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</si>
  <si>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</si>
  <si>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</si>
  <si>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</si>
  <si>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</si>
  <si>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</si>
  <si>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</si>
  <si>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</si>
  <si>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</si>
  <si>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</si>
  <si>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</si>
  <si>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</si>
  <si>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</si>
  <si>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</si>
  <si>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</si>
  <si>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</si>
  <si>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</si>
  <si>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</si>
  <si>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</si>
  <si>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</si>
  <si>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</si>
  <si>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</si>
  <si>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</si>
  <si>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</si>
  <si>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</si>
  <si>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</si>
  <si>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</si>
  <si>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</si>
  <si>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</si>
  <si>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</si>
  <si>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</si>
  <si>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</si>
  <si>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</si>
  <si>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</si>
  <si>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</si>
  <si>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</si>
  <si>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</si>
  <si>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</si>
  <si>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</si>
  <si>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</si>
  <si>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</si>
  <si>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</si>
  <si>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</si>
  <si>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</si>
  <si>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</si>
  <si>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</si>
  <si>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</si>
  <si>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</si>
  <si>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</si>
  <si>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</si>
  <si>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</si>
  <si>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</si>
  <si>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</si>
  <si>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</si>
  <si>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</si>
  <si>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</si>
  <si>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</si>
  <si>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</si>
  <si>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</si>
  <si>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</si>
  <si>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</si>
  <si>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</si>
  <si>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</si>
  <si>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</si>
  <si>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</si>
  <si>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</si>
  <si>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</si>
  <si>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</si>
  <si>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</si>
  <si>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</si>
  <si>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</si>
  <si>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</si>
  <si>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</si>
  <si>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</si>
  <si>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</si>
  <si>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</si>
  <si>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</si>
  <si>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</si>
  <si>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</si>
  <si>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</si>
  <si>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</si>
  <si>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</si>
  <si>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</si>
  <si>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</si>
  <si>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</si>
  <si>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</si>
  <si>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</si>
  <si>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</si>
  <si>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</si>
  <si>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</si>
  <si>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</si>
  <si>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</si>
  <si>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</si>
  <si>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</si>
  <si>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</si>
  <si>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</si>
  <si>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</si>
  <si>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</si>
  <si>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</si>
  <si>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</si>
  <si>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</si>
  <si>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</si>
  <si>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</si>
  <si>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</si>
  <si>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</si>
  <si>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</si>
  <si>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</si>
  <si>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</si>
  <si>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</si>
  <si>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</si>
  <si>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</si>
  <si>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</si>
  <si>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</si>
  <si>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</si>
  <si>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</si>
  <si>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</si>
  <si>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</si>
  <si>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</si>
  <si>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</si>
  <si>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</si>
  <si>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</si>
  <si>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</si>
  <si>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</si>
  <si>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</si>
  <si>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</si>
  <si>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</si>
  <si>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</si>
  <si>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</si>
  <si>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</si>
  <si>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</si>
  <si>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</si>
  <si>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</si>
  <si>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</si>
  <si>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</si>
  <si>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</si>
  <si>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</si>
  <si>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</si>
  <si>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</si>
  <si>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</si>
  <si>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</si>
  <si>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</si>
  <si>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</si>
  <si>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</si>
  <si>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</si>
  <si>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</si>
  <si>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</si>
  <si>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</si>
  <si>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</si>
  <si>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</si>
  <si>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</si>
  <si>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</si>
  <si>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</si>
  <si>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</si>
  <si>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</si>
  <si>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</si>
  <si>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</si>
  <si>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</si>
  <si>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</si>
  <si>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</si>
  <si>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</si>
  <si>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</si>
  <si>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</si>
  <si>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</si>
  <si>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</si>
  <si>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</si>
  <si>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</si>
  <si>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</si>
  <si>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</si>
  <si>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</si>
  <si>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</si>
  <si>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</si>
  <si>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</si>
  <si>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</si>
  <si>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</si>
  <si>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</si>
  <si>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</si>
  <si>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</si>
  <si>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</si>
  <si>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</si>
  <si>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</si>
  <si>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</si>
  <si>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</si>
  <si>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</si>
  <si>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</si>
  <si>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</si>
  <si>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</si>
  <si>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</si>
  <si>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</si>
  <si>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</si>
  <si>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</si>
  <si>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</si>
  <si>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</si>
  <si>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</si>
  <si>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</si>
  <si>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</si>
  <si>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</si>
  <si>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</si>
  <si>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</si>
  <si>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</si>
  <si>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</si>
  <si>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</si>
  <si>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</si>
  <si>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</si>
  <si>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</si>
  <si>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</si>
  <si>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</si>
  <si>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</si>
  <si>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</si>
  <si>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</si>
  <si>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</si>
  <si>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</si>
  <si>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</si>
  <si>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</si>
  <si>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</si>
  <si>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</si>
  <si>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</si>
  <si>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</si>
  <si>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</si>
  <si>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</si>
  <si>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</si>
  <si>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</si>
  <si>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</si>
  <si>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</si>
  <si>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</si>
  <si>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</si>
  <si>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</si>
  <si>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</si>
  <si>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</si>
  <si>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</si>
  <si>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</si>
  <si>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</si>
  <si>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</si>
  <si>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</si>
  <si>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</si>
  <si>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</si>
  <si>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</si>
  <si>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</si>
  <si>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</si>
  <si>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</si>
  <si>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</si>
  <si>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</si>
  <si>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</si>
  <si>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</si>
  <si>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</si>
  <si>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</si>
  <si>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</si>
  <si>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</si>
  <si>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</si>
  <si>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</si>
  <si>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</si>
  <si>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</si>
  <si>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</si>
  <si>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</si>
  <si>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</si>
  <si>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</si>
  <si>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</si>
  <si>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</si>
  <si>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</si>
  <si>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</si>
  <si>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</si>
  <si>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</si>
  <si>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</si>
  <si>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</si>
  <si>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</si>
  <si>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</si>
  <si>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</si>
  <si>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</si>
  <si>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</si>
  <si>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</si>
  <si>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</si>
  <si>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</si>
  <si>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</si>
  <si>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</si>
  <si>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</si>
  <si>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</si>
  <si>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</si>
  <si>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</si>
  <si>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</si>
  <si>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</si>
  <si>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</si>
  <si>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</si>
  <si>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</si>
  <si>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</si>
  <si>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</si>
  <si>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</si>
  <si>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</si>
  <si>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</si>
  <si>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</si>
  <si>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</si>
  <si>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</si>
  <si>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</si>
  <si>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</si>
  <si>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</si>
  <si>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</si>
  <si>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</si>
  <si>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</si>
  <si>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</si>
  <si>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</si>
  <si>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</si>
  <si>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</si>
  <si>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</si>
  <si>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</si>
  <si>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</si>
  <si>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</si>
  <si>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</si>
  <si>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</si>
  <si>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</si>
  <si>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</si>
  <si>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</si>
  <si>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</si>
  <si>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</si>
  <si>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</si>
  <si>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</si>
  <si>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</si>
  <si>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</si>
  <si>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</si>
  <si>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</si>
  <si>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</si>
  <si>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</si>
  <si>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</si>
  <si>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</si>
  <si>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</si>
  <si>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</si>
  <si>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</si>
  <si>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</si>
  <si>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</si>
  <si>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</si>
  <si>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</si>
  <si>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</si>
  <si>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</si>
  <si>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</si>
  <si>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</si>
  <si>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</si>
  <si>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</si>
  <si>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</si>
  <si>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</si>
  <si>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</si>
  <si>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</si>
  <si>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</si>
  <si>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</si>
  <si>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</si>
  <si>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</si>
  <si>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</si>
  <si>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</si>
  <si>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</si>
  <si>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</si>
  <si>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</si>
  <si>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</si>
  <si>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</si>
  <si>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</si>
  <si>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</si>
  <si>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</si>
  <si>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</si>
  <si>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</si>
  <si>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</si>
  <si>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</si>
  <si>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</si>
  <si>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</si>
  <si>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</si>
  <si>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</si>
  <si>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</si>
  <si>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</si>
  <si>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</si>
  <si>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</si>
  <si>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</si>
  <si>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</si>
  <si>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</si>
  <si>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</si>
  <si>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</si>
  <si>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</si>
  <si>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</si>
  <si>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</si>
  <si>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</si>
  <si>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</si>
  <si>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</si>
  <si>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</si>
  <si>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</si>
  <si>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</si>
  <si>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</si>
  <si>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</si>
  <si>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</si>
  <si>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</si>
  <si>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</si>
  <si>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</si>
  <si>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</si>
  <si>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</si>
  <si>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</si>
  <si>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</si>
  <si>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</si>
  <si>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</si>
  <si>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</si>
  <si>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</si>
  <si>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</si>
  <si>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</si>
  <si>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</si>
  <si>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</si>
  <si>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</si>
  <si>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</si>
  <si>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</si>
  <si>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</si>
  <si>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</si>
  <si>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</si>
  <si>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</si>
  <si>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</si>
  <si>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</si>
  <si>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</si>
  <si>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</si>
  <si>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</si>
  <si>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</si>
  <si>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</si>
  <si>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</si>
  <si>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</si>
  <si>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</si>
  <si>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</si>
  <si>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</si>
  <si>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</si>
  <si>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</si>
  <si>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</si>
  <si>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</si>
  <si>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</si>
  <si>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</si>
  <si>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</si>
  <si>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</si>
  <si>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</si>
  <si>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</si>
  <si>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</si>
  <si>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</si>
  <si>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</si>
  <si>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</si>
  <si>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</si>
  <si>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</si>
  <si>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</si>
  <si>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</si>
  <si>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</si>
  <si>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</si>
  <si>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</si>
  <si>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</si>
  <si>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</si>
  <si>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</si>
  <si>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</si>
  <si>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</si>
  <si>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</si>
  <si>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</si>
  <si>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</si>
  <si>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</si>
  <si>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</si>
  <si>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</si>
  <si>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</si>
  <si>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</si>
  <si>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</si>
  <si>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</si>
  <si>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</si>
  <si>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</si>
  <si>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</si>
  <si>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</si>
  <si>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</si>
  <si>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</si>
  <si>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</si>
  <si>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</si>
  <si>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</si>
  <si>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</si>
  <si>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</si>
  <si>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</si>
  <si>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</si>
  <si>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</si>
  <si>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</si>
  <si>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</si>
  <si>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</si>
  <si>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</si>
  <si>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</si>
  <si>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</si>
  <si>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</si>
  <si>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</si>
  <si>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</si>
  <si>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</si>
  <si>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</si>
  <si>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</si>
  <si>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</si>
  <si>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</si>
  <si>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</si>
  <si>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</si>
  <si>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</si>
  <si>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</si>
  <si>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</si>
  <si>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</si>
  <si>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</si>
  <si>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</si>
  <si>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</si>
  <si>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</si>
  <si>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</si>
  <si>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</si>
  <si>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</si>
  <si>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</si>
  <si>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</si>
  <si>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</si>
  <si>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</si>
  <si>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</si>
  <si>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</si>
  <si>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</si>
  <si>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</si>
  <si>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</si>
  <si>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</si>
  <si>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</si>
  <si>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</si>
  <si>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</si>
  <si>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</si>
  <si>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</si>
  <si>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</si>
  <si>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</si>
  <si>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</si>
  <si>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</si>
  <si>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</si>
  <si>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</si>
  <si>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</si>
  <si>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Waaree Energies Ltd</t>
  </si>
  <si>
    <t>Apar Inds.</t>
  </si>
  <si>
    <t>Premier Energies</t>
  </si>
  <si>
    <t>Emmvee Photovol.</t>
  </si>
  <si>
    <t>Diamond Power</t>
  </si>
  <si>
    <t>MTAR Technologie</t>
  </si>
  <si>
    <t>Avalon Tech</t>
  </si>
  <si>
    <t>Cash Flow Statement - Waaree Energies Ltd</t>
  </si>
  <si>
    <t>Waaree Energies Ltd Comparable Valuation</t>
  </si>
  <si>
    <t>PREMIERENE</t>
  </si>
  <si>
    <t>EMMVEE</t>
  </si>
  <si>
    <t>DIACABS</t>
  </si>
  <si>
    <t>AVALON</t>
  </si>
  <si>
    <t>Verdict</t>
  </si>
  <si>
    <t>52 Week (High - INR - 3,720.00 &amp; low INR - 2,402.00)</t>
  </si>
  <si>
    <t>Enel Green Power S.p.A. is an Italian multinational renewable energy corporation, headquartered in Rome.</t>
  </si>
  <si>
    <t>Waaree Energies shares gain 2% after company bags 2 GW solar module order</t>
  </si>
  <si>
    <t>Suzlon Energy vs Waaree Energies: Which renewable energy stock should you buy now?</t>
  </si>
  <si>
    <t>Stocks in news: Waaree Energies, Kotak Bank, HDFC Bank, Strides Pharma, Persistent Systems</t>
  </si>
  <si>
    <t>Waaree Energies shares slide 6% despite 15% profit growth and 79% YoY revenue surge in Q1FY27</t>
  </si>
  <si>
    <t>Waaree Energies - 10 largecap stocks with upside potential up to 37%. Do you own any?</t>
  </si>
  <si>
    <t>Waaree Energies Ltd continued strategic operational investments and customer engagements to drive sustainable long-term business performance.</t>
  </si>
  <si>
    <t>Waaree Energies Ltd (WAAREEENER) - Institutional Valuation</t>
  </si>
  <si>
    <t>Intrinsic Value</t>
  </si>
  <si>
    <t>Margin of Safety</t>
  </si>
  <si>
    <t>Altman Z-Score</t>
  </si>
  <si>
    <t>DuPont ROE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</si>
  <si>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</si>
  <si>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</si>
  <si>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</si>
  <si>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</si>
  <si>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</si>
  <si>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Cost of Debt (Kd)</t>
  </si>
  <si>
    <t>Cash &amp; Liquid Investments</t>
  </si>
  <si>
    <t>#,##0.00</t>
  </si>
  <si>
    <t>Total Debt &amp; Borrowings</t>
  </si>
  <si>
    <t>Shares Outstanding</t>
  </si>
  <si>
    <t>Sector Median EV/Revenue</t>
  </si>
  <si>
    <t>0.00"x"</t>
  </si>
  <si>
    <t>Sector Median EV/EBITDA</t>
  </si>
  <si>
    <t>Sector Median P/E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</si>
  <si>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</si>
  <si>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</si>
  <si>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</si>
  <si>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</si>
  <si>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</si>
  <si>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</si>
  <si>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</si>
  <si>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</si>
  <si>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</si>
  <si>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</si>
  <si>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</si>
  <si>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</si>
  <si>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 Cr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</si>
  <si>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</si>
  <si>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</si>
  <si>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</si>
  <si>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</si>
  <si>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</si>
  <si>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</si>
  <si>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Cr shares</t>
  </si>
  <si>
    <t>Intrinsic Value per Share</t>
  </si>
  <si>
    <t>₹</t>
  </si>
  <si>
    <t>Current Market Price</t>
  </si>
  <si>
    <t>Margin of Safety / Discount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</si>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</sst>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1" fillId="15" borderId="0" xfId="0" applyNumberFormat="1" applyFont="1" applyFill="1" applyAlignment="1">
      <alignment horizontal="center"/>
    </xf>
    <xf numFmtId="175" fontId="0" fillId="0" borderId="0" xfId="0" applyNumberFormat="1"/>
    <xf numFmtId="175" fontId="21" fillId="15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10" fontId="21" fillId="15" borderId="0" xfId="0" applyNumberFormat="1" applyFont="1" applyFill="1" applyAlignment="1">
      <alignment horizontal="center"/>
    </xf>
    <xf numFmtId="2" fontId="21" fillId="15" borderId="0" xfId="0" applyNumberFormat="1" applyFont="1" applyFill="1" applyAlignment="1">
      <alignment horizontal="center"/>
    </xf>
    <xf numFmtId="10" fontId="22" fillId="0" borderId="0" xfId="0" applyNumberFormat="1" applyFont="1"/>
    <xf numFmtId="0" fontId="22" fillId="0" borderId="0" xfId="0" applyFont="1"/>
    <xf numFmtId="4" fontId="0" fillId="0" borderId="0" xfId="0" applyNumberFormat="1"/>
    <xf numFmtId="0" fontId="23" fillId="14" borderId="0" xfId="0" applyFont="1" applyFill="1" applyAlignment="1">
      <alignment horizontal="center"/>
    </xf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6751</c:v>
                </c:pt>
                <c:pt idx="1">
                  <c:v>11398</c:v>
                </c:pt>
                <c:pt idx="2">
                  <c:v>14444</c:v>
                </c:pt>
                <c:pt idx="3">
                  <c:v>26537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500</c:v>
                </c:pt>
                <c:pt idx="1">
                  <c:v>1274</c:v>
                </c:pt>
                <c:pt idx="2">
                  <c:v>1928</c:v>
                </c:pt>
                <c:pt idx="3">
                  <c:v>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4780</c:v>
                </c:pt>
                <c:pt idx="1">
                  <c:v>9341.5</c:v>
                </c:pt>
                <c:pt idx="2">
                  <c:v>15360.5</c:v>
                </c:pt>
                <c:pt idx="3">
                  <c:v>24714.5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6751</c:v>
                </c:pt>
                <c:pt idx="1">
                  <c:v>11398</c:v>
                </c:pt>
                <c:pt idx="2">
                  <c:v>14444</c:v>
                </c:pt>
                <c:pt idx="3">
                  <c:v>26537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0.44130626654898497</c:v>
                </c:pt>
                <c:pt idx="1">
                  <c:v>0.4299696253796827</c:v>
                </c:pt>
                <c:pt idx="2">
                  <c:v>0.28421906095673327</c:v>
                </c:pt>
                <c:pt idx="3">
                  <c:v>0.3247898983986286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6751</c:v>
                </c:pt>
                <c:pt idx="1">
                  <c:v>11398</c:v>
                </c:pt>
                <c:pt idx="2">
                  <c:v>14444</c:v>
                </c:pt>
                <c:pt idx="3">
                  <c:v>26537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6751</c:v>
                </c:pt>
                <c:pt idx="1">
                  <c:v>11398</c:v>
                </c:pt>
                <c:pt idx="2">
                  <c:v>14444</c:v>
                </c:pt>
                <c:pt idx="3">
                  <c:v>26537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0.10460251046025104</c:v>
                </c:pt>
                <c:pt idx="1">
                  <c:v>0.1363806669164481</c:v>
                </c:pt>
                <c:pt idx="2">
                  <c:v>0.12551674750170894</c:v>
                </c:pt>
                <c:pt idx="3">
                  <c:v>0.15715470675109752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4.2188879082082966</c:v>
                </c:pt>
                <c:pt idx="1">
                  <c:v>3.1527168410394868</c:v>
                </c:pt>
                <c:pt idx="2">
                  <c:v>2.2643915382914424</c:v>
                </c:pt>
                <c:pt idx="3">
                  <c:v>2.0666889660074426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7406</c:v>
                </c:pt>
                <c:pt idx="1">
                  <c:v>11277</c:v>
                </c:pt>
                <c:pt idx="2">
                  <c:v>19444</c:v>
                </c:pt>
                <c:pt idx="3">
                  <c:v>29985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1595</c:v>
                </c:pt>
                <c:pt idx="1">
                  <c:v>3825</c:v>
                </c:pt>
                <c:pt idx="2">
                  <c:v>9192</c:v>
                </c:pt>
                <c:pt idx="3">
                  <c:v>14150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7406</c:v>
                </c:pt>
                <c:pt idx="1">
                  <c:v>11277</c:v>
                </c:pt>
                <c:pt idx="2">
                  <c:v>19444</c:v>
                </c:pt>
                <c:pt idx="3">
                  <c:v>29985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7406</c:v>
                </c:pt>
                <c:pt idx="1">
                  <c:v>11277</c:v>
                </c:pt>
                <c:pt idx="2">
                  <c:v>19444</c:v>
                </c:pt>
                <c:pt idx="3">
                  <c:v>29985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26.794666666666664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8.3026405604454823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6.4302726766833604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3.985681886603111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3.2062721893491126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7406</c:v>
                </c:pt>
                <c:pt idx="1">
                  <c:v>11277</c:v>
                </c:pt>
                <c:pt idx="2">
                  <c:v>19444</c:v>
                </c:pt>
                <c:pt idx="3">
                  <c:v>29985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7406</c:v>
                </c:pt>
                <c:pt idx="1">
                  <c:v>11277</c:v>
                </c:pt>
                <c:pt idx="2">
                  <c:v>19444</c:v>
                </c:pt>
                <c:pt idx="3">
                  <c:v>29985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1.3249767873723306</c:v>
                </c:pt>
                <c:pt idx="1">
                  <c:v>0.91155819605725086</c:v>
                </c:pt>
                <c:pt idx="2">
                  <c:v>1.0107298040258934</c:v>
                </c:pt>
                <c:pt idx="3">
                  <c:v>0.74285126517177535</c:v>
                </c:pt>
                <c:pt idx="4">
                  <c:v>0.88500917125229284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26.116957845868153</c:v>
                </c:pt>
                <c:pt idx="1">
                  <c:v>17.855321846394212</c:v>
                </c:pt>
                <c:pt idx="2">
                  <c:v>13.434096921608134</c:v>
                </c:pt>
                <c:pt idx="3">
                  <c:v>11.212474756318995</c:v>
                </c:pt>
                <c:pt idx="4">
                  <c:v>6.7997613126089664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03DD-4E1E-4D53-B8A4-22421425FE01}">
  <dimension ref="A1:G39"/>
  <sheetViews>
    <sheetView tabSelected="1" workbookViewId="0"/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2" t="s">
        <v>8633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8634</v>
      </c>
      <c r="C4" s="174" t="s">
        <v>8635</v>
      </c>
      <c r="D4" s="174" t="s">
        <v>8624</v>
      </c>
      <c r="E4" s="174" t="s">
        <v>238</v>
      </c>
      <c r="F4" s="174" t="s">
        <v>8636</v>
      </c>
      <c r="G4" s="174" t="s">
        <v>8637</v>
      </c>
    </row>
    <row r="5" spans="1:7" ht="15.6" x14ac:dyDescent="0.3">
      <c r="A5" s="176">
        <f>DCF!D44</f>
        <v>2512</v>
      </c>
      <c r="B5" s="176">
        <f>DCF!D42</f>
        <v>6964.7412750549738</v>
      </c>
      <c r="C5" s="178">
        <f>(B5-A5)/A5</f>
        <v>1.7725880872034132</v>
      </c>
      <c r="D5" s="179" t="str">
        <f>IF(C5&gt;0.15,"UNDERVALUED / BUY",IF(C5&lt;-0.15,"OVERVALUED / SELL","FAIRLY VALUED / HOLD"))</f>
        <v>UNDERVALUED / BUY</v>
      </c>
      <c r="E5" s="180">
        <f>DCF!D20</f>
        <v>0.12022226015675262</v>
      </c>
      <c r="F5" s="181">
        <f>'Altman''s Z Score'!I89</f>
        <v>6.7997613126089664</v>
      </c>
      <c r="G5" s="180">
        <f>'Dupont Analysis'!I78</f>
        <v>0.3247898983986286</v>
      </c>
    </row>
    <row r="7" spans="1:7" x14ac:dyDescent="0.3">
      <c r="B7" s="37" t="s">
        <v>8638</v>
      </c>
    </row>
    <row r="8" spans="1:7" x14ac:dyDescent="0.3">
      <c r="B8" s="37" t="s">
        <v>8639</v>
      </c>
      <c r="C8" s="46">
        <f>WACC!K46</f>
        <v>0.12022226015675262</v>
      </c>
      <c r="D8" s="182">
        <v>0</v>
      </c>
    </row>
    <row r="9" spans="1:7" x14ac:dyDescent="0.3">
      <c r="B9" s="37" t="s">
        <v>8640</v>
      </c>
      <c r="C9" s="46">
        <f>WACC!K29</f>
        <v>0.1331671695047621</v>
      </c>
      <c r="D9" s="182">
        <v>0</v>
      </c>
    </row>
    <row r="10" spans="1:7" x14ac:dyDescent="0.3">
      <c r="B10" s="37" t="s">
        <v>8641</v>
      </c>
      <c r="C10" s="46">
        <f>WACC!K26</f>
        <v>7.0000000000000007E-2</v>
      </c>
      <c r="D10" s="182">
        <v>0</v>
      </c>
    </row>
    <row r="11" spans="1:7" x14ac:dyDescent="0.3">
      <c r="B11" s="37" t="s">
        <v>8642</v>
      </c>
      <c r="C11" s="46">
        <f>WACC!K27</f>
        <v>6.5000000000000002E-2</v>
      </c>
      <c r="D11" s="182">
        <v>0</v>
      </c>
    </row>
    <row r="12" spans="1:7" x14ac:dyDescent="0.3">
      <c r="B12" s="37" t="s">
        <v>224</v>
      </c>
      <c r="C12" s="47">
        <f>WACC!K28</f>
        <v>0.97180260776557026</v>
      </c>
      <c r="D12" s="183">
        <v>0</v>
      </c>
    </row>
    <row r="13" spans="1:7" x14ac:dyDescent="0.3">
      <c r="B13" s="37" t="s">
        <v>306</v>
      </c>
      <c r="C13" s="46">
        <f>DCF!D19</f>
        <v>0.04</v>
      </c>
      <c r="D13" s="182">
        <v>0</v>
      </c>
    </row>
    <row r="14" spans="1:7" x14ac:dyDescent="0.3">
      <c r="B14" s="37" t="s">
        <v>8643</v>
      </c>
      <c r="C14" s="46">
        <f>WACC!K39</f>
        <v>0</v>
      </c>
      <c r="D14" s="182">
        <v>0</v>
      </c>
    </row>
    <row r="15" spans="1:7" x14ac:dyDescent="0.3">
      <c r="B15" s="37" t="s">
        <v>8644</v>
      </c>
      <c r="C15" s="184">
        <f>'Data Sheet'!K69</f>
        <v>6728</v>
      </c>
      <c r="D15" s="183" t="s">
        <v>8645</v>
      </c>
    </row>
    <row r="16" spans="1:7" x14ac:dyDescent="0.3">
      <c r="B16" s="37" t="s">
        <v>8646</v>
      </c>
      <c r="C16" s="184">
        <f>'Data Sheet'!K59</f>
        <v>3213</v>
      </c>
      <c r="D16" s="183" t="s">
        <v>8645</v>
      </c>
    </row>
    <row r="17" spans="1:7" x14ac:dyDescent="0.3">
      <c r="B17" s="37" t="s">
        <v>8647</v>
      </c>
      <c r="C17" s="184">
        <f>'Data Sheet'!K70/10000000</f>
        <v>28.8</v>
      </c>
      <c r="D17" s="183" t="s">
        <v>8645</v>
      </c>
    </row>
    <row r="18" spans="1:7" x14ac:dyDescent="0.3">
      <c r="B18" s="37" t="s">
        <v>8648</v>
      </c>
      <c r="C18" s="158">
        <f>Comp_Valuation!O25</f>
        <v>7.2105999244659884</v>
      </c>
      <c r="D18" s="183" t="s">
        <v>8649</v>
      </c>
    </row>
    <row r="19" spans="1:7" x14ac:dyDescent="0.3">
      <c r="B19" s="37" t="s">
        <v>8650</v>
      </c>
      <c r="C19" s="158">
        <f>Comp_Valuation!P25</f>
        <v>48.070415496438628</v>
      </c>
      <c r="D19" s="183" t="s">
        <v>8649</v>
      </c>
    </row>
    <row r="20" spans="1:7" x14ac:dyDescent="0.3">
      <c r="A20" s="37" t="s">
        <v>8652</v>
      </c>
      <c r="B20" s="37" t="s">
        <v>8651</v>
      </c>
      <c r="C20" s="158">
        <f>Comp_Valuation!Q25</f>
        <v>69.981466384212524</v>
      </c>
      <c r="D20" s="183" t="s">
        <v>8649</v>
      </c>
    </row>
    <row r="21" spans="1:7" x14ac:dyDescent="0.3">
      <c r="A21" s="185" t="s">
        <v>188</v>
      </c>
      <c r="B21" s="185" t="s">
        <v>106</v>
      </c>
      <c r="C21" s="185" t="s">
        <v>8653</v>
      </c>
      <c r="D21" s="185" t="s">
        <v>8654</v>
      </c>
      <c r="E21" s="185" t="s">
        <v>8655</v>
      </c>
      <c r="F21" s="185" t="s">
        <v>8656</v>
      </c>
      <c r="G21" s="185" t="s">
        <v>302</v>
      </c>
    </row>
    <row r="22" spans="1:7" x14ac:dyDescent="0.3">
      <c r="A22" s="160" t="s">
        <v>8657</v>
      </c>
      <c r="B22" s="184">
        <f>DCF!I8</f>
        <v>29580.136000000002</v>
      </c>
      <c r="C22" s="184">
        <f>DCF!I10</f>
        <v>20706.0952</v>
      </c>
      <c r="D22" s="46">
        <f>DCF!I11</f>
        <v>0.16642857501506902</v>
      </c>
      <c r="E22" s="184">
        <f>DCF!I12</f>
        <v>17260.009281737639</v>
      </c>
      <c r="F22" s="186">
        <f>DCF!I14</f>
        <v>0.94481743928423723</v>
      </c>
      <c r="G22" s="184">
        <f>DCF!I16</f>
        <v>16307.557771593523</v>
      </c>
    </row>
    <row r="23" spans="1:7" x14ac:dyDescent="0.3">
      <c r="A23" s="160" t="s">
        <v>8658</v>
      </c>
      <c r="B23" s="184">
        <f>DCF!J8</f>
        <v>31118.303072000002</v>
      </c>
      <c r="C23" s="184">
        <f>DCF!J10</f>
        <v>21782.812150400001</v>
      </c>
      <c r="D23" s="46">
        <f>DCF!J11</f>
        <v>0.20800070261222656</v>
      </c>
      <c r="E23" s="184">
        <f>DCF!J12</f>
        <v>17251.971918246654</v>
      </c>
      <c r="F23" s="186">
        <f>DCF!J14</f>
        <v>0.84341962563038964</v>
      </c>
      <c r="G23" s="184">
        <f>DCF!J16</f>
        <v>14550.651696673589</v>
      </c>
    </row>
    <row r="24" spans="1:7" x14ac:dyDescent="0.3">
      <c r="A24" s="160" t="s">
        <v>8659</v>
      </c>
      <c r="B24" s="184">
        <f>DCF!K8</f>
        <v>32736.454831744006</v>
      </c>
      <c r="C24" s="184">
        <f>DCF!K10</f>
        <v>22915.518382220802</v>
      </c>
      <c r="D24" s="46">
        <f>DCF!K11</f>
        <v>0.24957283020938409</v>
      </c>
      <c r="E24" s="184">
        <f>DCF!K12</f>
        <v>17196.427603854791</v>
      </c>
      <c r="F24" s="186">
        <f>DCF!K14</f>
        <v>0.75290382598929073</v>
      </c>
      <c r="G24" s="184">
        <f>DCF!K16</f>
        <v>12947.256136290123</v>
      </c>
    </row>
    <row r="25" spans="1:7" x14ac:dyDescent="0.3">
      <c r="A25" s="160" t="s">
        <v>8660</v>
      </c>
      <c r="B25" s="184">
        <f>DCF!L8</f>
        <v>34438.750482994692</v>
      </c>
      <c r="C25" s="184">
        <f>DCF!L10</f>
        <v>24107.125338096284</v>
      </c>
      <c r="D25" s="46">
        <f>DCF!L11</f>
        <v>0.29114495780654159</v>
      </c>
      <c r="E25" s="184">
        <f>DCF!L12</f>
        <v>17088.45734869923</v>
      </c>
      <c r="F25" s="186">
        <f>DCF!L14</f>
        <v>0.67210218254718213</v>
      </c>
      <c r="G25" s="184">
        <f>DCF!L16</f>
        <v>11485.189480425186</v>
      </c>
    </row>
    <row r="26" spans="1:7" x14ac:dyDescent="0.3">
      <c r="A26" s="160" t="s">
        <v>8661</v>
      </c>
      <c r="B26" s="184">
        <f>DCF!M8</f>
        <v>36229.56550811042</v>
      </c>
      <c r="C26" s="184">
        <f>DCF!M10</f>
        <v>25360.695855677292</v>
      </c>
      <c r="D26" s="46">
        <f>DCF!M11</f>
        <v>0.33271708540369915</v>
      </c>
      <c r="E26" s="184">
        <f>DCF!M12</f>
        <v>16922.759046766671</v>
      </c>
      <c r="F26" s="186">
        <f>DCF!M14</f>
        <v>0.59997217199838082</v>
      </c>
      <c r="G26" s="184">
        <f>DCF!M16</f>
        <v>10153.184501493848</v>
      </c>
    </row>
    <row r="28" spans="1:7" x14ac:dyDescent="0.3">
      <c r="B28" s="37" t="s">
        <v>8662</v>
      </c>
    </row>
    <row r="29" spans="1:7" x14ac:dyDescent="0.3">
      <c r="B29" s="37" t="s">
        <v>8663</v>
      </c>
      <c r="C29" s="175">
        <f>DCF!D33</f>
        <v>65443.839586476272</v>
      </c>
      <c r="D29" s="183" t="s">
        <v>8664</v>
      </c>
    </row>
    <row r="30" spans="1:7" x14ac:dyDescent="0.3">
      <c r="B30" s="37" t="s">
        <v>8665</v>
      </c>
      <c r="C30" s="175">
        <f>DCF!D29</f>
        <v>219386.35703167613</v>
      </c>
      <c r="D30" s="183" t="s">
        <v>8664</v>
      </c>
    </row>
    <row r="31" spans="1:7" x14ac:dyDescent="0.3">
      <c r="B31" s="37" t="s">
        <v>8666</v>
      </c>
      <c r="C31" s="175">
        <f>DCF!D34</f>
        <v>131625.70913510697</v>
      </c>
      <c r="D31" s="183" t="s">
        <v>8664</v>
      </c>
    </row>
    <row r="32" spans="1:7" x14ac:dyDescent="0.3">
      <c r="B32" s="37" t="s">
        <v>8667</v>
      </c>
      <c r="C32" s="175">
        <f>DCF!D35</f>
        <v>197069.54872158324</v>
      </c>
      <c r="D32" s="183" t="s">
        <v>8664</v>
      </c>
    </row>
    <row r="33" spans="2:4" x14ac:dyDescent="0.3">
      <c r="B33" s="37" t="s">
        <v>8668</v>
      </c>
      <c r="C33" s="175">
        <f>DCF!D37</f>
        <v>6728</v>
      </c>
      <c r="D33" s="183" t="s">
        <v>8664</v>
      </c>
    </row>
    <row r="34" spans="2:4" x14ac:dyDescent="0.3">
      <c r="B34" s="37" t="s">
        <v>8669</v>
      </c>
      <c r="C34" s="175">
        <f>DCF!D38</f>
        <v>3213</v>
      </c>
      <c r="D34" s="183" t="s">
        <v>8664</v>
      </c>
    </row>
    <row r="35" spans="2:4" x14ac:dyDescent="0.3">
      <c r="B35" s="37" t="s">
        <v>8670</v>
      </c>
      <c r="C35" s="175">
        <f>DCF!D39</f>
        <v>200584.54872158324</v>
      </c>
      <c r="D35" s="183" t="s">
        <v>8664</v>
      </c>
    </row>
    <row r="36" spans="2:4" x14ac:dyDescent="0.3">
      <c r="B36" s="37" t="s">
        <v>8647</v>
      </c>
      <c r="C36" s="184">
        <f>DCF!D40</f>
        <v>28.8</v>
      </c>
      <c r="D36" s="183" t="s">
        <v>8671</v>
      </c>
    </row>
    <row r="37" spans="2:4" x14ac:dyDescent="0.3">
      <c r="B37" s="37" t="s">
        <v>8672</v>
      </c>
      <c r="C37" s="175">
        <f>DCF!D42</f>
        <v>6964.7412750549738</v>
      </c>
      <c r="D37" s="183" t="s">
        <v>8673</v>
      </c>
    </row>
    <row r="38" spans="2:4" x14ac:dyDescent="0.3">
      <c r="B38" s="37" t="s">
        <v>8674</v>
      </c>
      <c r="C38" s="175">
        <f>DCF!D44</f>
        <v>2512</v>
      </c>
      <c r="D38" s="183" t="s">
        <v>8673</v>
      </c>
    </row>
    <row r="39" spans="2:4" x14ac:dyDescent="0.3">
      <c r="B39" s="37" t="s">
        <v>8675</v>
      </c>
      <c r="C39" s="177">
        <f>(C37-C38)/C38</f>
        <v>1.7725880872034132</v>
      </c>
      <c r="D39" s="183" t="s">
        <v>8676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Waaree Energies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0</v>
      </c>
      <c r="C3" s="16">
        <f>'Data Sheet'!C16</f>
        <v>0</v>
      </c>
      <c r="D3" s="16">
        <f>'Data Sheet'!D16</f>
        <v>0</v>
      </c>
      <c r="E3" s="16">
        <f>'Data Sheet'!E16</f>
        <v>43891</v>
      </c>
      <c r="F3" s="16">
        <f>'Data Sheet'!F16</f>
        <v>44256</v>
      </c>
      <c r="G3" s="16">
        <f>'Data Sheet'!G16</f>
        <v>44621</v>
      </c>
      <c r="H3" s="16">
        <f>'Data Sheet'!H16</f>
        <v>44986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1996</v>
      </c>
      <c r="F4" s="1">
        <f>'Data Sheet'!F17</f>
        <v>1953</v>
      </c>
      <c r="G4" s="1">
        <f>'Data Sheet'!G17</f>
        <v>2854</v>
      </c>
      <c r="H4" s="1">
        <f>'Data Sheet'!H17</f>
        <v>6751</v>
      </c>
      <c r="I4" s="1">
        <f>'Data Sheet'!I17</f>
        <v>11398</v>
      </c>
      <c r="J4" s="1">
        <f>'Data Sheet'!J17</f>
        <v>14444</v>
      </c>
      <c r="K4" s="1">
        <f>'Data Sheet'!K17</f>
        <v>26537</v>
      </c>
      <c r="L4" s="1">
        <f>SUM(Quarters!H4:K4)</f>
        <v>30043</v>
      </c>
      <c r="M4" s="1">
        <f>$K4+M23*K4</f>
        <v>48754.664151204648</v>
      </c>
      <c r="N4" s="1">
        <f>$K4+N23*L4</f>
        <v>43907.775235540415</v>
      </c>
    </row>
    <row r="5" spans="1:14" x14ac:dyDescent="0.3">
      <c r="A5" s="6" t="s">
        <v>7</v>
      </c>
      <c r="B5" s="9">
        <f>SUM('Data Sheet'!B18,'Data Sheet'!B20:B24, -1*'Data Sheet'!B19)</f>
        <v>0</v>
      </c>
      <c r="C5" s="9">
        <f>SUM('Data Sheet'!C18,'Data Sheet'!C20:C24, -1*'Data Sheet'!C19)</f>
        <v>0</v>
      </c>
      <c r="D5" s="9">
        <f>SUM('Data Sheet'!D18,'Data Sheet'!D20:D24, -1*'Data Sheet'!D19)</f>
        <v>0</v>
      </c>
      <c r="E5" s="9">
        <f>SUM('Data Sheet'!E18,'Data Sheet'!E20:E24, -1*'Data Sheet'!E19)</f>
        <v>1916.16</v>
      </c>
      <c r="F5" s="9">
        <f>SUM('Data Sheet'!F18,'Data Sheet'!F20:F24, -1*'Data Sheet'!F19)</f>
        <v>1894.4099999999999</v>
      </c>
      <c r="G5" s="9">
        <f>SUM('Data Sheet'!G18,'Data Sheet'!G20:G24, -1*'Data Sheet'!G19)</f>
        <v>2739.8399999999997</v>
      </c>
      <c r="H5" s="9">
        <f>SUM('Data Sheet'!H18,'Data Sheet'!H20:H24, -1*'Data Sheet'!H19)</f>
        <v>5940.88</v>
      </c>
      <c r="I5" s="9">
        <f>SUM('Data Sheet'!I18,'Data Sheet'!I20:I24, -1*'Data Sheet'!I19)</f>
        <v>9916.2599999999966</v>
      </c>
      <c r="J5" s="9">
        <f>SUM('Data Sheet'!J18,'Data Sheet'!J20:J24, -1*'Data Sheet'!J19)</f>
        <v>11699.639999999998</v>
      </c>
      <c r="K5" s="9">
        <f>SUM('Data Sheet'!K18,'Data Sheet'!K20:K24, -1*'Data Sheet'!K19)</f>
        <v>20433.490000000002</v>
      </c>
      <c r="L5" s="9">
        <f>SUM(Quarters!H5:K5)</f>
        <v>23692</v>
      </c>
      <c r="M5" s="9">
        <f t="shared" ref="M5:N5" si="0">M4-M6</f>
        <v>38448.074528853329</v>
      </c>
      <c r="N5" s="9">
        <f t="shared" si="0"/>
        <v>36321.112623929359</v>
      </c>
    </row>
    <row r="6" spans="1:14" s="8" customFormat="1" x14ac:dyDescent="0.3">
      <c r="A6" s="8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79.839999999999918</v>
      </c>
      <c r="F6" s="1">
        <f t="shared" si="1"/>
        <v>58.590000000000146</v>
      </c>
      <c r="G6" s="1">
        <f t="shared" si="1"/>
        <v>114.16000000000031</v>
      </c>
      <c r="H6" s="1">
        <f t="shared" si="1"/>
        <v>810.11999999999989</v>
      </c>
      <c r="I6" s="1">
        <f t="shared" si="1"/>
        <v>1481.7400000000034</v>
      </c>
      <c r="J6" s="1">
        <f t="shared" si="1"/>
        <v>2744.3600000000024</v>
      </c>
      <c r="K6" s="1">
        <f t="shared" si="1"/>
        <v>6103.5099999999984</v>
      </c>
      <c r="L6" s="1">
        <f>SUM(Quarters!H6:K6)</f>
        <v>6351</v>
      </c>
      <c r="M6" s="1">
        <f>M4*M24</f>
        <v>10306.589622351321</v>
      </c>
      <c r="N6" s="1">
        <f>N4*N24</f>
        <v>7586.6626116110592</v>
      </c>
    </row>
    <row r="7" spans="1:14" x14ac:dyDescent="0.3">
      <c r="A7" s="6" t="s">
        <v>9</v>
      </c>
      <c r="B7" s="9">
        <f>'Data Sheet'!B25</f>
        <v>0</v>
      </c>
      <c r="C7" s="9">
        <f>'Data Sheet'!C25</f>
        <v>0</v>
      </c>
      <c r="D7" s="9">
        <f>'Data Sheet'!D25</f>
        <v>0</v>
      </c>
      <c r="E7" s="9">
        <f>'Data Sheet'!E25</f>
        <v>25</v>
      </c>
      <c r="F7" s="9">
        <f>'Data Sheet'!F25</f>
        <v>45</v>
      </c>
      <c r="G7" s="9">
        <f>'Data Sheet'!G25</f>
        <v>97</v>
      </c>
      <c r="H7" s="9">
        <f>'Data Sheet'!H25</f>
        <v>88</v>
      </c>
      <c r="I7" s="9">
        <f>'Data Sheet'!I25</f>
        <v>576</v>
      </c>
      <c r="J7" s="9">
        <f>'Data Sheet'!J25</f>
        <v>398</v>
      </c>
      <c r="K7" s="9">
        <f>'Data Sheet'!K25</f>
        <v>413</v>
      </c>
      <c r="L7" s="9">
        <f>SUM(Quarters!H7:K7)</f>
        <v>413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0</v>
      </c>
      <c r="C8" s="9">
        <f>'Data Sheet'!C26</f>
        <v>0</v>
      </c>
      <c r="D8" s="9">
        <f>'Data Sheet'!D26</f>
        <v>0</v>
      </c>
      <c r="E8" s="9">
        <f>'Data Sheet'!E26</f>
        <v>27</v>
      </c>
      <c r="F8" s="9">
        <f>'Data Sheet'!F26</f>
        <v>29</v>
      </c>
      <c r="G8" s="9">
        <f>'Data Sheet'!G26</f>
        <v>43</v>
      </c>
      <c r="H8" s="9">
        <f>'Data Sheet'!H26</f>
        <v>164</v>
      </c>
      <c r="I8" s="9">
        <f>'Data Sheet'!I26</f>
        <v>277</v>
      </c>
      <c r="J8" s="9">
        <f>'Data Sheet'!J26</f>
        <v>402</v>
      </c>
      <c r="K8" s="9">
        <f>'Data Sheet'!K26</f>
        <v>990</v>
      </c>
      <c r="L8" s="9">
        <f>SUM(Quarters!H8:K8)</f>
        <v>1138</v>
      </c>
      <c r="M8" s="9">
        <f>+$L8</f>
        <v>1138</v>
      </c>
      <c r="N8" s="9">
        <f>+$L8</f>
        <v>1138</v>
      </c>
    </row>
    <row r="9" spans="1:14" x14ac:dyDescent="0.3">
      <c r="A9" s="6" t="s">
        <v>11</v>
      </c>
      <c r="B9" s="9">
        <f>'Data Sheet'!B27</f>
        <v>0</v>
      </c>
      <c r="C9" s="9">
        <f>'Data Sheet'!C27</f>
        <v>0</v>
      </c>
      <c r="D9" s="9">
        <f>'Data Sheet'!D27</f>
        <v>0</v>
      </c>
      <c r="E9" s="9">
        <f>'Data Sheet'!E27</f>
        <v>34</v>
      </c>
      <c r="F9" s="9">
        <f>'Data Sheet'!F27</f>
        <v>31</v>
      </c>
      <c r="G9" s="9">
        <f>'Data Sheet'!G27</f>
        <v>41</v>
      </c>
      <c r="H9" s="9">
        <f>'Data Sheet'!H27</f>
        <v>82</v>
      </c>
      <c r="I9" s="9">
        <f>'Data Sheet'!I27</f>
        <v>140</v>
      </c>
      <c r="J9" s="9">
        <f>'Data Sheet'!J27</f>
        <v>152</v>
      </c>
      <c r="K9" s="9">
        <f>'Data Sheet'!K27</f>
        <v>280</v>
      </c>
      <c r="L9" s="9">
        <f>SUM(Quarters!H9:K9)</f>
        <v>307</v>
      </c>
      <c r="M9" s="9">
        <f>+$L9</f>
        <v>307</v>
      </c>
      <c r="N9" s="9">
        <f>+$L9</f>
        <v>307</v>
      </c>
    </row>
    <row r="10" spans="1:14" x14ac:dyDescent="0.3">
      <c r="A10" s="6" t="s">
        <v>12</v>
      </c>
      <c r="B10" s="9">
        <f>'Data Sheet'!B28</f>
        <v>0</v>
      </c>
      <c r="C10" s="9">
        <f>'Data Sheet'!C28</f>
        <v>0</v>
      </c>
      <c r="D10" s="9">
        <f>'Data Sheet'!D28</f>
        <v>0</v>
      </c>
      <c r="E10" s="9">
        <f>'Data Sheet'!E28</f>
        <v>57</v>
      </c>
      <c r="F10" s="9">
        <f>'Data Sheet'!F28</f>
        <v>70</v>
      </c>
      <c r="G10" s="9">
        <f>'Data Sheet'!G28</f>
        <v>118</v>
      </c>
      <c r="H10" s="9">
        <f>'Data Sheet'!H28</f>
        <v>677</v>
      </c>
      <c r="I10" s="9">
        <f>'Data Sheet'!I28</f>
        <v>1734</v>
      </c>
      <c r="J10" s="9">
        <f>'Data Sheet'!J28</f>
        <v>2565</v>
      </c>
      <c r="K10" s="9">
        <f>'Data Sheet'!K28</f>
        <v>5052</v>
      </c>
      <c r="L10" s="9">
        <f>SUM(Quarters!H10:K10)</f>
        <v>5318</v>
      </c>
      <c r="M10" s="9">
        <f>M6+M7-SUM(M8:M9)</f>
        <v>8861.5896223513209</v>
      </c>
      <c r="N10" s="9">
        <f>N6+N7-SUM(N8:N9)</f>
        <v>6141.6626116110592</v>
      </c>
    </row>
    <row r="11" spans="1:14" x14ac:dyDescent="0.3">
      <c r="A11" s="6" t="s">
        <v>13</v>
      </c>
      <c r="B11" s="9">
        <f>'Data Sheet'!B29</f>
        <v>0</v>
      </c>
      <c r="C11" s="9">
        <f>'Data Sheet'!C29</f>
        <v>0</v>
      </c>
      <c r="D11" s="9">
        <f>'Data Sheet'!D29</f>
        <v>0</v>
      </c>
      <c r="E11" s="9">
        <f>'Data Sheet'!E29</f>
        <v>57</v>
      </c>
      <c r="F11" s="9">
        <f>'Data Sheet'!F29</f>
        <v>70</v>
      </c>
      <c r="G11" s="9">
        <f>'Data Sheet'!G29</f>
        <v>118</v>
      </c>
      <c r="H11" s="9">
        <f>'Data Sheet'!H29</f>
        <v>677</v>
      </c>
      <c r="I11" s="9">
        <f>'Data Sheet'!I29</f>
        <v>1734</v>
      </c>
      <c r="J11" s="9">
        <f>'Data Sheet'!J29</f>
        <v>2565</v>
      </c>
      <c r="K11" s="9">
        <f>'Data Sheet'!K29</f>
        <v>5052</v>
      </c>
      <c r="L11" s="9">
        <f>SUM(Quarters!H11:K11)</f>
        <v>5318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39</v>
      </c>
      <c r="F12" s="1">
        <f>'Data Sheet'!F30</f>
        <v>48</v>
      </c>
      <c r="G12" s="1">
        <f>'Data Sheet'!G30</f>
        <v>80</v>
      </c>
      <c r="H12" s="1">
        <f>'Data Sheet'!H30</f>
        <v>500</v>
      </c>
      <c r="I12" s="1">
        <f>'Data Sheet'!I30</f>
        <v>1274</v>
      </c>
      <c r="J12" s="1">
        <f>'Data Sheet'!J30</f>
        <v>1928</v>
      </c>
      <c r="K12" s="1">
        <f>'Data Sheet'!K30</f>
        <v>3884</v>
      </c>
      <c r="L12" s="1">
        <f>SUM(Quarters!H12:K12)</f>
        <v>4003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0</v>
      </c>
      <c r="C13" s="9">
        <f>IF('Data Sheet'!C93&gt;0,C12/'Data Sheet'!C93,0)</f>
        <v>0</v>
      </c>
      <c r="D13" s="9">
        <f>IF('Data Sheet'!D93&gt;0,D12/'Data Sheet'!D93,0)</f>
        <v>0</v>
      </c>
      <c r="E13" s="9">
        <f>IF('Data Sheet'!E93&gt;0,E12/'Data Sheet'!E93,0)</f>
        <v>2.1195652173913047</v>
      </c>
      <c r="F13" s="9">
        <f>IF('Data Sheet'!F93&gt;0,F12/'Data Sheet'!F93,0)</f>
        <v>2.6086956521739131</v>
      </c>
      <c r="G13" s="9">
        <f>IF('Data Sheet'!G93&gt;0,G12/'Data Sheet'!G93,0)</f>
        <v>4.3478260869565224</v>
      </c>
      <c r="H13" s="9">
        <f>IF('Data Sheet'!H93&gt;0,H12/'Data Sheet'!H93,0)</f>
        <v>27.173913043478262</v>
      </c>
      <c r="I13" s="9">
        <f>IF('Data Sheet'!I93&gt;0,I12/'Data Sheet'!I93,0)</f>
        <v>69.239130434782609</v>
      </c>
      <c r="J13" s="9">
        <f>IF('Data Sheet'!J93&gt;0,J12/'Data Sheet'!J93,0)</f>
        <v>104.78260869565219</v>
      </c>
      <c r="K13" s="9">
        <f>IF('Data Sheet'!K93&gt;0,K12/'Data Sheet'!K93,0)</f>
        <v>211.08695652173915</v>
      </c>
      <c r="L13" s="9">
        <f>IF('Data Sheet'!$B6&gt;0,'Profit &amp; Loss'!L12/'Data Sheet'!$B6,0)</f>
        <v>139.18274807258433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 t="e">
        <f>IF(B15&gt;0,B15/B13,"")</f>
        <v>#DIV/0!</v>
      </c>
      <c r="C14" s="9" t="e">
        <f t="shared" ref="C14:K14" si="2">IF(C15&gt;0,C15/C13,"")</f>
        <v>#DIV/0!</v>
      </c>
      <c r="D14" s="9" t="e">
        <f t="shared" si="2"/>
        <v>#DIV/0!</v>
      </c>
      <c r="E14" s="9">
        <f t="shared" si="2"/>
        <v>1185.1487179487178</v>
      </c>
      <c r="F14" s="9">
        <f t="shared" si="2"/>
        <v>962.93333333333328</v>
      </c>
      <c r="G14" s="9">
        <f t="shared" si="2"/>
        <v>577.75999999999988</v>
      </c>
      <c r="H14" s="9">
        <f t="shared" si="2"/>
        <v>92.441599999999994</v>
      </c>
      <c r="I14" s="9">
        <f t="shared" si="2"/>
        <v>36.28006279434851</v>
      </c>
      <c r="J14" s="9">
        <f t="shared" si="2"/>
        <v>20.600269709543568</v>
      </c>
      <c r="K14" s="9">
        <f t="shared" si="2"/>
        <v>12.834994850669412</v>
      </c>
      <c r="L14" s="9">
        <f t="shared" ref="L14" si="3">IF(L13&gt;0,L15/L13,0)</f>
        <v>18.048213839620285</v>
      </c>
      <c r="M14" s="9">
        <f>M25</f>
        <v>21.940885298545446</v>
      </c>
      <c r="N14" s="9">
        <f>N25</f>
        <v>18.048213839620285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2512</v>
      </c>
      <c r="F15" s="1">
        <f>'Data Sheet'!F90</f>
        <v>2512</v>
      </c>
      <c r="G15" s="1">
        <f>'Data Sheet'!G90</f>
        <v>2512</v>
      </c>
      <c r="H15" s="1">
        <f>'Data Sheet'!H90</f>
        <v>2512</v>
      </c>
      <c r="I15" s="1">
        <f>'Data Sheet'!I90</f>
        <v>2512</v>
      </c>
      <c r="J15" s="1">
        <f>'Data Sheet'!J90</f>
        <v>2158.5500000000002</v>
      </c>
      <c r="K15" s="1">
        <f>'Data Sheet'!K90</f>
        <v>2709.3</v>
      </c>
      <c r="L15" s="1">
        <f>'Data Sheet'!B8</f>
        <v>2512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</v>
      </c>
      <c r="J18" s="7">
        <f>IF('Data Sheet'!J30&gt;0, 'Data Sheet'!J31/'Data Sheet'!J30, 0)</f>
        <v>0</v>
      </c>
      <c r="K18" s="7">
        <f>IF('Data Sheet'!K30&gt;0, 'Data Sheet'!K31/'Data Sheet'!K30, 0)</f>
        <v>0.03</v>
      </c>
    </row>
    <row r="19" spans="1:14" x14ac:dyDescent="0.3">
      <c r="A19" s="6" t="s">
        <v>18</v>
      </c>
      <c r="B19" s="7">
        <f t="shared" ref="B19:L19" si="4">IF(B6&gt;0,B6/B4,0)</f>
        <v>0</v>
      </c>
      <c r="C19" s="7">
        <f t="shared" ref="C19:K19" si="5">IF(C6&gt;0,C6/C4,0)</f>
        <v>0</v>
      </c>
      <c r="D19" s="7">
        <f t="shared" si="5"/>
        <v>0</v>
      </c>
      <c r="E19" s="7">
        <f t="shared" si="5"/>
        <v>3.9999999999999959E-2</v>
      </c>
      <c r="F19" s="7">
        <f t="shared" si="5"/>
        <v>3.0000000000000075E-2</v>
      </c>
      <c r="G19" s="7">
        <f t="shared" si="5"/>
        <v>4.0000000000000105E-2</v>
      </c>
      <c r="H19" s="7">
        <f t="shared" si="5"/>
        <v>0.11999999999999998</v>
      </c>
      <c r="I19" s="7">
        <f t="shared" si="5"/>
        <v>0.13000000000000031</v>
      </c>
      <c r="J19" s="7">
        <f t="shared" si="5"/>
        <v>0.19000000000000017</v>
      </c>
      <c r="K19" s="7">
        <f t="shared" si="5"/>
        <v>0.22999999999999993</v>
      </c>
      <c r="L19" s="7">
        <f t="shared" si="4"/>
        <v>0.21139699763672071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  <v/>
      </c>
      <c r="I23" s="7" t="str">
        <f>IF(D4=0,"",POWER($K4/D4,1/7)-1)</f>
        <v/>
      </c>
      <c r="J23" s="7">
        <f>IF(F4=0,"",POWER($K4/F4,1/5)-1)</f>
        <v>0.68511644246812864</v>
      </c>
      <c r="K23" s="7">
        <f>IF(H4=0,"",POWER($K4/H4, 1/3)-1)</f>
        <v>0.57819709201945257</v>
      </c>
      <c r="L23" s="7">
        <f>IF(ISERROR(MAX(IF(J4=0,"",(K4-J4)/J4),IF(K4=0,"",(L4-K4)/K4))),"",MAX(IF(J4=0,"",(K4-J4)/J4),IF(K4=0,"",(L4-K4)/K4)))</f>
        <v>0.8372334533370257</v>
      </c>
      <c r="M23" s="22">
        <f>MAX(K23:L23)</f>
        <v>0.8372334533370257</v>
      </c>
      <c r="N23" s="22">
        <f>MIN(H23:L23)</f>
        <v>0.57819709201945257</v>
      </c>
    </row>
    <row r="24" spans="1:14" x14ac:dyDescent="0.3">
      <c r="G24" s="6" t="s">
        <v>18</v>
      </c>
      <c r="H24" s="7">
        <f>IF(SUM(B4:$K$4)=0,"",SUMPRODUCT(B19:$K$19,B4:$K$4)/SUM(B4:$K$4))</f>
        <v>0.17278631337873301</v>
      </c>
      <c r="I24" s="7">
        <f>IF(SUM(E4:$K$4)=0,"",SUMPRODUCT(E19:$K$19,E4:$K$4)/SUM(E4:$K$4))</f>
        <v>0.17278631337873301</v>
      </c>
      <c r="J24" s="7">
        <f>IF(SUM(G4:$K$4)=0,"",SUMPRODUCT(G19:$K$19,G4:$K$4)/SUM(G4:$K$4))</f>
        <v>0.181561209344347</v>
      </c>
      <c r="K24" s="7">
        <f>IF(SUM(I4:$K$4)=0, "", SUMPRODUCT(I19:$K$19,I4:$K$4)/SUM(I4:$K$4))</f>
        <v>0.19720899597166811</v>
      </c>
      <c r="L24" s="7">
        <f>L19</f>
        <v>0.21139699763672071</v>
      </c>
      <c r="M24" s="22">
        <f>MAX(K24:L24)</f>
        <v>0.21139699763672071</v>
      </c>
      <c r="N24" s="22">
        <f>MIN(H24:L24)</f>
        <v>0.17278631337873301</v>
      </c>
    </row>
    <row r="25" spans="1:14" x14ac:dyDescent="0.3">
      <c r="G25" s="6" t="s">
        <v>23</v>
      </c>
      <c r="H25" s="9">
        <f>IF(ISERROR(AVERAGEIF(B14:$L14,"&gt;0")),"",AVERAGEIF(B14:$L14,"&gt;0"))</f>
        <v>363.25589905952904</v>
      </c>
      <c r="I25" s="9">
        <f>IF(ISERROR(AVERAGEIF(E14:$L14,"&gt;0")),"",AVERAGEIF(E14:$L14,"&gt;0"))</f>
        <v>363.25589905952904</v>
      </c>
      <c r="J25" s="9">
        <f>IF(ISERROR(AVERAGEIF(G14:$L14,"&gt;0")),"",AVERAGEIF(G14:$L14,"&gt;0"))</f>
        <v>126.32752353236361</v>
      </c>
      <c r="K25" s="9">
        <f>IF(ISERROR(AVERAGEIF(I14:$L14,"&gt;0")),"",AVERAGEIF(I14:$L14,"&gt;0"))</f>
        <v>21.940885298545446</v>
      </c>
      <c r="L25" s="9">
        <f>L14</f>
        <v>18.048213839620285</v>
      </c>
      <c r="M25" s="1">
        <f>MAX(K25:L25)</f>
        <v>21.940885298545446</v>
      </c>
      <c r="N25" s="1">
        <f>MIN(H25:L25)</f>
        <v>18.048213839620285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Waaree Energies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2936</v>
      </c>
      <c r="C4" s="1">
        <f>'Data Sheet'!C42</f>
        <v>3409</v>
      </c>
      <c r="D4" s="1">
        <f>'Data Sheet'!D42</f>
        <v>3574</v>
      </c>
      <c r="E4" s="1">
        <f>'Data Sheet'!E42</f>
        <v>3457</v>
      </c>
      <c r="F4" s="1">
        <f>'Data Sheet'!F42</f>
        <v>4004</v>
      </c>
      <c r="G4" s="1">
        <f>'Data Sheet'!G42</f>
        <v>4426</v>
      </c>
      <c r="H4" s="1">
        <f>'Data Sheet'!H42</f>
        <v>6066</v>
      </c>
      <c r="I4" s="1">
        <f>'Data Sheet'!I42</f>
        <v>7565</v>
      </c>
      <c r="J4" s="1">
        <f>'Data Sheet'!J42</f>
        <v>8480</v>
      </c>
      <c r="K4" s="1">
        <f>'Data Sheet'!K42</f>
        <v>7932</v>
      </c>
    </row>
    <row r="5" spans="1:11" x14ac:dyDescent="0.3">
      <c r="A5" s="6" t="s">
        <v>7</v>
      </c>
      <c r="B5" s="9">
        <f>'Data Sheet'!B43</f>
        <v>2518</v>
      </c>
      <c r="C5" s="9">
        <f>'Data Sheet'!C43</f>
        <v>2856</v>
      </c>
      <c r="D5" s="9">
        <f>'Data Sheet'!D43</f>
        <v>3050</v>
      </c>
      <c r="E5" s="9">
        <f>'Data Sheet'!E43</f>
        <v>2736</v>
      </c>
      <c r="F5" s="9">
        <f>'Data Sheet'!F43</f>
        <v>3081</v>
      </c>
      <c r="G5" s="9">
        <f>'Data Sheet'!G43</f>
        <v>3429</v>
      </c>
      <c r="H5" s="9">
        <f>'Data Sheet'!H43</f>
        <v>4659</v>
      </c>
      <c r="I5" s="9">
        <f>'Data Sheet'!I43</f>
        <v>5637</v>
      </c>
      <c r="J5" s="9">
        <f>'Data Sheet'!J43</f>
        <v>6904</v>
      </c>
      <c r="K5" s="9">
        <f>'Data Sheet'!K43</f>
        <v>6492</v>
      </c>
    </row>
    <row r="6" spans="1:11" s="8" customFormat="1" x14ac:dyDescent="0.3">
      <c r="A6" s="8" t="s">
        <v>8</v>
      </c>
      <c r="B6" s="1">
        <f>'Data Sheet'!B50</f>
        <v>418</v>
      </c>
      <c r="C6" s="1">
        <f>'Data Sheet'!C50</f>
        <v>552</v>
      </c>
      <c r="D6" s="1">
        <f>'Data Sheet'!D50</f>
        <v>525</v>
      </c>
      <c r="E6" s="1">
        <f>'Data Sheet'!E50</f>
        <v>722</v>
      </c>
      <c r="F6" s="1">
        <f>'Data Sheet'!F50</f>
        <v>923</v>
      </c>
      <c r="G6" s="1">
        <f>'Data Sheet'!G50</f>
        <v>997</v>
      </c>
      <c r="H6" s="1">
        <f>'Data Sheet'!H50</f>
        <v>1406</v>
      </c>
      <c r="I6" s="1">
        <f>'Data Sheet'!I50</f>
        <v>1928</v>
      </c>
      <c r="J6" s="1">
        <f>'Data Sheet'!J50</f>
        <v>1577</v>
      </c>
      <c r="K6" s="1">
        <f>'Data Sheet'!K50</f>
        <v>1440</v>
      </c>
    </row>
    <row r="7" spans="1:11" x14ac:dyDescent="0.3">
      <c r="A7" s="6" t="s">
        <v>9</v>
      </c>
      <c r="B7" s="9">
        <f>'Data Sheet'!B44</f>
        <v>364</v>
      </c>
      <c r="C7" s="9">
        <f>'Data Sheet'!C44</f>
        <v>88</v>
      </c>
      <c r="D7" s="9">
        <f>'Data Sheet'!D44</f>
        <v>89</v>
      </c>
      <c r="E7" s="9">
        <f>'Data Sheet'!E44</f>
        <v>88</v>
      </c>
      <c r="F7" s="9">
        <f>'Data Sheet'!F44</f>
        <v>133</v>
      </c>
      <c r="G7" s="9">
        <f>'Data Sheet'!G44</f>
        <v>171</v>
      </c>
      <c r="H7" s="9">
        <f>'Data Sheet'!H44</f>
        <v>161</v>
      </c>
      <c r="I7" s="9">
        <f>'Data Sheet'!I44</f>
        <v>-99</v>
      </c>
      <c r="J7" s="9">
        <f>'Data Sheet'!J44</f>
        <v>180</v>
      </c>
      <c r="K7" s="9">
        <f>'Data Sheet'!K44</f>
        <v>171</v>
      </c>
    </row>
    <row r="8" spans="1:11" x14ac:dyDescent="0.3">
      <c r="A8" s="6" t="s">
        <v>10</v>
      </c>
      <c r="B8" s="9">
        <f>'Data Sheet'!B45</f>
        <v>75</v>
      </c>
      <c r="C8" s="9">
        <f>'Data Sheet'!C45</f>
        <v>76</v>
      </c>
      <c r="D8" s="9">
        <f>'Data Sheet'!D45</f>
        <v>84</v>
      </c>
      <c r="E8" s="9">
        <f>'Data Sheet'!E45</f>
        <v>89</v>
      </c>
      <c r="F8" s="9">
        <f>'Data Sheet'!F45</f>
        <v>153</v>
      </c>
      <c r="G8" s="9">
        <f>'Data Sheet'!G45</f>
        <v>182</v>
      </c>
      <c r="H8" s="9">
        <f>'Data Sheet'!H45</f>
        <v>240</v>
      </c>
      <c r="I8" s="9">
        <f>'Data Sheet'!I45</f>
        <v>267</v>
      </c>
      <c r="J8" s="9">
        <f>'Data Sheet'!J45</f>
        <v>301</v>
      </c>
      <c r="K8" s="9">
        <f>'Data Sheet'!K45</f>
        <v>330</v>
      </c>
    </row>
    <row r="9" spans="1:11" x14ac:dyDescent="0.3">
      <c r="A9" s="6" t="s">
        <v>11</v>
      </c>
      <c r="B9" s="9">
        <f>'Data Sheet'!B46</f>
        <v>48</v>
      </c>
      <c r="C9" s="9">
        <f>'Data Sheet'!C46</f>
        <v>34</v>
      </c>
      <c r="D9" s="9">
        <f>'Data Sheet'!D46</f>
        <v>31</v>
      </c>
      <c r="E9" s="9">
        <f>'Data Sheet'!E46</f>
        <v>31</v>
      </c>
      <c r="F9" s="9">
        <f>'Data Sheet'!F46</f>
        <v>57</v>
      </c>
      <c r="G9" s="9">
        <f>'Data Sheet'!G46</f>
        <v>43</v>
      </c>
      <c r="H9" s="9">
        <f>'Data Sheet'!H46</f>
        <v>96</v>
      </c>
      <c r="I9" s="9">
        <f>'Data Sheet'!I46</f>
        <v>93</v>
      </c>
      <c r="J9" s="9">
        <f>'Data Sheet'!J46</f>
        <v>48</v>
      </c>
      <c r="K9" s="9">
        <f>'Data Sheet'!K46</f>
        <v>70</v>
      </c>
    </row>
    <row r="10" spans="1:11" x14ac:dyDescent="0.3">
      <c r="A10" s="6" t="s">
        <v>12</v>
      </c>
      <c r="B10" s="9">
        <f>'Data Sheet'!B47</f>
        <v>659</v>
      </c>
      <c r="C10" s="9">
        <f>'Data Sheet'!C47</f>
        <v>531</v>
      </c>
      <c r="D10" s="9">
        <f>'Data Sheet'!D47</f>
        <v>499</v>
      </c>
      <c r="E10" s="9">
        <f>'Data Sheet'!E47</f>
        <v>690</v>
      </c>
      <c r="F10" s="9">
        <f>'Data Sheet'!F47</f>
        <v>845</v>
      </c>
      <c r="G10" s="9">
        <f>'Data Sheet'!G47</f>
        <v>943</v>
      </c>
      <c r="H10" s="9">
        <f>'Data Sheet'!H47</f>
        <v>1231</v>
      </c>
      <c r="I10" s="9">
        <f>'Data Sheet'!I47</f>
        <v>1469</v>
      </c>
      <c r="J10" s="9">
        <f>'Data Sheet'!J47</f>
        <v>1408</v>
      </c>
      <c r="K10" s="9">
        <f>'Data Sheet'!K47</f>
        <v>1210</v>
      </c>
    </row>
    <row r="11" spans="1:11" x14ac:dyDescent="0.3">
      <c r="A11" s="6" t="s">
        <v>13</v>
      </c>
      <c r="B11" s="9">
        <f>'Data Sheet'!B48</f>
        <v>659</v>
      </c>
      <c r="C11" s="9">
        <f>'Data Sheet'!C48</f>
        <v>531</v>
      </c>
      <c r="D11" s="9">
        <f>'Data Sheet'!D48</f>
        <v>499</v>
      </c>
      <c r="E11" s="9">
        <f>'Data Sheet'!E48</f>
        <v>690</v>
      </c>
      <c r="F11" s="9">
        <f>'Data Sheet'!F48</f>
        <v>845</v>
      </c>
      <c r="G11" s="9">
        <f>'Data Sheet'!G48</f>
        <v>943</v>
      </c>
      <c r="H11" s="9">
        <f>'Data Sheet'!H48</f>
        <v>1231</v>
      </c>
      <c r="I11" s="9">
        <f>'Data Sheet'!I48</f>
        <v>1469</v>
      </c>
      <c r="J11" s="9">
        <f>'Data Sheet'!J48</f>
        <v>1408</v>
      </c>
      <c r="K11" s="9">
        <f>'Data Sheet'!K48</f>
        <v>1210</v>
      </c>
    </row>
    <row r="12" spans="1:11" s="8" customFormat="1" x14ac:dyDescent="0.3">
      <c r="A12" s="8" t="s">
        <v>14</v>
      </c>
      <c r="B12" s="1">
        <f>'Data Sheet'!B49</f>
        <v>475</v>
      </c>
      <c r="C12" s="1">
        <f>'Data Sheet'!C49</f>
        <v>401</v>
      </c>
      <c r="D12" s="1">
        <f>'Data Sheet'!D49</f>
        <v>376</v>
      </c>
      <c r="E12" s="1">
        <f>'Data Sheet'!E49</f>
        <v>507</v>
      </c>
      <c r="F12" s="1">
        <f>'Data Sheet'!F49</f>
        <v>644</v>
      </c>
      <c r="G12" s="1">
        <f>'Data Sheet'!G49</f>
        <v>773</v>
      </c>
      <c r="H12" s="1">
        <f>'Data Sheet'!H49</f>
        <v>878</v>
      </c>
      <c r="I12" s="1">
        <f>'Data Sheet'!I49</f>
        <v>1107</v>
      </c>
      <c r="J12" s="1">
        <f>'Data Sheet'!J49</f>
        <v>1126</v>
      </c>
      <c r="K12" s="1">
        <f>'Data Sheet'!K49</f>
        <v>892</v>
      </c>
    </row>
    <row r="14" spans="1:11" s="8" customFormat="1" x14ac:dyDescent="0.3">
      <c r="A14" s="2" t="s">
        <v>18</v>
      </c>
      <c r="B14" s="14">
        <f>IF(B4&gt;0,B6/B4,"")</f>
        <v>0.14237057220708446</v>
      </c>
      <c r="C14" s="14">
        <f t="shared" ref="C14:K14" si="0">IF(C4&gt;0,C6/C4,"")</f>
        <v>0.16192431798181284</v>
      </c>
      <c r="D14" s="14">
        <f t="shared" si="0"/>
        <v>0.14689423614997202</v>
      </c>
      <c r="E14" s="14">
        <f t="shared" si="0"/>
        <v>0.20885160543824124</v>
      </c>
      <c r="F14" s="14">
        <f t="shared" si="0"/>
        <v>0.23051948051948051</v>
      </c>
      <c r="G14" s="14">
        <f t="shared" si="0"/>
        <v>0.22525982828739269</v>
      </c>
      <c r="H14" s="14">
        <f t="shared" si="0"/>
        <v>0.23178371249587867</v>
      </c>
      <c r="I14" s="14">
        <f t="shared" si="0"/>
        <v>0.25485789821546595</v>
      </c>
      <c r="J14" s="14">
        <f t="shared" si="0"/>
        <v>0.18596698113207547</v>
      </c>
      <c r="K14" s="14">
        <f t="shared" si="0"/>
        <v>0.18154311649016641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Waaree Energies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0</v>
      </c>
      <c r="C3" s="16">
        <f>'Data Sheet'!C56</f>
        <v>0</v>
      </c>
      <c r="D3" s="16">
        <f>'Data Sheet'!D56</f>
        <v>0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0</v>
      </c>
      <c r="C4" s="19">
        <f>'Data Sheet'!C57</f>
        <v>0</v>
      </c>
      <c r="D4" s="19">
        <f>'Data Sheet'!D57</f>
        <v>0</v>
      </c>
      <c r="E4" s="19">
        <f>'Data Sheet'!E57</f>
        <v>197</v>
      </c>
      <c r="F4" s="19">
        <f>'Data Sheet'!F57</f>
        <v>197</v>
      </c>
      <c r="G4" s="19">
        <f>'Data Sheet'!G57</f>
        <v>197</v>
      </c>
      <c r="H4" s="19">
        <f>'Data Sheet'!H57</f>
        <v>243</v>
      </c>
      <c r="I4" s="19">
        <f>'Data Sheet'!I57</f>
        <v>263</v>
      </c>
      <c r="J4" s="19">
        <f>'Data Sheet'!J57</f>
        <v>287</v>
      </c>
      <c r="K4" s="19">
        <f>'Data Sheet'!K57</f>
        <v>288</v>
      </c>
    </row>
    <row r="5" spans="1:11" s="6" customFormat="1" x14ac:dyDescent="0.3">
      <c r="A5" s="6" t="s">
        <v>25</v>
      </c>
      <c r="B5" s="19">
        <f>'Data Sheet'!B58</f>
        <v>0</v>
      </c>
      <c r="C5" s="19">
        <f>'Data Sheet'!C58</f>
        <v>0</v>
      </c>
      <c r="D5" s="19">
        <f>'Data Sheet'!D58</f>
        <v>0</v>
      </c>
      <c r="E5" s="19">
        <f>'Data Sheet'!E58</f>
        <v>101</v>
      </c>
      <c r="F5" s="19">
        <f>'Data Sheet'!F58</f>
        <v>148</v>
      </c>
      <c r="G5" s="19">
        <f>'Data Sheet'!G58</f>
        <v>231</v>
      </c>
      <c r="H5" s="19">
        <f>'Data Sheet'!H58</f>
        <v>1595</v>
      </c>
      <c r="I5" s="19">
        <f>'Data Sheet'!I58</f>
        <v>3825</v>
      </c>
      <c r="J5" s="19">
        <f>'Data Sheet'!J58</f>
        <v>9192</v>
      </c>
      <c r="K5" s="19">
        <f>'Data Sheet'!K58</f>
        <v>14150</v>
      </c>
    </row>
    <row r="6" spans="1:11" x14ac:dyDescent="0.3">
      <c r="A6" s="11" t="s">
        <v>71</v>
      </c>
      <c r="B6" s="19">
        <f>'Data Sheet'!B59</f>
        <v>0</v>
      </c>
      <c r="C6" s="19">
        <f>'Data Sheet'!C59</f>
        <v>0</v>
      </c>
      <c r="D6" s="19">
        <f>'Data Sheet'!D59</f>
        <v>0</v>
      </c>
      <c r="E6" s="19">
        <f>'Data Sheet'!E59</f>
        <v>157</v>
      </c>
      <c r="F6" s="19">
        <f>'Data Sheet'!F59</f>
        <v>340</v>
      </c>
      <c r="G6" s="19">
        <f>'Data Sheet'!G59</f>
        <v>363</v>
      </c>
      <c r="H6" s="19">
        <f>'Data Sheet'!H59</f>
        <v>320</v>
      </c>
      <c r="I6" s="19">
        <f>'Data Sheet'!I59</f>
        <v>553</v>
      </c>
      <c r="J6" s="19">
        <f>'Data Sheet'!J59</f>
        <v>1199</v>
      </c>
      <c r="K6" s="19">
        <f>'Data Sheet'!K59</f>
        <v>3213</v>
      </c>
    </row>
    <row r="7" spans="1:11" s="6" customFormat="1" x14ac:dyDescent="0.3">
      <c r="A7" s="11" t="s">
        <v>72</v>
      </c>
      <c r="B7" s="19">
        <f>'Data Sheet'!B60</f>
        <v>0</v>
      </c>
      <c r="C7" s="19">
        <f>'Data Sheet'!C60</f>
        <v>0</v>
      </c>
      <c r="D7" s="19">
        <f>'Data Sheet'!D60</f>
        <v>0</v>
      </c>
      <c r="E7" s="19">
        <f>'Data Sheet'!E60</f>
        <v>483</v>
      </c>
      <c r="F7" s="19">
        <f>'Data Sheet'!F60</f>
        <v>596</v>
      </c>
      <c r="G7" s="19">
        <f>'Data Sheet'!G60</f>
        <v>1362</v>
      </c>
      <c r="H7" s="19">
        <f>'Data Sheet'!H60</f>
        <v>5247</v>
      </c>
      <c r="I7" s="19">
        <f>'Data Sheet'!I60</f>
        <v>6635</v>
      </c>
      <c r="J7" s="19">
        <f>'Data Sheet'!J60</f>
        <v>8766</v>
      </c>
      <c r="K7" s="19">
        <f>'Data Sheet'!K60</f>
        <v>12335</v>
      </c>
    </row>
    <row r="8" spans="1:11" s="8" customFormat="1" x14ac:dyDescent="0.3">
      <c r="A8" s="8" t="s">
        <v>26</v>
      </c>
      <c r="B8" s="20">
        <f>'Data Sheet'!B61</f>
        <v>0</v>
      </c>
      <c r="C8" s="20">
        <f>'Data Sheet'!C61</f>
        <v>0</v>
      </c>
      <c r="D8" s="20">
        <f>'Data Sheet'!D61</f>
        <v>0</v>
      </c>
      <c r="E8" s="20">
        <f>'Data Sheet'!E61</f>
        <v>938</v>
      </c>
      <c r="F8" s="20">
        <f>'Data Sheet'!F61</f>
        <v>1281</v>
      </c>
      <c r="G8" s="20">
        <f>'Data Sheet'!G61</f>
        <v>2154</v>
      </c>
      <c r="H8" s="20">
        <f>'Data Sheet'!H61</f>
        <v>7406</v>
      </c>
      <c r="I8" s="20">
        <f>'Data Sheet'!I61</f>
        <v>11277</v>
      </c>
      <c r="J8" s="20">
        <f>'Data Sheet'!J61</f>
        <v>19444</v>
      </c>
      <c r="K8" s="20">
        <f>'Data Sheet'!K61</f>
        <v>29985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0</v>
      </c>
      <c r="C10" s="19">
        <f>'Data Sheet'!C62</f>
        <v>0</v>
      </c>
      <c r="D10" s="19">
        <f>'Data Sheet'!D62</f>
        <v>0</v>
      </c>
      <c r="E10" s="19">
        <f>'Data Sheet'!E62</f>
        <v>152</v>
      </c>
      <c r="F10" s="19">
        <f>'Data Sheet'!F62</f>
        <v>285</v>
      </c>
      <c r="G10" s="19">
        <f>'Data Sheet'!G62</f>
        <v>625</v>
      </c>
      <c r="H10" s="19">
        <f>'Data Sheet'!H62</f>
        <v>1105</v>
      </c>
      <c r="I10" s="19">
        <f>'Data Sheet'!I62</f>
        <v>1450</v>
      </c>
      <c r="J10" s="19">
        <f>'Data Sheet'!J62</f>
        <v>4026</v>
      </c>
      <c r="K10" s="19">
        <f>'Data Sheet'!K62</f>
        <v>7328</v>
      </c>
    </row>
    <row r="11" spans="1:11" x14ac:dyDescent="0.3">
      <c r="A11" s="6" t="s">
        <v>28</v>
      </c>
      <c r="B11" s="19">
        <f>'Data Sheet'!B63</f>
        <v>0</v>
      </c>
      <c r="C11" s="19">
        <f>'Data Sheet'!C63</f>
        <v>0</v>
      </c>
      <c r="D11" s="19">
        <f>'Data Sheet'!D63</f>
        <v>0</v>
      </c>
      <c r="E11" s="19">
        <f>'Data Sheet'!E63</f>
        <v>40</v>
      </c>
      <c r="F11" s="19">
        <f>'Data Sheet'!F63</f>
        <v>3</v>
      </c>
      <c r="G11" s="19">
        <f>'Data Sheet'!G63</f>
        <v>124</v>
      </c>
      <c r="H11" s="19">
        <f>'Data Sheet'!H63</f>
        <v>537</v>
      </c>
      <c r="I11" s="19">
        <f>'Data Sheet'!I63</f>
        <v>1341</v>
      </c>
      <c r="J11" s="19">
        <f>'Data Sheet'!J63</f>
        <v>1884</v>
      </c>
      <c r="K11" s="19">
        <f>'Data Sheet'!K63</f>
        <v>3477</v>
      </c>
    </row>
    <row r="12" spans="1:11" x14ac:dyDescent="0.3">
      <c r="A12" s="6" t="s">
        <v>29</v>
      </c>
      <c r="B12" s="19">
        <f>'Data Sheet'!B64</f>
        <v>0</v>
      </c>
      <c r="C12" s="19">
        <f>'Data Sheet'!C64</f>
        <v>0</v>
      </c>
      <c r="D12" s="19">
        <f>'Data Sheet'!D64</f>
        <v>0</v>
      </c>
      <c r="E12" s="19">
        <f>'Data Sheet'!E64</f>
        <v>85</v>
      </c>
      <c r="F12" s="19">
        <f>'Data Sheet'!F64</f>
        <v>115</v>
      </c>
      <c r="G12" s="19">
        <f>'Data Sheet'!G64</f>
        <v>143</v>
      </c>
      <c r="H12" s="19">
        <f>'Data Sheet'!H64</f>
        <v>31</v>
      </c>
      <c r="I12" s="19">
        <f>'Data Sheet'!I64</f>
        <v>71</v>
      </c>
      <c r="J12" s="19">
        <f>'Data Sheet'!J64</f>
        <v>65</v>
      </c>
      <c r="K12" s="19">
        <f>'Data Sheet'!K64</f>
        <v>953</v>
      </c>
    </row>
    <row r="13" spans="1:11" x14ac:dyDescent="0.3">
      <c r="A13" s="11" t="s">
        <v>73</v>
      </c>
      <c r="B13" s="19">
        <f>'Data Sheet'!B65</f>
        <v>0</v>
      </c>
      <c r="C13" s="19">
        <f>'Data Sheet'!C65</f>
        <v>0</v>
      </c>
      <c r="D13" s="19">
        <f>'Data Sheet'!D65</f>
        <v>0</v>
      </c>
      <c r="E13" s="19">
        <f>'Data Sheet'!E65</f>
        <v>661</v>
      </c>
      <c r="F13" s="19">
        <f>'Data Sheet'!F65</f>
        <v>878</v>
      </c>
      <c r="G13" s="19">
        <f>'Data Sheet'!G65</f>
        <v>1262</v>
      </c>
      <c r="H13" s="19">
        <f>'Data Sheet'!H65</f>
        <v>5732</v>
      </c>
      <c r="I13" s="19">
        <f>'Data Sheet'!I65</f>
        <v>8414</v>
      </c>
      <c r="J13" s="19">
        <f>'Data Sheet'!J65</f>
        <v>13469</v>
      </c>
      <c r="K13" s="19">
        <f>'Data Sheet'!K65</f>
        <v>18227</v>
      </c>
    </row>
    <row r="14" spans="1:11" s="8" customFormat="1" x14ac:dyDescent="0.3">
      <c r="A14" s="8" t="s">
        <v>26</v>
      </c>
      <c r="B14" s="19">
        <f>'Data Sheet'!B66</f>
        <v>0</v>
      </c>
      <c r="C14" s="19">
        <f>'Data Sheet'!C66</f>
        <v>0</v>
      </c>
      <c r="D14" s="19">
        <f>'Data Sheet'!D66</f>
        <v>0</v>
      </c>
      <c r="E14" s="19">
        <f>'Data Sheet'!E66</f>
        <v>938</v>
      </c>
      <c r="F14" s="19">
        <f>'Data Sheet'!F66</f>
        <v>1281</v>
      </c>
      <c r="G14" s="19">
        <f>'Data Sheet'!G66</f>
        <v>2154</v>
      </c>
      <c r="H14" s="19">
        <f>'Data Sheet'!H66</f>
        <v>7406</v>
      </c>
      <c r="I14" s="19">
        <f>'Data Sheet'!I66</f>
        <v>11277</v>
      </c>
      <c r="J14" s="19">
        <f>'Data Sheet'!J66</f>
        <v>19444</v>
      </c>
      <c r="K14" s="19">
        <f>'Data Sheet'!K66</f>
        <v>29985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0</v>
      </c>
      <c r="C16" s="21">
        <f t="shared" ref="C16:K16" si="0">C13-C7</f>
        <v>0</v>
      </c>
      <c r="D16" s="21">
        <f t="shared" si="0"/>
        <v>0</v>
      </c>
      <c r="E16" s="21">
        <f t="shared" si="0"/>
        <v>178</v>
      </c>
      <c r="F16" s="21">
        <f t="shared" si="0"/>
        <v>282</v>
      </c>
      <c r="G16" s="21">
        <f t="shared" si="0"/>
        <v>-100</v>
      </c>
      <c r="H16" s="21">
        <f t="shared" si="0"/>
        <v>485</v>
      </c>
      <c r="I16" s="21">
        <f t="shared" si="0"/>
        <v>1779</v>
      </c>
      <c r="J16" s="21">
        <f t="shared" si="0"/>
        <v>4703</v>
      </c>
      <c r="K16" s="21">
        <f t="shared" si="0"/>
        <v>5892</v>
      </c>
    </row>
    <row r="17" spans="1:11" x14ac:dyDescent="0.3">
      <c r="A17" s="11" t="s">
        <v>44</v>
      </c>
      <c r="B17" s="21">
        <f>'Data Sheet'!B67</f>
        <v>0</v>
      </c>
      <c r="C17" s="21">
        <f>'Data Sheet'!C67</f>
        <v>0</v>
      </c>
      <c r="D17" s="21">
        <f>'Data Sheet'!D67</f>
        <v>0</v>
      </c>
      <c r="E17" s="21">
        <f>'Data Sheet'!E67</f>
        <v>140</v>
      </c>
      <c r="F17" s="21">
        <f>'Data Sheet'!F67</f>
        <v>117</v>
      </c>
      <c r="G17" s="21">
        <f>'Data Sheet'!G67</f>
        <v>93</v>
      </c>
      <c r="H17" s="21">
        <f>'Data Sheet'!H67</f>
        <v>313</v>
      </c>
      <c r="I17" s="21">
        <f>'Data Sheet'!I67</f>
        <v>971</v>
      </c>
      <c r="J17" s="21">
        <f>'Data Sheet'!J67</f>
        <v>1053</v>
      </c>
      <c r="K17" s="21">
        <f>'Data Sheet'!K67</f>
        <v>2492</v>
      </c>
    </row>
    <row r="18" spans="1:11" x14ac:dyDescent="0.3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0</v>
      </c>
      <c r="E18" s="21">
        <f>'Data Sheet'!E68</f>
        <v>243</v>
      </c>
      <c r="F18" s="21">
        <f>'Data Sheet'!F68</f>
        <v>368</v>
      </c>
      <c r="G18" s="21">
        <f>'Data Sheet'!G68</f>
        <v>538</v>
      </c>
      <c r="H18" s="21">
        <f>'Data Sheet'!H68</f>
        <v>2709</v>
      </c>
      <c r="I18" s="21">
        <f>'Data Sheet'!I68</f>
        <v>2586</v>
      </c>
      <c r="J18" s="21">
        <f>'Data Sheet'!J68</f>
        <v>2692</v>
      </c>
      <c r="K18" s="21">
        <f>'Data Sheet'!K68</f>
        <v>5856</v>
      </c>
    </row>
    <row r="20" spans="1:11" x14ac:dyDescent="0.3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0</v>
      </c>
      <c r="D20" s="5">
        <f>IF('Profit &amp; Loss'!D4&gt;0,'Balance Sheet'!D17/('Profit &amp; Loss'!D4/365),0)</f>
        <v>0</v>
      </c>
      <c r="E20" s="5">
        <f>IF('Profit &amp; Loss'!E4&gt;0,'Balance Sheet'!E17/('Profit &amp; Loss'!E4/365),0)</f>
        <v>25.601202404809619</v>
      </c>
      <c r="F20" s="5">
        <f>IF('Profit &amp; Loss'!F4&gt;0,'Balance Sheet'!F17/('Profit &amp; Loss'!F4/365),0)</f>
        <v>21.866359447004609</v>
      </c>
      <c r="G20" s="5">
        <f>IF('Profit &amp; Loss'!G4&gt;0,'Balance Sheet'!G17/('Profit &amp; Loss'!G4/365),0)</f>
        <v>11.893833216538193</v>
      </c>
      <c r="H20" s="5">
        <f>IF('Profit &amp; Loss'!H4&gt;0,'Balance Sheet'!H17/('Profit &amp; Loss'!H4/365),0)</f>
        <v>16.922678121759741</v>
      </c>
      <c r="I20" s="5">
        <f>IF('Profit &amp; Loss'!I4&gt;0,'Balance Sheet'!I17/('Profit &amp; Loss'!I4/365),0)</f>
        <v>31.09449026144938</v>
      </c>
      <c r="J20" s="5">
        <f>IF('Profit &amp; Loss'!J4&gt;0,'Balance Sheet'!J17/('Profit &amp; Loss'!J4/365),0)</f>
        <v>26.609318748269175</v>
      </c>
      <c r="K20" s="5">
        <f>IF('Profit &amp; Loss'!K4&gt;0,'Balance Sheet'!K17/('Profit &amp; Loss'!K4/365),0)</f>
        <v>34.275916644684777</v>
      </c>
    </row>
    <row r="21" spans="1:11" x14ac:dyDescent="0.3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0</v>
      </c>
      <c r="E21" s="5">
        <f>IF('Balance Sheet'!E18&gt;0,'Profit &amp; Loss'!E4/'Balance Sheet'!E18,0)</f>
        <v>8.2139917695473255</v>
      </c>
      <c r="F21" s="5">
        <f>IF('Balance Sheet'!F18&gt;0,'Profit &amp; Loss'!F4/'Balance Sheet'!F18,0)</f>
        <v>5.3070652173913047</v>
      </c>
      <c r="G21" s="5">
        <f>IF('Balance Sheet'!G18&gt;0,'Profit &amp; Loss'!G4/'Balance Sheet'!G18,0)</f>
        <v>5.3048327137546467</v>
      </c>
      <c r="H21" s="5">
        <f>IF('Balance Sheet'!H18&gt;0,'Profit &amp; Loss'!H4/'Balance Sheet'!H18,0)</f>
        <v>2.4920634920634921</v>
      </c>
      <c r="I21" s="5">
        <f>IF('Balance Sheet'!I18&gt;0,'Profit &amp; Loss'!I4/'Balance Sheet'!I18,0)</f>
        <v>4.4075792730085075</v>
      </c>
      <c r="J21" s="5">
        <f>IF('Balance Sheet'!J18&gt;0,'Profit &amp; Loss'!J4/'Balance Sheet'!J18,0)</f>
        <v>5.3655274888558688</v>
      </c>
      <c r="K21" s="5">
        <f>IF('Balance Sheet'!K18&gt;0,'Profit &amp; Loss'!K4/'Balance Sheet'!K18,0)</f>
        <v>4.5315915300546452</v>
      </c>
    </row>
    <row r="23" spans="1:11" s="8" customFormat="1" x14ac:dyDescent="0.3">
      <c r="A23" s="8" t="s">
        <v>59</v>
      </c>
      <c r="B23" s="14" t="str">
        <f>IF(SUM('Balance Sheet'!B4:B5)&gt;0,'Profit &amp; Loss'!B12/SUM('Balance Sheet'!B4:B5),"")</f>
        <v/>
      </c>
      <c r="C23" s="14" t="str">
        <f>IF(SUM('Balance Sheet'!C4:C5)&gt;0,'Profit &amp; Loss'!C12/SUM('Balance Sheet'!C4:C5),"")</f>
        <v/>
      </c>
      <c r="D23" s="14" t="str">
        <f>IF(SUM('Balance Sheet'!D4:D5)&gt;0,'Profit &amp; Loss'!D12/SUM('Balance Sheet'!D4:D5),"")</f>
        <v/>
      </c>
      <c r="E23" s="14">
        <f>IF(SUM('Balance Sheet'!E4:E5)&gt;0,'Profit &amp; Loss'!E12/SUM('Balance Sheet'!E4:E5),"")</f>
        <v>0.13087248322147652</v>
      </c>
      <c r="F23" s="14">
        <f>IF(SUM('Balance Sheet'!F4:F5)&gt;0,'Profit &amp; Loss'!F12/SUM('Balance Sheet'!F4:F5),"")</f>
        <v>0.1391304347826087</v>
      </c>
      <c r="G23" s="14">
        <f>IF(SUM('Balance Sheet'!G4:G5)&gt;0,'Profit &amp; Loss'!G12/SUM('Balance Sheet'!G4:G5),"")</f>
        <v>0.18691588785046728</v>
      </c>
      <c r="H23" s="14">
        <f>IF(SUM('Balance Sheet'!H4:H5)&gt;0,'Profit &amp; Loss'!H12/SUM('Balance Sheet'!H4:H5),"")</f>
        <v>0.27203482045701849</v>
      </c>
      <c r="I23" s="14">
        <f>IF(SUM('Balance Sheet'!I4:I5)&gt;0,'Profit &amp; Loss'!I12/SUM('Balance Sheet'!I4:I5),"")</f>
        <v>0.31164383561643838</v>
      </c>
      <c r="J23" s="14">
        <f>IF(SUM('Balance Sheet'!J4:J5)&gt;0,'Profit &amp; Loss'!J12/SUM('Balance Sheet'!J4:J5),"")</f>
        <v>0.20339698280409327</v>
      </c>
      <c r="K23" s="14">
        <f>IF(SUM('Balance Sheet'!K4:K5)&gt;0,'Profit &amp; Loss'!K12/SUM('Balance Sheet'!K4:K5),"")</f>
        <v>0.26901232857736529</v>
      </c>
    </row>
    <row r="24" spans="1:11" s="8" customFormat="1" x14ac:dyDescent="0.3">
      <c r="A24" s="8" t="s">
        <v>60</v>
      </c>
      <c r="B24" s="14"/>
      <c r="C24" s="14" t="str">
        <f>IF((B4+B5+B6+C4+C5+C6)&gt;0,('Profit &amp; Loss'!C10+'Profit &amp; Loss'!C9)*2/(B4+B5+B6+C4+C5+C6),"")</f>
        <v/>
      </c>
      <c r="D24" s="14" t="str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>0.4</v>
      </c>
      <c r="F24" s="14">
        <f>IF((E4+E5+E6+F4+F5+F6)&gt;0,('Profit &amp; Loss'!F10+'Profit &amp; Loss'!F9)*2/(E4+E5+E6+F4+F5+F6),"")</f>
        <v>0.17719298245614035</v>
      </c>
      <c r="G24" s="14">
        <f>IF((F4+F5+F6+G4+G5+G6)&gt;0,('Profit &amp; Loss'!G10+'Profit &amp; Loss'!G9)*2/(F4+F5+F6+G4+G5+G6),"")</f>
        <v>0.21544715447154472</v>
      </c>
      <c r="H24" s="14">
        <f>IF((G4+G5+G6+H4+H5+H6)&gt;0,('Profit &amp; Loss'!H10+'Profit &amp; Loss'!H9)*2/(G4+G5+G6+H4+H5+H6),"")</f>
        <v>0.51475076297049849</v>
      </c>
      <c r="I24" s="14">
        <f>IF((H4+H5+H6+I4+I5+I6)&gt;0,('Profit &amp; Loss'!I10+'Profit &amp; Loss'!I9)*2/(H4+H5+H6+I4+I5+I6),"")</f>
        <v>0.55125753787321663</v>
      </c>
      <c r="J24" s="14">
        <f>IF((I4+I5+I6+J4+J5+J6)&gt;0,('Profit &amp; Loss'!J10+'Profit &amp; Loss'!J9)*2/(I4+I5+I6+J4+J5+J6),"")</f>
        <v>0.35472289313923883</v>
      </c>
      <c r="K24" s="14">
        <f>IF((J4+J5+J6+K4+K5+K6)&gt;0,('Profit &amp; Loss'!K10+'Profit &amp; Loss'!K9)*2/(J4+J5+J6+K4+K5+K6),"")</f>
        <v>0.37643404285361293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Waaree Energies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0</v>
      </c>
      <c r="C3" s="16">
        <f>'Data Sheet'!C81</f>
        <v>0</v>
      </c>
      <c r="D3" s="16">
        <f>'Data Sheet'!D81</f>
        <v>0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83</v>
      </c>
      <c r="F4" s="1">
        <f>'Data Sheet'!F82</f>
        <v>67</v>
      </c>
      <c r="G4" s="1">
        <f>'Data Sheet'!G82</f>
        <v>698</v>
      </c>
      <c r="H4" s="1">
        <f>'Data Sheet'!H82</f>
        <v>1560</v>
      </c>
      <c r="I4" s="1">
        <f>'Data Sheet'!I82</f>
        <v>2305</v>
      </c>
      <c r="J4" s="1">
        <f>'Data Sheet'!J82</f>
        <v>3158</v>
      </c>
      <c r="K4" s="1">
        <f>'Data Sheet'!K82</f>
        <v>1627</v>
      </c>
    </row>
    <row r="5" spans="1:11" x14ac:dyDescent="0.3">
      <c r="A5" s="6" t="s">
        <v>33</v>
      </c>
      <c r="B5" s="9">
        <f>'Data Sheet'!B83</f>
        <v>0</v>
      </c>
      <c r="C5" s="9">
        <f>'Data Sheet'!C83</f>
        <v>0</v>
      </c>
      <c r="D5" s="9">
        <f>'Data Sheet'!D83</f>
        <v>0</v>
      </c>
      <c r="E5" s="9">
        <f>'Data Sheet'!E83</f>
        <v>-22</v>
      </c>
      <c r="F5" s="9">
        <f>'Data Sheet'!F83</f>
        <v>-250</v>
      </c>
      <c r="G5" s="9">
        <f>'Data Sheet'!G83</f>
        <v>-673</v>
      </c>
      <c r="H5" s="9">
        <f>'Data Sheet'!H83</f>
        <v>-2088</v>
      </c>
      <c r="I5" s="9">
        <f>'Data Sheet'!I83</f>
        <v>-3346</v>
      </c>
      <c r="J5" s="9">
        <f>'Data Sheet'!J83</f>
        <v>-6806</v>
      </c>
      <c r="K5" s="9">
        <f>'Data Sheet'!K83</f>
        <v>-3936</v>
      </c>
    </row>
    <row r="6" spans="1:11" x14ac:dyDescent="0.3">
      <c r="A6" s="6" t="s">
        <v>34</v>
      </c>
      <c r="B6" s="9">
        <f>'Data Sheet'!B84</f>
        <v>0</v>
      </c>
      <c r="C6" s="9">
        <f>'Data Sheet'!C84</f>
        <v>0</v>
      </c>
      <c r="D6" s="9">
        <f>'Data Sheet'!D84</f>
        <v>0</v>
      </c>
      <c r="E6" s="9">
        <f>'Data Sheet'!E84</f>
        <v>-50</v>
      </c>
      <c r="F6" s="9">
        <f>'Data Sheet'!F84</f>
        <v>161</v>
      </c>
      <c r="G6" s="9">
        <f>'Data Sheet'!G84</f>
        <v>101</v>
      </c>
      <c r="H6" s="9">
        <f>'Data Sheet'!H84</f>
        <v>642</v>
      </c>
      <c r="I6" s="9">
        <f>'Data Sheet'!I84</f>
        <v>909</v>
      </c>
      <c r="J6" s="9">
        <f>'Data Sheet'!J84</f>
        <v>4036</v>
      </c>
      <c r="K6" s="9">
        <f>'Data Sheet'!K84</f>
        <v>2573</v>
      </c>
    </row>
    <row r="7" spans="1:11" s="8" customFormat="1" x14ac:dyDescent="0.3">
      <c r="A7" s="8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12</v>
      </c>
      <c r="F7" s="1">
        <f>'Data Sheet'!F85</f>
        <v>-21</v>
      </c>
      <c r="G7" s="1">
        <f>'Data Sheet'!G85</f>
        <v>126</v>
      </c>
      <c r="H7" s="1">
        <f>'Data Sheet'!H85</f>
        <v>114</v>
      </c>
      <c r="I7" s="1">
        <f>'Data Sheet'!I85</f>
        <v>-132</v>
      </c>
      <c r="J7" s="1">
        <f>'Data Sheet'!J85</f>
        <v>388</v>
      </c>
      <c r="K7" s="1">
        <f>'Data Sheet'!K85</f>
        <v>264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Waaree Energies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0</v>
      </c>
      <c r="D4" s="38">
        <f>'Data Sheet'!C$16</f>
        <v>0</v>
      </c>
      <c r="E4" s="38">
        <f>'Data Sheet'!D$16</f>
        <v>0</v>
      </c>
      <c r="F4" s="38">
        <f>'Data Sheet'!E$16</f>
        <v>43891</v>
      </c>
      <c r="G4" s="38">
        <f>'Data Sheet'!F$16</f>
        <v>44256</v>
      </c>
      <c r="H4" s="38">
        <f>'Data Sheet'!G$16</f>
        <v>44621</v>
      </c>
      <c r="I4" s="38">
        <f>'Data Sheet'!H$16</f>
        <v>44986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 t="e">
        <f>'Data Sheet'!B17/'Data Sheet'!B$17</f>
        <v>#DIV/0!</v>
      </c>
      <c r="D6" s="114" t="e">
        <f>'Data Sheet'!C17/'Data Sheet'!C$17</f>
        <v>#DIV/0!</v>
      </c>
      <c r="E6" s="114" t="e">
        <f>'Data Sheet'!D17/'Data Sheet'!D$17</f>
        <v>#DIV/0!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 t="e">
        <f>'Data Sheet'!B18/'Data Sheet'!B$17</f>
        <v>#DIV/0!</v>
      </c>
      <c r="D7" s="36" t="e">
        <f>'Data Sheet'!C18/'Data Sheet'!C$17</f>
        <v>#DIV/0!</v>
      </c>
      <c r="E7" s="36" t="e">
        <f>'Data Sheet'!D18/'Data Sheet'!D$17</f>
        <v>#DIV/0!</v>
      </c>
      <c r="F7" s="36">
        <f>'Data Sheet'!E18/'Data Sheet'!E$17</f>
        <v>0.82000000000000006</v>
      </c>
      <c r="G7" s="36">
        <f>'Data Sheet'!F18/'Data Sheet'!F$17</f>
        <v>0.83</v>
      </c>
      <c r="H7" s="36">
        <f>'Data Sheet'!G18/'Data Sheet'!G$17</f>
        <v>0.80999999999999994</v>
      </c>
      <c r="I7" s="36">
        <f>'Data Sheet'!H18/'Data Sheet'!H$17</f>
        <v>0.76</v>
      </c>
      <c r="J7" s="36">
        <f>'Data Sheet'!I18/'Data Sheet'!I$17</f>
        <v>0.76999999999999991</v>
      </c>
      <c r="K7" s="36">
        <f>'Data Sheet'!J18/'Data Sheet'!J$17</f>
        <v>0.71</v>
      </c>
      <c r="L7" s="36">
        <f>'Data Sheet'!K18/'Data Sheet'!K$17</f>
        <v>0.62</v>
      </c>
    </row>
    <row r="8" spans="2:12" x14ac:dyDescent="0.3">
      <c r="B8" s="33" t="str">
        <f>'Data Sheet'!A19</f>
        <v>Change in Inventory</v>
      </c>
      <c r="C8" s="36" t="e">
        <f>'Data Sheet'!B19/'Data Sheet'!B$17</f>
        <v>#DIV/0!</v>
      </c>
      <c r="D8" s="36" t="e">
        <f>'Data Sheet'!C19/'Data Sheet'!C$17</f>
        <v>#DIV/0!</v>
      </c>
      <c r="E8" s="36" t="e">
        <f>'Data Sheet'!D19/'Data Sheet'!D$17</f>
        <v>#DIV/0!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 t="e">
        <f>'Data Sheet'!B20/'Data Sheet'!B$17</f>
        <v>#DIV/0!</v>
      </c>
      <c r="D9" s="36" t="e">
        <f>'Data Sheet'!C20/'Data Sheet'!C$17</f>
        <v>#DIV/0!</v>
      </c>
      <c r="E9" s="36" t="e">
        <f>'Data Sheet'!D20/'Data Sheet'!D$17</f>
        <v>#DIV/0!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 t="e">
        <f>'Data Sheet'!B21/'Data Sheet'!B$17</f>
        <v>#DIV/0!</v>
      </c>
      <c r="D10" s="36" t="e">
        <f>'Data Sheet'!C21/'Data Sheet'!C$17</f>
        <v>#DIV/0!</v>
      </c>
      <c r="E10" s="36" t="e">
        <f>'Data Sheet'!D21/'Data Sheet'!D$17</f>
        <v>#DIV/0!</v>
      </c>
      <c r="F10" s="36">
        <f>'Data Sheet'!E21/'Data Sheet'!E$17</f>
        <v>6.9999999999999993E-2</v>
      </c>
      <c r="G10" s="36">
        <f>'Data Sheet'!F21/'Data Sheet'!F$17</f>
        <v>0.08</v>
      </c>
      <c r="H10" s="36">
        <f>'Data Sheet'!G21/'Data Sheet'!G$17</f>
        <v>9.9999999999999992E-2</v>
      </c>
      <c r="I10" s="36">
        <f>'Data Sheet'!H21/'Data Sheet'!H$17</f>
        <v>6.9999999999999993E-2</v>
      </c>
      <c r="J10" s="36">
        <f>'Data Sheet'!I21/'Data Sheet'!I$17</f>
        <v>0.02</v>
      </c>
      <c r="K10" s="36">
        <f>'Data Sheet'!J21/'Data Sheet'!J$17</f>
        <v>0.02</v>
      </c>
      <c r="L10" s="36">
        <f>'Data Sheet'!K21/'Data Sheet'!K$17</f>
        <v>0.06</v>
      </c>
    </row>
    <row r="11" spans="2:12" x14ac:dyDescent="0.3">
      <c r="B11" s="33" t="str">
        <f>'Data Sheet'!A22</f>
        <v>Employee Cost</v>
      </c>
      <c r="C11" s="36" t="e">
        <f>'Data Sheet'!B22/'Data Sheet'!B$17</f>
        <v>#DIV/0!</v>
      </c>
      <c r="D11" s="36" t="e">
        <f>'Data Sheet'!C22/'Data Sheet'!C$17</f>
        <v>#DIV/0!</v>
      </c>
      <c r="E11" s="36" t="e">
        <f>'Data Sheet'!D22/'Data Sheet'!D$17</f>
        <v>#DIV/0!</v>
      </c>
      <c r="F11" s="36">
        <f>'Data Sheet'!E22/'Data Sheet'!E$17</f>
        <v>3.0000000000000002E-2</v>
      </c>
      <c r="G11" s="36">
        <f>'Data Sheet'!F22/'Data Sheet'!F$17</f>
        <v>3.0000000000000002E-2</v>
      </c>
      <c r="H11" s="36">
        <f>'Data Sheet'!G22/'Data Sheet'!G$17</f>
        <v>0.02</v>
      </c>
      <c r="I11" s="36">
        <f>'Data Sheet'!H22/'Data Sheet'!H$17</f>
        <v>0.02</v>
      </c>
      <c r="J11" s="36">
        <f>'Data Sheet'!I22/'Data Sheet'!I$17</f>
        <v>0.02</v>
      </c>
      <c r="K11" s="36">
        <f>'Data Sheet'!J22/'Data Sheet'!J$17</f>
        <v>0.02</v>
      </c>
      <c r="L11" s="36">
        <f>'Data Sheet'!K22/'Data Sheet'!K$17</f>
        <v>0.02</v>
      </c>
    </row>
    <row r="12" spans="2:12" x14ac:dyDescent="0.3">
      <c r="B12" s="33" t="str">
        <f>'Data Sheet'!A23</f>
        <v>Selling and admin</v>
      </c>
      <c r="C12" s="36" t="e">
        <f>'Data Sheet'!B23/'Data Sheet'!B$17</f>
        <v>#DIV/0!</v>
      </c>
      <c r="D12" s="36" t="e">
        <f>'Data Sheet'!C23/'Data Sheet'!C$17</f>
        <v>#DIV/0!</v>
      </c>
      <c r="E12" s="36" t="e">
        <f>'Data Sheet'!D23/'Data Sheet'!D$17</f>
        <v>#DIV/0!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 t="e">
        <f>'Data Sheet'!B24/'Data Sheet'!B$17</f>
        <v>#DIV/0!</v>
      </c>
      <c r="D13" s="36" t="e">
        <f>'Data Sheet'!C24/'Data Sheet'!C$17</f>
        <v>#DIV/0!</v>
      </c>
      <c r="E13" s="36" t="e">
        <f>'Data Sheet'!D24/'Data Sheet'!D$17</f>
        <v>#DIV/0!</v>
      </c>
      <c r="F13" s="36">
        <f>'Data Sheet'!E24/'Data Sheet'!E$17</f>
        <v>0.04</v>
      </c>
      <c r="G13" s="36">
        <f>'Data Sheet'!F24/'Data Sheet'!F$17</f>
        <v>3.0000000000000002E-2</v>
      </c>
      <c r="H13" s="36">
        <f>'Data Sheet'!G24/'Data Sheet'!G$17</f>
        <v>3.0000000000000002E-2</v>
      </c>
      <c r="I13" s="36">
        <f>'Data Sheet'!H24/'Data Sheet'!H$17</f>
        <v>0.03</v>
      </c>
      <c r="J13" s="36">
        <f>'Data Sheet'!I24/'Data Sheet'!I$17</f>
        <v>0.06</v>
      </c>
      <c r="K13" s="36">
        <f>'Data Sheet'!J24/'Data Sheet'!J$17</f>
        <v>0.06</v>
      </c>
      <c r="L13" s="36">
        <f>'Data Sheet'!K24/'Data Sheet'!K$17</f>
        <v>6.9999999999999993E-2</v>
      </c>
    </row>
    <row r="14" spans="2:12" x14ac:dyDescent="0.3">
      <c r="B14" s="33" t="str">
        <f>'Data Sheet'!A25</f>
        <v>Other Income</v>
      </c>
      <c r="C14" s="36" t="e">
        <f>'Data Sheet'!B25/'Data Sheet'!B$17</f>
        <v>#DIV/0!</v>
      </c>
      <c r="D14" s="36" t="e">
        <f>'Data Sheet'!C25/'Data Sheet'!C$17</f>
        <v>#DIV/0!</v>
      </c>
      <c r="E14" s="36" t="e">
        <f>'Data Sheet'!D25/'Data Sheet'!D$17</f>
        <v>#DIV/0!</v>
      </c>
      <c r="F14" s="36">
        <f>'Data Sheet'!E25/'Data Sheet'!E$17</f>
        <v>1.2525050100200401E-2</v>
      </c>
      <c r="G14" s="36">
        <f>'Data Sheet'!F25/'Data Sheet'!F$17</f>
        <v>2.3041474654377881E-2</v>
      </c>
      <c r="H14" s="36">
        <f>'Data Sheet'!G25/'Data Sheet'!G$17</f>
        <v>3.3987386124737208E-2</v>
      </c>
      <c r="I14" s="36">
        <f>'Data Sheet'!H25/'Data Sheet'!H$17</f>
        <v>1.3035105910235521E-2</v>
      </c>
      <c r="J14" s="36">
        <f>'Data Sheet'!I25/'Data Sheet'!I$17</f>
        <v>5.0535181610808916E-2</v>
      </c>
      <c r="K14" s="36">
        <f>'Data Sheet'!J25/'Data Sheet'!J$17</f>
        <v>2.7554693990584325E-2</v>
      </c>
      <c r="L14" s="36">
        <f>'Data Sheet'!K25/'Data Sheet'!K$17</f>
        <v>1.556317594302295E-2</v>
      </c>
    </row>
    <row r="15" spans="2:12" x14ac:dyDescent="0.3">
      <c r="B15" s="33" t="str">
        <f>'Data Sheet'!A26</f>
        <v>Depreciation</v>
      </c>
      <c r="C15" s="36" t="e">
        <f>'Data Sheet'!B26/'Data Sheet'!B$17</f>
        <v>#DIV/0!</v>
      </c>
      <c r="D15" s="36" t="e">
        <f>'Data Sheet'!C26/'Data Sheet'!C$17</f>
        <v>#DIV/0!</v>
      </c>
      <c r="E15" s="36" t="e">
        <f>'Data Sheet'!D26/'Data Sheet'!D$17</f>
        <v>#DIV/0!</v>
      </c>
      <c r="F15" s="36">
        <f>'Data Sheet'!E26/'Data Sheet'!E$17</f>
        <v>1.3527054108216433E-2</v>
      </c>
      <c r="G15" s="36">
        <f>'Data Sheet'!F26/'Data Sheet'!F$17</f>
        <v>1.4848950332821301E-2</v>
      </c>
      <c r="H15" s="36">
        <f>'Data Sheet'!G26/'Data Sheet'!G$17</f>
        <v>1.5066573230553609E-2</v>
      </c>
      <c r="I15" s="36">
        <f>'Data Sheet'!H26/'Data Sheet'!H$17</f>
        <v>2.4292697378166198E-2</v>
      </c>
      <c r="J15" s="36">
        <f>'Data Sheet'!I26/'Data Sheet'!I$17</f>
        <v>2.4302509212142481E-2</v>
      </c>
      <c r="K15" s="36">
        <f>'Data Sheet'!J26/'Data Sheet'!J$17</f>
        <v>2.7831625588479646E-2</v>
      </c>
      <c r="L15" s="36">
        <f>'Data Sheet'!K26/'Data Sheet'!K$17</f>
        <v>3.7306402381580436E-2</v>
      </c>
    </row>
    <row r="16" spans="2:12" x14ac:dyDescent="0.3">
      <c r="B16" s="33" t="str">
        <f>'Data Sheet'!A27</f>
        <v>Interest</v>
      </c>
      <c r="C16" s="36" t="e">
        <f>'Data Sheet'!B27/'Data Sheet'!B$17</f>
        <v>#DIV/0!</v>
      </c>
      <c r="D16" s="36" t="e">
        <f>'Data Sheet'!C27/'Data Sheet'!C$17</f>
        <v>#DIV/0!</v>
      </c>
      <c r="E16" s="36" t="e">
        <f>'Data Sheet'!D27/'Data Sheet'!D$17</f>
        <v>#DIV/0!</v>
      </c>
      <c r="F16" s="36">
        <f>'Data Sheet'!E27/'Data Sheet'!E$17</f>
        <v>1.7034068136272545E-2</v>
      </c>
      <c r="G16" s="36">
        <f>'Data Sheet'!F27/'Data Sheet'!F$17</f>
        <v>1.5873015873015872E-2</v>
      </c>
      <c r="H16" s="36">
        <f>'Data Sheet'!G27/'Data Sheet'!G$17</f>
        <v>1.4365802382620883E-2</v>
      </c>
      <c r="I16" s="36">
        <f>'Data Sheet'!H27/'Data Sheet'!H$17</f>
        <v>1.2146348689083099E-2</v>
      </c>
      <c r="J16" s="36">
        <f>'Data Sheet'!I27/'Data Sheet'!I$17</f>
        <v>1.2282856641516056E-2</v>
      </c>
      <c r="K16" s="36">
        <f>'Data Sheet'!J27/'Data Sheet'!J$17</f>
        <v>1.0523400720022155E-2</v>
      </c>
      <c r="L16" s="36">
        <f>'Data Sheet'!K27/'Data Sheet'!K$17</f>
        <v>1.0551305724083356E-2</v>
      </c>
    </row>
    <row r="17" spans="2:12" x14ac:dyDescent="0.3">
      <c r="B17" s="33" t="str">
        <f>'Data Sheet'!A28</f>
        <v>Profit before tax</v>
      </c>
      <c r="C17" s="36" t="e">
        <f>'Data Sheet'!B28/'Data Sheet'!B$17</f>
        <v>#DIV/0!</v>
      </c>
      <c r="D17" s="36" t="e">
        <f>'Data Sheet'!C28/'Data Sheet'!C$17</f>
        <v>#DIV/0!</v>
      </c>
      <c r="E17" s="36" t="e">
        <f>'Data Sheet'!D28/'Data Sheet'!D$17</f>
        <v>#DIV/0!</v>
      </c>
      <c r="F17" s="36">
        <f>'Data Sheet'!E28/'Data Sheet'!E$17</f>
        <v>2.8557114228456915E-2</v>
      </c>
      <c r="G17" s="36">
        <f>'Data Sheet'!F28/'Data Sheet'!F$17</f>
        <v>3.5842293906810034E-2</v>
      </c>
      <c r="H17" s="36">
        <f>'Data Sheet'!G28/'Data Sheet'!G$17</f>
        <v>4.1345480028030832E-2</v>
      </c>
      <c r="I17" s="36">
        <f>'Data Sheet'!H28/'Data Sheet'!H$17</f>
        <v>0.10028143978669826</v>
      </c>
      <c r="J17" s="36">
        <f>'Data Sheet'!I28/'Data Sheet'!I$17</f>
        <v>0.15213195297420601</v>
      </c>
      <c r="K17" s="36">
        <f>'Data Sheet'!J28/'Data Sheet'!J$17</f>
        <v>0.17758238715037386</v>
      </c>
      <c r="L17" s="36">
        <f>'Data Sheet'!K28/'Data Sheet'!K$17</f>
        <v>0.19037570185024683</v>
      </c>
    </row>
    <row r="18" spans="2:12" x14ac:dyDescent="0.3">
      <c r="B18" s="33" t="str">
        <f>'Data Sheet'!A29</f>
        <v>Tax</v>
      </c>
      <c r="C18" s="36" t="e">
        <f>'Data Sheet'!B29/'Data Sheet'!B$17</f>
        <v>#DIV/0!</v>
      </c>
      <c r="D18" s="36" t="e">
        <f>'Data Sheet'!C29/'Data Sheet'!C$17</f>
        <v>#DIV/0!</v>
      </c>
      <c r="E18" s="36" t="e">
        <f>'Data Sheet'!D29/'Data Sheet'!D$17</f>
        <v>#DIV/0!</v>
      </c>
      <c r="F18" s="36">
        <f>'Data Sheet'!E29/'Data Sheet'!E$17</f>
        <v>2.8557114228456915E-2</v>
      </c>
      <c r="G18" s="36">
        <f>'Data Sheet'!F29/'Data Sheet'!F$17</f>
        <v>3.5842293906810034E-2</v>
      </c>
      <c r="H18" s="36">
        <f>'Data Sheet'!G29/'Data Sheet'!G$17</f>
        <v>4.1345480028030832E-2</v>
      </c>
      <c r="I18" s="36">
        <f>'Data Sheet'!H29/'Data Sheet'!H$17</f>
        <v>0.10028143978669826</v>
      </c>
      <c r="J18" s="36">
        <f>'Data Sheet'!I29/'Data Sheet'!I$17</f>
        <v>0.15213195297420601</v>
      </c>
      <c r="K18" s="36">
        <f>'Data Sheet'!J29/'Data Sheet'!J$17</f>
        <v>0.17758238715037386</v>
      </c>
      <c r="L18" s="36">
        <f>'Data Sheet'!K29/'Data Sheet'!K$17</f>
        <v>0.19037570185024683</v>
      </c>
    </row>
    <row r="19" spans="2:12" x14ac:dyDescent="0.3">
      <c r="B19" s="33" t="str">
        <f>'Data Sheet'!A30</f>
        <v>Net profit</v>
      </c>
      <c r="C19" s="36" t="e">
        <f>'Data Sheet'!B30/'Data Sheet'!B$17</f>
        <v>#DIV/0!</v>
      </c>
      <c r="D19" s="36" t="e">
        <f>'Data Sheet'!C30/'Data Sheet'!C$17</f>
        <v>#DIV/0!</v>
      </c>
      <c r="E19" s="36" t="e">
        <f>'Data Sheet'!D30/'Data Sheet'!D$17</f>
        <v>#DIV/0!</v>
      </c>
      <c r="F19" s="36">
        <f>'Data Sheet'!E30/'Data Sheet'!E$17</f>
        <v>1.9539078156312624E-2</v>
      </c>
      <c r="G19" s="36">
        <f>'Data Sheet'!F30/'Data Sheet'!F$17</f>
        <v>2.4577572964669739E-2</v>
      </c>
      <c r="H19" s="36">
        <f>'Data Sheet'!G30/'Data Sheet'!G$17</f>
        <v>2.8030833917309039E-2</v>
      </c>
      <c r="I19" s="36">
        <f>'Data Sheet'!H30/'Data Sheet'!H$17</f>
        <v>7.4063101762701825E-2</v>
      </c>
      <c r="J19" s="36">
        <f>'Data Sheet'!I30/'Data Sheet'!I$17</f>
        <v>0.11177399543779611</v>
      </c>
      <c r="K19" s="36">
        <f>'Data Sheet'!J30/'Data Sheet'!J$17</f>
        <v>0.13348103018554416</v>
      </c>
      <c r="L19" s="36">
        <f>'Data Sheet'!K30/'Data Sheet'!K$17</f>
        <v>0.14636168368692767</v>
      </c>
    </row>
    <row r="20" spans="2:12" x14ac:dyDescent="0.3">
      <c r="B20" s="33" t="str">
        <f>'Data Sheet'!A31</f>
        <v>Dividend Amount</v>
      </c>
      <c r="C20" s="36" t="e">
        <f>'Data Sheet'!B31/'Data Sheet'!B$17</f>
        <v>#DIV/0!</v>
      </c>
      <c r="D20" s="36" t="e">
        <f>'Data Sheet'!C31/'Data Sheet'!C$17</f>
        <v>#DIV/0!</v>
      </c>
      <c r="E20" s="36" t="e">
        <f>'Data Sheet'!D31/'Data Sheet'!D$17</f>
        <v>#DIV/0!</v>
      </c>
      <c r="F20" s="36">
        <f>'Data Sheet'!E31/'Data Sheet'!E$17</f>
        <v>0</v>
      </c>
      <c r="G20" s="36">
        <f>'Data Sheet'!F31/'Data Sheet'!F$17</f>
        <v>0</v>
      </c>
      <c r="H20" s="36">
        <f>'Data Sheet'!G31/'Data Sheet'!G$17</f>
        <v>0</v>
      </c>
      <c r="I20" s="36">
        <f>'Data Sheet'!H31/'Data Sheet'!H$17</f>
        <v>0</v>
      </c>
      <c r="J20" s="36">
        <f>'Data Sheet'!I31/'Data Sheet'!I$17</f>
        <v>0</v>
      </c>
      <c r="K20" s="36">
        <f>'Data Sheet'!J31/'Data Sheet'!J$17</f>
        <v>0</v>
      </c>
      <c r="L20" s="36">
        <f>'Data Sheet'!K31/'Data Sheet'!K$17</f>
        <v>4.3908505106078303E-3</v>
      </c>
    </row>
    <row r="21" spans="2:12" x14ac:dyDescent="0.3">
      <c r="B21" s="33" t="str">
        <f>'Data Sheet'!A32</f>
        <v>EBITDA</v>
      </c>
      <c r="C21" s="36" t="e">
        <f>'Data Sheet'!B32/'Data Sheet'!B$17</f>
        <v>#DIV/0!</v>
      </c>
      <c r="D21" s="36" t="e">
        <f>'Data Sheet'!C32/'Data Sheet'!C$17</f>
        <v>#DIV/0!</v>
      </c>
      <c r="E21" s="36" t="e">
        <f>'Data Sheet'!D32/'Data Sheet'!D$17</f>
        <v>#DIV/0!</v>
      </c>
      <c r="F21" s="36">
        <f>'Data Sheet'!E32/'Data Sheet'!E$17</f>
        <v>0</v>
      </c>
      <c r="G21" s="36">
        <f>'Data Sheet'!F32/'Data Sheet'!F$17</f>
        <v>0</v>
      </c>
      <c r="H21" s="36">
        <f>'Data Sheet'!G32/'Data Sheet'!G$17</f>
        <v>0</v>
      </c>
      <c r="I21" s="36">
        <f>'Data Sheet'!H32/'Data Sheet'!H$17</f>
        <v>0</v>
      </c>
      <c r="J21" s="36">
        <f>'Data Sheet'!I32/'Data Sheet'!I$17</f>
        <v>0</v>
      </c>
      <c r="K21" s="36">
        <f>'Data Sheet'!J32/'Data Sheet'!J$17</f>
        <v>0</v>
      </c>
      <c r="L21" s="36">
        <f>'Data Sheet'!K32/'Data Sheet'!K$17</f>
        <v>0</v>
      </c>
    </row>
    <row r="23" spans="2:12" x14ac:dyDescent="0.3">
      <c r="B23" s="161" t="str">
        <f>"Common Size Balance Sheet - "&amp;'Data Sheet'!$B$1</f>
        <v>Common Size Balance Sheet - Waaree Energies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0</v>
      </c>
      <c r="D25" s="38">
        <f>'Data Sheet'!C$16</f>
        <v>0</v>
      </c>
      <c r="E25" s="38">
        <f>'Data Sheet'!D$16</f>
        <v>0</v>
      </c>
      <c r="F25" s="38">
        <f>'Data Sheet'!E$16</f>
        <v>43891</v>
      </c>
      <c r="G25" s="38">
        <f>'Data Sheet'!F$16</f>
        <v>44256</v>
      </c>
      <c r="H25" s="38">
        <f>'Data Sheet'!G$16</f>
        <v>44621</v>
      </c>
      <c r="I25" s="38">
        <f>'Data Sheet'!H$16</f>
        <v>44986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 t="e">
        <f>'Data Sheet'!B61/'Data Sheet'!B$61</f>
        <v>#DIV/0!</v>
      </c>
      <c r="D27" s="114" t="e">
        <f>'Data Sheet'!C61/'Data Sheet'!C$61</f>
        <v>#DIV/0!</v>
      </c>
      <c r="E27" s="114" t="e">
        <f>'Data Sheet'!D61/'Data Sheet'!D$61</f>
        <v>#DIV/0!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 t="e">
        <f>'Data Sheet'!B57/'Data Sheet'!B$61</f>
        <v>#DIV/0!</v>
      </c>
      <c r="D28" s="36" t="e">
        <f>'Data Sheet'!C57/'Data Sheet'!C$61</f>
        <v>#DIV/0!</v>
      </c>
      <c r="E28" s="36" t="e">
        <f>'Data Sheet'!D57/'Data Sheet'!D$61</f>
        <v>#DIV/0!</v>
      </c>
      <c r="F28" s="36">
        <f>'Data Sheet'!E57/'Data Sheet'!E$61</f>
        <v>0.21002132196162046</v>
      </c>
      <c r="G28" s="36">
        <f>'Data Sheet'!F57/'Data Sheet'!F$61</f>
        <v>0.15378610460577674</v>
      </c>
      <c r="H28" s="36">
        <f>'Data Sheet'!G57/'Data Sheet'!G$61</f>
        <v>9.1457753017641599E-2</v>
      </c>
      <c r="I28" s="36">
        <f>'Data Sheet'!H57/'Data Sheet'!H$61</f>
        <v>3.2811234134485549E-2</v>
      </c>
      <c r="J28" s="36">
        <f>'Data Sheet'!I57/'Data Sheet'!I$61</f>
        <v>2.3321805444710474E-2</v>
      </c>
      <c r="K28" s="36">
        <f>'Data Sheet'!J57/'Data Sheet'!J$61</f>
        <v>1.4760337379140094E-2</v>
      </c>
      <c r="L28" s="36">
        <f>'Data Sheet'!K57/'Data Sheet'!K$61</f>
        <v>9.6048024012005996E-3</v>
      </c>
    </row>
    <row r="29" spans="2:12" x14ac:dyDescent="0.3">
      <c r="B29" s="33" t="str">
        <f>'Data Sheet'!A58</f>
        <v>Reserves</v>
      </c>
      <c r="C29" s="36" t="e">
        <f>'Data Sheet'!B58/'Data Sheet'!B$61</f>
        <v>#DIV/0!</v>
      </c>
      <c r="D29" s="36" t="e">
        <f>'Data Sheet'!C58/'Data Sheet'!C$61</f>
        <v>#DIV/0!</v>
      </c>
      <c r="E29" s="36" t="e">
        <f>'Data Sheet'!D58/'Data Sheet'!D$61</f>
        <v>#DIV/0!</v>
      </c>
      <c r="F29" s="36">
        <f>'Data Sheet'!E58/'Data Sheet'!E$61</f>
        <v>0.10767590618336886</v>
      </c>
      <c r="G29" s="36">
        <f>'Data Sheet'!F58/'Data Sheet'!F$61</f>
        <v>0.11553473848555816</v>
      </c>
      <c r="H29" s="36">
        <f>'Data Sheet'!G58/'Data Sheet'!G$61</f>
        <v>0.10724233983286909</v>
      </c>
      <c r="I29" s="36">
        <f>'Data Sheet'!H58/'Data Sheet'!H$61</f>
        <v>0.21536591952470968</v>
      </c>
      <c r="J29" s="36">
        <f>'Data Sheet'!I58/'Data Sheet'!I$61</f>
        <v>0.33918595371109339</v>
      </c>
      <c r="K29" s="36">
        <f>'Data Sheet'!J58/'Data Sheet'!J$61</f>
        <v>0.4727422341082082</v>
      </c>
      <c r="L29" s="36">
        <f>'Data Sheet'!K58/'Data Sheet'!K$61</f>
        <v>0.47190261797565447</v>
      </c>
    </row>
    <row r="30" spans="2:12" x14ac:dyDescent="0.3">
      <c r="B30" s="33" t="str">
        <f>'Data Sheet'!A59</f>
        <v>Borrowings</v>
      </c>
      <c r="C30" s="36" t="e">
        <f>'Data Sheet'!B59/'Data Sheet'!B$61</f>
        <v>#DIV/0!</v>
      </c>
      <c r="D30" s="36" t="e">
        <f>'Data Sheet'!C59/'Data Sheet'!C$61</f>
        <v>#DIV/0!</v>
      </c>
      <c r="E30" s="36" t="e">
        <f>'Data Sheet'!D59/'Data Sheet'!D$61</f>
        <v>#DIV/0!</v>
      </c>
      <c r="F30" s="36">
        <f>'Data Sheet'!E59/'Data Sheet'!E$61</f>
        <v>0.1673773987206823</v>
      </c>
      <c r="G30" s="36">
        <f>'Data Sheet'!F59/'Data Sheet'!F$61</f>
        <v>0.26541764246682281</v>
      </c>
      <c r="H30" s="36">
        <f>'Data Sheet'!G59/'Data Sheet'!G$61</f>
        <v>0.16852367688022285</v>
      </c>
      <c r="I30" s="36">
        <f>'Data Sheet'!H59/'Data Sheet'!H$61</f>
        <v>4.3208209559816364E-2</v>
      </c>
      <c r="J30" s="36">
        <f>'Data Sheet'!I59/'Data Sheet'!I$61</f>
        <v>4.9037864680322778E-2</v>
      </c>
      <c r="K30" s="36">
        <f>'Data Sheet'!J59/'Data Sheet'!J$61</f>
        <v>6.1664266611808273E-2</v>
      </c>
      <c r="L30" s="36">
        <f>'Data Sheet'!K59/'Data Sheet'!K$61</f>
        <v>0.1071535767883942</v>
      </c>
    </row>
    <row r="31" spans="2:12" x14ac:dyDescent="0.3">
      <c r="B31" s="33" t="str">
        <f>'Data Sheet'!A60</f>
        <v>Other Liabilities</v>
      </c>
      <c r="C31" s="36" t="e">
        <f>'Data Sheet'!B60/'Data Sheet'!B$61</f>
        <v>#DIV/0!</v>
      </c>
      <c r="D31" s="36" t="e">
        <f>'Data Sheet'!C60/'Data Sheet'!C$61</f>
        <v>#DIV/0!</v>
      </c>
      <c r="E31" s="36" t="e">
        <f>'Data Sheet'!D60/'Data Sheet'!D$61</f>
        <v>#DIV/0!</v>
      </c>
      <c r="F31" s="36">
        <f>'Data Sheet'!E60/'Data Sheet'!E$61</f>
        <v>0.5149253731343284</v>
      </c>
      <c r="G31" s="36">
        <f>'Data Sheet'!F60/'Data Sheet'!F$61</f>
        <v>0.46526151444184233</v>
      </c>
      <c r="H31" s="36">
        <f>'Data Sheet'!G60/'Data Sheet'!G$61</f>
        <v>0.63231197771587744</v>
      </c>
      <c r="I31" s="36">
        <f>'Data Sheet'!H60/'Data Sheet'!H$61</f>
        <v>0.70847961112611391</v>
      </c>
      <c r="J31" s="36">
        <f>'Data Sheet'!I60/'Data Sheet'!I$61</f>
        <v>0.58836570009754363</v>
      </c>
      <c r="K31" s="36">
        <f>'Data Sheet'!J60/'Data Sheet'!J$61</f>
        <v>0.45083316190084344</v>
      </c>
      <c r="L31" s="36">
        <f>'Data Sheet'!K60/'Data Sheet'!K$61</f>
        <v>0.41137235284308821</v>
      </c>
    </row>
    <row r="33" spans="2:12" x14ac:dyDescent="0.3">
      <c r="B33" s="113" t="s">
        <v>96</v>
      </c>
      <c r="C33" s="114" t="e">
        <f>'Data Sheet'!B66/'Data Sheet'!B$66</f>
        <v>#DIV/0!</v>
      </c>
      <c r="D33" s="114" t="e">
        <f>'Data Sheet'!C66/'Data Sheet'!C$66</f>
        <v>#DIV/0!</v>
      </c>
      <c r="E33" s="114" t="e">
        <f>'Data Sheet'!D66/'Data Sheet'!D$66</f>
        <v>#DIV/0!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 t="e">
        <f>'Data Sheet'!B62/'Data Sheet'!B$66</f>
        <v>#DIV/0!</v>
      </c>
      <c r="D34" s="36" t="e">
        <f>'Data Sheet'!C62/'Data Sheet'!C$66</f>
        <v>#DIV/0!</v>
      </c>
      <c r="E34" s="36" t="e">
        <f>'Data Sheet'!D62/'Data Sheet'!D$66</f>
        <v>#DIV/0!</v>
      </c>
      <c r="F34" s="36">
        <f>'Data Sheet'!E62/'Data Sheet'!E$66</f>
        <v>0.16204690831556504</v>
      </c>
      <c r="G34" s="36">
        <f>'Data Sheet'!F62/'Data Sheet'!F$66</f>
        <v>0.22248243559718969</v>
      </c>
      <c r="H34" s="36">
        <f>'Data Sheet'!G62/'Data Sheet'!G$66</f>
        <v>0.2901578458681523</v>
      </c>
      <c r="I34" s="36">
        <f>'Data Sheet'!H62/'Data Sheet'!H$66</f>
        <v>0.14920334863624088</v>
      </c>
      <c r="J34" s="36">
        <f>'Data Sheet'!I62/'Data Sheet'!I$66</f>
        <v>0.12858029617806155</v>
      </c>
      <c r="K34" s="36">
        <f>'Data Sheet'!J62/'Data Sheet'!J$66</f>
        <v>0.20705616128368648</v>
      </c>
      <c r="L34" s="36">
        <f>'Data Sheet'!K62/'Data Sheet'!K$66</f>
        <v>0.24438886109721528</v>
      </c>
    </row>
    <row r="35" spans="2:12" x14ac:dyDescent="0.3">
      <c r="B35" s="33" t="str">
        <f>'Data Sheet'!A63</f>
        <v>Capital Work in Progress</v>
      </c>
      <c r="C35" s="36" t="e">
        <f>'Data Sheet'!B63/'Data Sheet'!B$66</f>
        <v>#DIV/0!</v>
      </c>
      <c r="D35" s="36" t="e">
        <f>'Data Sheet'!C63/'Data Sheet'!C$66</f>
        <v>#DIV/0!</v>
      </c>
      <c r="E35" s="36" t="e">
        <f>'Data Sheet'!D63/'Data Sheet'!D$66</f>
        <v>#DIV/0!</v>
      </c>
      <c r="F35" s="36">
        <f>'Data Sheet'!E63/'Data Sheet'!E$66</f>
        <v>4.2643923240938165E-2</v>
      </c>
      <c r="G35" s="36">
        <f>'Data Sheet'!F63/'Data Sheet'!F$66</f>
        <v>2.34192037470726E-3</v>
      </c>
      <c r="H35" s="36">
        <f>'Data Sheet'!G63/'Data Sheet'!G$66</f>
        <v>5.7567316620241414E-2</v>
      </c>
      <c r="I35" s="36">
        <f>'Data Sheet'!H63/'Data Sheet'!H$66</f>
        <v>7.2508776667566832E-2</v>
      </c>
      <c r="J35" s="36">
        <f>'Data Sheet'!I63/'Data Sheet'!I$66</f>
        <v>0.1189146049481245</v>
      </c>
      <c r="K35" s="36">
        <f>'Data Sheet'!J63/'Data Sheet'!J$66</f>
        <v>9.6893643283275044E-2</v>
      </c>
      <c r="L35" s="36">
        <f>'Data Sheet'!K63/'Data Sheet'!K$66</f>
        <v>0.11595797898949475</v>
      </c>
    </row>
    <row r="36" spans="2:12" x14ac:dyDescent="0.3">
      <c r="B36" s="33" t="str">
        <f>'Data Sheet'!A64</f>
        <v>Investments</v>
      </c>
      <c r="C36" s="36" t="e">
        <f>'Data Sheet'!B64/'Data Sheet'!B$66</f>
        <v>#DIV/0!</v>
      </c>
      <c r="D36" s="36" t="e">
        <f>'Data Sheet'!C64/'Data Sheet'!C$66</f>
        <v>#DIV/0!</v>
      </c>
      <c r="E36" s="36" t="e">
        <f>'Data Sheet'!D64/'Data Sheet'!D$66</f>
        <v>#DIV/0!</v>
      </c>
      <c r="F36" s="36">
        <f>'Data Sheet'!E64/'Data Sheet'!E$66</f>
        <v>9.0618336886993597E-2</v>
      </c>
      <c r="G36" s="36">
        <f>'Data Sheet'!F64/'Data Sheet'!F$66</f>
        <v>8.9773614363778301E-2</v>
      </c>
      <c r="H36" s="36">
        <f>'Data Sheet'!G64/'Data Sheet'!G$66</f>
        <v>6.6388115134633247E-2</v>
      </c>
      <c r="I36" s="36">
        <f>'Data Sheet'!H64/'Data Sheet'!H$66</f>
        <v>4.1857953011072103E-3</v>
      </c>
      <c r="J36" s="36">
        <f>'Data Sheet'!I64/'Data Sheet'!I$66</f>
        <v>6.2960007094085306E-3</v>
      </c>
      <c r="K36" s="36">
        <f>'Data Sheet'!J64/'Data Sheet'!J$66</f>
        <v>3.3429335527669205E-3</v>
      </c>
      <c r="L36" s="36">
        <f>'Data Sheet'!K64/'Data Sheet'!K$66</f>
        <v>3.1782557945639486E-2</v>
      </c>
    </row>
    <row r="37" spans="2:12" x14ac:dyDescent="0.3">
      <c r="B37" s="33" t="str">
        <f>'Data Sheet'!A65</f>
        <v>Other Assets</v>
      </c>
      <c r="C37" s="36" t="e">
        <f>'Data Sheet'!B74/'Data Sheet'!B66</f>
        <v>#DIV/0!</v>
      </c>
      <c r="D37" s="36" t="e">
        <f>'Data Sheet'!C74/'Data Sheet'!C66</f>
        <v>#DIV/0!</v>
      </c>
      <c r="E37" s="36" t="e">
        <f>'Data Sheet'!D74/'Data Sheet'!D66</f>
        <v>#DIV/0!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 t="e">
        <f>'Data Sheet'!B67/'Data Sheet'!B$66</f>
        <v>#DIV/0!</v>
      </c>
      <c r="D38" s="36" t="e">
        <f>'Data Sheet'!C67/'Data Sheet'!C$66</f>
        <v>#DIV/0!</v>
      </c>
      <c r="E38" s="36" t="e">
        <f>'Data Sheet'!D67/'Data Sheet'!D$66</f>
        <v>#DIV/0!</v>
      </c>
      <c r="F38" s="36">
        <f>'Data Sheet'!E67/'Data Sheet'!E$66</f>
        <v>0.14925373134328357</v>
      </c>
      <c r="G38" s="36">
        <f>'Data Sheet'!F67/'Data Sheet'!F$66</f>
        <v>9.1334894613583142E-2</v>
      </c>
      <c r="H38" s="36">
        <f>'Data Sheet'!G67/'Data Sheet'!G$66</f>
        <v>4.3175487465181059E-2</v>
      </c>
      <c r="I38" s="36">
        <f>'Data Sheet'!H67/'Data Sheet'!H$66</f>
        <v>4.2263029975695379E-2</v>
      </c>
      <c r="J38" s="36">
        <f>'Data Sheet'!I67/'Data Sheet'!I$66</f>
        <v>8.6104460406136382E-2</v>
      </c>
      <c r="K38" s="36">
        <f>'Data Sheet'!J67/'Data Sheet'!J$66</f>
        <v>5.4155523554824107E-2</v>
      </c>
      <c r="L38" s="36">
        <f>'Data Sheet'!K67/'Data Sheet'!K$66</f>
        <v>8.3108220777055195E-2</v>
      </c>
    </row>
    <row r="39" spans="2:12" x14ac:dyDescent="0.3">
      <c r="B39" s="33" t="str">
        <f>'Data Sheet'!A68</f>
        <v>Inventory</v>
      </c>
      <c r="C39" s="36" t="e">
        <f>'Data Sheet'!B68/'Data Sheet'!B$66</f>
        <v>#DIV/0!</v>
      </c>
      <c r="D39" s="36" t="e">
        <f>'Data Sheet'!C68/'Data Sheet'!C$66</f>
        <v>#DIV/0!</v>
      </c>
      <c r="E39" s="36" t="e">
        <f>'Data Sheet'!D68/'Data Sheet'!D$66</f>
        <v>#DIV/0!</v>
      </c>
      <c r="F39" s="36">
        <f>'Data Sheet'!E68/'Data Sheet'!E$66</f>
        <v>0.25906183368869934</v>
      </c>
      <c r="G39" s="36">
        <f>'Data Sheet'!F68/'Data Sheet'!F$66</f>
        <v>0.28727556596409054</v>
      </c>
      <c r="H39" s="36">
        <f>'Data Sheet'!G68/'Data Sheet'!G$66</f>
        <v>0.24976787372330547</v>
      </c>
      <c r="I39" s="36">
        <f>'Data Sheet'!H68/'Data Sheet'!H$66</f>
        <v>0.36578449905482041</v>
      </c>
      <c r="J39" s="36">
        <f>'Data Sheet'!I68/'Data Sheet'!I$66</f>
        <v>0.22931630752859802</v>
      </c>
      <c r="K39" s="36">
        <f>'Data Sheet'!J68/'Data Sheet'!J$66</f>
        <v>0.13844887883151616</v>
      </c>
      <c r="L39" s="36">
        <f>'Data Sheet'!K68/'Data Sheet'!K$66</f>
        <v>0.1952976488244122</v>
      </c>
    </row>
    <row r="40" spans="2:12" x14ac:dyDescent="0.3">
      <c r="B40" s="33" t="str">
        <f>'Data Sheet'!A69</f>
        <v>Cash &amp; Bank</v>
      </c>
      <c r="C40" s="36" t="e">
        <f>'Data Sheet'!B69/'Data Sheet'!B$66</f>
        <v>#DIV/0!</v>
      </c>
      <c r="D40" s="36" t="e">
        <f>'Data Sheet'!C69/'Data Sheet'!C$66</f>
        <v>#DIV/0!</v>
      </c>
      <c r="E40" s="36" t="e">
        <f>'Data Sheet'!D69/'Data Sheet'!D$66</f>
        <v>#DIV/0!</v>
      </c>
      <c r="F40" s="36">
        <f>'Data Sheet'!E69/'Data Sheet'!E$66</f>
        <v>8.4221748400852878E-2</v>
      </c>
      <c r="G40" s="36">
        <f>'Data Sheet'!F69/'Data Sheet'!F$66</f>
        <v>8.5870413739266196E-2</v>
      </c>
      <c r="H40" s="36">
        <f>'Data Sheet'!G69/'Data Sheet'!G$66</f>
        <v>0.16991643454038996</v>
      </c>
      <c r="I40" s="36">
        <f>'Data Sheet'!H69/'Data Sheet'!H$66</f>
        <v>0.23440453686200377</v>
      </c>
      <c r="J40" s="36">
        <f>'Data Sheet'!I69/'Data Sheet'!I$66</f>
        <v>0.33510685465992729</v>
      </c>
      <c r="K40" s="36">
        <f>'Data Sheet'!J69/'Data Sheet'!J$66</f>
        <v>0.39847767948981688</v>
      </c>
      <c r="L40" s="36">
        <f>'Data Sheet'!K69/'Data Sheet'!K$66</f>
        <v>0.22437885609471403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8611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28.760748407643312</v>
      </c>
    </row>
    <row r="7" spans="1:11" x14ac:dyDescent="0.3">
      <c r="A7" s="5" t="s">
        <v>31</v>
      </c>
      <c r="B7">
        <v>10</v>
      </c>
    </row>
    <row r="8" spans="1:11" x14ac:dyDescent="0.3">
      <c r="A8" s="5" t="s">
        <v>43</v>
      </c>
      <c r="B8">
        <v>2512</v>
      </c>
    </row>
    <row r="9" spans="1:11" x14ac:dyDescent="0.3">
      <c r="A9" s="5" t="s">
        <v>79</v>
      </c>
      <c r="B9">
        <v>72247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0</v>
      </c>
      <c r="C16" s="16">
        <v>0</v>
      </c>
      <c r="D16" s="16">
        <v>0</v>
      </c>
      <c r="E16" s="16">
        <v>43891</v>
      </c>
      <c r="F16" s="16">
        <v>44256</v>
      </c>
      <c r="G16" s="16">
        <v>44621</v>
      </c>
      <c r="H16" s="16">
        <v>44986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0</v>
      </c>
      <c r="C17">
        <v>0</v>
      </c>
      <c r="D17">
        <v>0</v>
      </c>
      <c r="E17">
        <v>1996</v>
      </c>
      <c r="F17">
        <v>1953</v>
      </c>
      <c r="G17">
        <v>2854</v>
      </c>
      <c r="H17">
        <v>6751</v>
      </c>
      <c r="I17">
        <v>11398</v>
      </c>
      <c r="J17">
        <v>14444</v>
      </c>
      <c r="K17">
        <v>26537</v>
      </c>
    </row>
    <row r="18" spans="1:11" s="9" customFormat="1" x14ac:dyDescent="0.3">
      <c r="A18" s="5" t="s">
        <v>80</v>
      </c>
      <c r="B18">
        <v>0</v>
      </c>
      <c r="C18">
        <v>0</v>
      </c>
      <c r="D18">
        <v>0</v>
      </c>
      <c r="E18">
        <v>1636.72</v>
      </c>
      <c r="F18">
        <v>1620.99</v>
      </c>
      <c r="G18">
        <v>2311.7399999999998</v>
      </c>
      <c r="H18">
        <v>5130.76</v>
      </c>
      <c r="I18">
        <v>8776.4599999999991</v>
      </c>
      <c r="J18">
        <v>10255.24</v>
      </c>
      <c r="K18">
        <v>16452.939999999999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0</v>
      </c>
      <c r="C21">
        <v>0</v>
      </c>
      <c r="D21">
        <v>0</v>
      </c>
      <c r="E21">
        <v>139.72</v>
      </c>
      <c r="F21">
        <v>156.24</v>
      </c>
      <c r="G21">
        <v>285.39999999999998</v>
      </c>
      <c r="H21">
        <v>472.57</v>
      </c>
      <c r="I21">
        <v>227.96</v>
      </c>
      <c r="J21">
        <v>288.88</v>
      </c>
      <c r="K21">
        <v>1592.22</v>
      </c>
    </row>
    <row r="22" spans="1:11" s="9" customFormat="1" x14ac:dyDescent="0.3">
      <c r="A22" s="5" t="s">
        <v>84</v>
      </c>
      <c r="B22">
        <v>0</v>
      </c>
      <c r="C22">
        <v>0</v>
      </c>
      <c r="D22">
        <v>0</v>
      </c>
      <c r="E22">
        <v>59.88</v>
      </c>
      <c r="F22">
        <v>58.59</v>
      </c>
      <c r="G22">
        <v>57.08</v>
      </c>
      <c r="H22">
        <v>135.02000000000001</v>
      </c>
      <c r="I22">
        <v>227.96</v>
      </c>
      <c r="J22">
        <v>288.88</v>
      </c>
      <c r="K22">
        <v>530.74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0</v>
      </c>
      <c r="C24">
        <v>0</v>
      </c>
      <c r="D24">
        <v>0</v>
      </c>
      <c r="E24">
        <v>79.84</v>
      </c>
      <c r="F24">
        <v>58.59</v>
      </c>
      <c r="G24">
        <v>85.62</v>
      </c>
      <c r="H24">
        <v>202.53</v>
      </c>
      <c r="I24">
        <v>683.88</v>
      </c>
      <c r="J24">
        <v>866.64</v>
      </c>
      <c r="K24">
        <v>1857.59</v>
      </c>
    </row>
    <row r="25" spans="1:11" s="9" customFormat="1" x14ac:dyDescent="0.3">
      <c r="A25" s="9" t="s">
        <v>9</v>
      </c>
      <c r="B25">
        <v>0</v>
      </c>
      <c r="C25">
        <v>0</v>
      </c>
      <c r="D25">
        <v>0</v>
      </c>
      <c r="E25">
        <v>25</v>
      </c>
      <c r="F25">
        <v>45</v>
      </c>
      <c r="G25">
        <v>97</v>
      </c>
      <c r="H25">
        <v>88</v>
      </c>
      <c r="I25">
        <v>576</v>
      </c>
      <c r="J25">
        <v>398</v>
      </c>
      <c r="K25">
        <v>413</v>
      </c>
    </row>
    <row r="26" spans="1:11" s="9" customFormat="1" x14ac:dyDescent="0.3">
      <c r="A26" s="9" t="s">
        <v>10</v>
      </c>
      <c r="B26">
        <v>0</v>
      </c>
      <c r="C26">
        <v>0</v>
      </c>
      <c r="D26">
        <v>0</v>
      </c>
      <c r="E26">
        <v>27</v>
      </c>
      <c r="F26">
        <v>29</v>
      </c>
      <c r="G26">
        <v>43</v>
      </c>
      <c r="H26">
        <v>164</v>
      </c>
      <c r="I26">
        <v>277</v>
      </c>
      <c r="J26">
        <v>402</v>
      </c>
      <c r="K26">
        <v>990</v>
      </c>
    </row>
    <row r="27" spans="1:11" s="9" customFormat="1" x14ac:dyDescent="0.3">
      <c r="A27" s="9" t="s">
        <v>11</v>
      </c>
      <c r="B27">
        <v>0</v>
      </c>
      <c r="C27">
        <v>0</v>
      </c>
      <c r="D27">
        <v>0</v>
      </c>
      <c r="E27">
        <v>34</v>
      </c>
      <c r="F27">
        <v>31</v>
      </c>
      <c r="G27">
        <v>41</v>
      </c>
      <c r="H27">
        <v>82</v>
      </c>
      <c r="I27">
        <v>140</v>
      </c>
      <c r="J27">
        <v>152</v>
      </c>
      <c r="K27">
        <v>280</v>
      </c>
    </row>
    <row r="28" spans="1:11" s="9" customFormat="1" x14ac:dyDescent="0.3">
      <c r="A28" s="9" t="s">
        <v>12</v>
      </c>
      <c r="B28">
        <v>0</v>
      </c>
      <c r="C28">
        <v>0</v>
      </c>
      <c r="D28">
        <v>0</v>
      </c>
      <c r="E28">
        <v>57</v>
      </c>
      <c r="F28">
        <v>70</v>
      </c>
      <c r="G28">
        <v>118</v>
      </c>
      <c r="H28">
        <v>677</v>
      </c>
      <c r="I28">
        <v>1734</v>
      </c>
      <c r="J28">
        <v>2565</v>
      </c>
      <c r="K28">
        <v>5052</v>
      </c>
    </row>
    <row r="29" spans="1:11" s="9" customFormat="1" x14ac:dyDescent="0.3">
      <c r="A29" s="9" t="s">
        <v>13</v>
      </c>
      <c r="B29">
        <v>0</v>
      </c>
      <c r="C29">
        <v>0</v>
      </c>
      <c r="D29">
        <v>0</v>
      </c>
      <c r="E29">
        <v>57</v>
      </c>
      <c r="F29">
        <v>70</v>
      </c>
      <c r="G29">
        <v>118</v>
      </c>
      <c r="H29">
        <v>677</v>
      </c>
      <c r="I29">
        <v>1734</v>
      </c>
      <c r="J29">
        <v>2565</v>
      </c>
      <c r="K29">
        <v>5052</v>
      </c>
    </row>
    <row r="30" spans="1:11" s="9" customFormat="1" x14ac:dyDescent="0.3">
      <c r="A30" s="9" t="s">
        <v>14</v>
      </c>
      <c r="B30">
        <v>0</v>
      </c>
      <c r="C30">
        <v>0</v>
      </c>
      <c r="D30">
        <v>0</v>
      </c>
      <c r="E30">
        <v>39</v>
      </c>
      <c r="F30">
        <v>48</v>
      </c>
      <c r="G30">
        <v>80</v>
      </c>
      <c r="H30">
        <v>500</v>
      </c>
      <c r="I30">
        <v>1274</v>
      </c>
      <c r="J30">
        <v>1928</v>
      </c>
      <c r="K30">
        <v>3884</v>
      </c>
    </row>
    <row r="31" spans="1:11" s="9" customFormat="1" x14ac:dyDescent="0.3">
      <c r="A31" s="9" t="s">
        <v>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116.52</v>
      </c>
    </row>
    <row r="32" spans="1:11" s="9" customFormat="1" x14ac:dyDescent="0.3">
      <c r="A32" s="9" t="s">
        <v>94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3">
      <c r="A33" s="9"/>
      <c r="B33" s="5">
        <f>B30+B29+B27+B26</f>
        <v>0</v>
      </c>
      <c r="C33" s="5">
        <f>C30+C29+C27+C26</f>
        <v>0</v>
      </c>
      <c r="D33" s="5">
        <f>D30+D29+D27+D26</f>
        <v>0</v>
      </c>
      <c r="E33" s="5">
        <f>E30+E29+E27+E26</f>
        <v>157</v>
      </c>
      <c r="F33" s="5">
        <f>F30+F29+F27+F26</f>
        <v>178</v>
      </c>
      <c r="G33" s="5">
        <f>G30+G29+G27+G26</f>
        <v>282</v>
      </c>
      <c r="H33" s="5">
        <f>H30+H29+H27+H26</f>
        <v>1423</v>
      </c>
      <c r="I33" s="5">
        <f>I30+I29+I27+I26</f>
        <v>3425</v>
      </c>
      <c r="J33" s="5">
        <f>J30+J29+J27+J26</f>
        <v>5047</v>
      </c>
      <c r="K33" s="5">
        <f>K30+K29+K27+K26</f>
        <v>10206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2936</v>
      </c>
      <c r="C42">
        <v>3409</v>
      </c>
      <c r="D42">
        <v>3574</v>
      </c>
      <c r="E42">
        <v>3457</v>
      </c>
      <c r="F42">
        <v>4004</v>
      </c>
      <c r="G42">
        <v>4426</v>
      </c>
      <c r="H42">
        <v>6066</v>
      </c>
      <c r="I42">
        <v>7565</v>
      </c>
      <c r="J42">
        <v>8480</v>
      </c>
      <c r="K42">
        <v>7932</v>
      </c>
    </row>
    <row r="43" spans="1:11" s="9" customFormat="1" x14ac:dyDescent="0.3">
      <c r="A43" s="9" t="s">
        <v>7</v>
      </c>
      <c r="B43">
        <v>2518</v>
      </c>
      <c r="C43">
        <v>2856</v>
      </c>
      <c r="D43">
        <v>3050</v>
      </c>
      <c r="E43">
        <v>2736</v>
      </c>
      <c r="F43">
        <v>3081</v>
      </c>
      <c r="G43">
        <v>3429</v>
      </c>
      <c r="H43">
        <v>4659</v>
      </c>
      <c r="I43">
        <v>5637</v>
      </c>
      <c r="J43">
        <v>6904</v>
      </c>
      <c r="K43">
        <v>6492</v>
      </c>
    </row>
    <row r="44" spans="1:11" s="9" customFormat="1" x14ac:dyDescent="0.3">
      <c r="A44" s="9" t="s">
        <v>9</v>
      </c>
      <c r="B44">
        <v>364</v>
      </c>
      <c r="C44">
        <v>88</v>
      </c>
      <c r="D44">
        <v>89</v>
      </c>
      <c r="E44">
        <v>88</v>
      </c>
      <c r="F44">
        <v>133</v>
      </c>
      <c r="G44">
        <v>171</v>
      </c>
      <c r="H44">
        <v>161</v>
      </c>
      <c r="I44">
        <v>-99</v>
      </c>
      <c r="J44">
        <v>180</v>
      </c>
      <c r="K44">
        <v>171</v>
      </c>
    </row>
    <row r="45" spans="1:11" s="9" customFormat="1" x14ac:dyDescent="0.3">
      <c r="A45" s="9" t="s">
        <v>10</v>
      </c>
      <c r="B45">
        <v>75</v>
      </c>
      <c r="C45">
        <v>76</v>
      </c>
      <c r="D45">
        <v>84</v>
      </c>
      <c r="E45">
        <v>89</v>
      </c>
      <c r="F45">
        <v>153</v>
      </c>
      <c r="G45">
        <v>182</v>
      </c>
      <c r="H45">
        <v>240</v>
      </c>
      <c r="I45">
        <v>267</v>
      </c>
      <c r="J45">
        <v>301</v>
      </c>
      <c r="K45">
        <v>330</v>
      </c>
    </row>
    <row r="46" spans="1:11" s="9" customFormat="1" x14ac:dyDescent="0.3">
      <c r="A46" s="9" t="s">
        <v>11</v>
      </c>
      <c r="B46">
        <v>48</v>
      </c>
      <c r="C46">
        <v>34</v>
      </c>
      <c r="D46">
        <v>31</v>
      </c>
      <c r="E46">
        <v>31</v>
      </c>
      <c r="F46">
        <v>57</v>
      </c>
      <c r="G46">
        <v>43</v>
      </c>
      <c r="H46">
        <v>96</v>
      </c>
      <c r="I46">
        <v>93</v>
      </c>
      <c r="J46">
        <v>48</v>
      </c>
      <c r="K46">
        <v>70</v>
      </c>
    </row>
    <row r="47" spans="1:11" s="9" customFormat="1" x14ac:dyDescent="0.3">
      <c r="A47" s="9" t="s">
        <v>12</v>
      </c>
      <c r="B47">
        <v>659</v>
      </c>
      <c r="C47">
        <v>531</v>
      </c>
      <c r="D47">
        <v>499</v>
      </c>
      <c r="E47">
        <v>690</v>
      </c>
      <c r="F47">
        <v>845</v>
      </c>
      <c r="G47">
        <v>943</v>
      </c>
      <c r="H47">
        <v>1231</v>
      </c>
      <c r="I47">
        <v>1469</v>
      </c>
      <c r="J47">
        <v>1408</v>
      </c>
      <c r="K47">
        <v>1210</v>
      </c>
    </row>
    <row r="48" spans="1:11" s="9" customFormat="1" x14ac:dyDescent="0.3">
      <c r="A48" s="9" t="s">
        <v>13</v>
      </c>
      <c r="B48">
        <v>659</v>
      </c>
      <c r="C48">
        <v>531</v>
      </c>
      <c r="D48">
        <v>499</v>
      </c>
      <c r="E48">
        <v>690</v>
      </c>
      <c r="F48">
        <v>845</v>
      </c>
      <c r="G48">
        <v>943</v>
      </c>
      <c r="H48">
        <v>1231</v>
      </c>
      <c r="I48">
        <v>1469</v>
      </c>
      <c r="J48">
        <v>1408</v>
      </c>
      <c r="K48">
        <v>1210</v>
      </c>
    </row>
    <row r="49" spans="1:11" s="9" customFormat="1" x14ac:dyDescent="0.3">
      <c r="A49" s="9" t="s">
        <v>14</v>
      </c>
      <c r="B49">
        <v>475</v>
      </c>
      <c r="C49">
        <v>401</v>
      </c>
      <c r="D49">
        <v>376</v>
      </c>
      <c r="E49">
        <v>507</v>
      </c>
      <c r="F49">
        <v>644</v>
      </c>
      <c r="G49">
        <v>773</v>
      </c>
      <c r="H49">
        <v>878</v>
      </c>
      <c r="I49">
        <v>1107</v>
      </c>
      <c r="J49">
        <v>1126</v>
      </c>
      <c r="K49">
        <v>892</v>
      </c>
    </row>
    <row r="50" spans="1:11" x14ac:dyDescent="0.3">
      <c r="A50" s="9" t="s">
        <v>8</v>
      </c>
      <c r="B50">
        <v>418</v>
      </c>
      <c r="C50">
        <v>552</v>
      </c>
      <c r="D50">
        <v>525</v>
      </c>
      <c r="E50">
        <v>722</v>
      </c>
      <c r="F50">
        <v>923</v>
      </c>
      <c r="G50">
        <v>997</v>
      </c>
      <c r="H50">
        <v>1406</v>
      </c>
      <c r="I50">
        <v>1928</v>
      </c>
      <c r="J50">
        <v>1577</v>
      </c>
      <c r="K50">
        <v>1440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0</v>
      </c>
      <c r="C56" s="16">
        <v>0</v>
      </c>
      <c r="D56" s="16">
        <v>0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0</v>
      </c>
      <c r="C57">
        <v>0</v>
      </c>
      <c r="D57">
        <v>0</v>
      </c>
      <c r="E57">
        <v>197</v>
      </c>
      <c r="F57">
        <v>197</v>
      </c>
      <c r="G57">
        <v>197</v>
      </c>
      <c r="H57">
        <v>243</v>
      </c>
      <c r="I57">
        <v>263</v>
      </c>
      <c r="J57">
        <v>287</v>
      </c>
      <c r="K57">
        <v>288</v>
      </c>
    </row>
    <row r="58" spans="1:11" x14ac:dyDescent="0.3">
      <c r="A58" s="9" t="s">
        <v>25</v>
      </c>
      <c r="B58">
        <v>0</v>
      </c>
      <c r="C58">
        <v>0</v>
      </c>
      <c r="D58">
        <v>0</v>
      </c>
      <c r="E58">
        <v>101</v>
      </c>
      <c r="F58">
        <v>148</v>
      </c>
      <c r="G58">
        <v>231</v>
      </c>
      <c r="H58">
        <v>1595</v>
      </c>
      <c r="I58">
        <v>3825</v>
      </c>
      <c r="J58">
        <v>9192</v>
      </c>
      <c r="K58">
        <v>14150</v>
      </c>
    </row>
    <row r="59" spans="1:11" x14ac:dyDescent="0.3">
      <c r="A59" s="9" t="s">
        <v>71</v>
      </c>
      <c r="B59">
        <v>0</v>
      </c>
      <c r="C59">
        <v>0</v>
      </c>
      <c r="D59">
        <v>0</v>
      </c>
      <c r="E59">
        <v>157</v>
      </c>
      <c r="F59">
        <v>340</v>
      </c>
      <c r="G59">
        <v>363</v>
      </c>
      <c r="H59">
        <v>320</v>
      </c>
      <c r="I59">
        <v>553</v>
      </c>
      <c r="J59">
        <v>1199</v>
      </c>
      <c r="K59">
        <v>3213</v>
      </c>
    </row>
    <row r="60" spans="1:11" x14ac:dyDescent="0.3">
      <c r="A60" s="9" t="s">
        <v>72</v>
      </c>
      <c r="B60">
        <v>0</v>
      </c>
      <c r="C60">
        <v>0</v>
      </c>
      <c r="D60">
        <v>0</v>
      </c>
      <c r="E60">
        <v>483</v>
      </c>
      <c r="F60">
        <v>596</v>
      </c>
      <c r="G60">
        <v>1362</v>
      </c>
      <c r="H60">
        <v>5247</v>
      </c>
      <c r="I60">
        <v>6635</v>
      </c>
      <c r="J60">
        <v>8766</v>
      </c>
      <c r="K60">
        <v>12335</v>
      </c>
    </row>
    <row r="61" spans="1:11" s="1" customFormat="1" x14ac:dyDescent="0.3">
      <c r="A61" s="1" t="s">
        <v>26</v>
      </c>
      <c r="B61">
        <v>0</v>
      </c>
      <c r="C61">
        <v>0</v>
      </c>
      <c r="D61">
        <v>0</v>
      </c>
      <c r="E61">
        <v>938</v>
      </c>
      <c r="F61">
        <v>1281</v>
      </c>
      <c r="G61">
        <v>2154</v>
      </c>
      <c r="H61">
        <v>7406</v>
      </c>
      <c r="I61">
        <v>11277</v>
      </c>
      <c r="J61">
        <v>19444</v>
      </c>
      <c r="K61">
        <v>29985</v>
      </c>
    </row>
    <row r="62" spans="1:11" x14ac:dyDescent="0.3">
      <c r="A62" s="9" t="s">
        <v>27</v>
      </c>
      <c r="B62">
        <v>0</v>
      </c>
      <c r="C62">
        <v>0</v>
      </c>
      <c r="D62">
        <v>0</v>
      </c>
      <c r="E62">
        <v>152</v>
      </c>
      <c r="F62">
        <v>285</v>
      </c>
      <c r="G62">
        <v>625</v>
      </c>
      <c r="H62">
        <v>1105</v>
      </c>
      <c r="I62">
        <v>1450</v>
      </c>
      <c r="J62">
        <v>4026</v>
      </c>
      <c r="K62">
        <v>7328</v>
      </c>
    </row>
    <row r="63" spans="1:11" x14ac:dyDescent="0.3">
      <c r="A63" s="9" t="s">
        <v>28</v>
      </c>
      <c r="B63">
        <v>0</v>
      </c>
      <c r="C63">
        <v>0</v>
      </c>
      <c r="D63">
        <v>0</v>
      </c>
      <c r="E63">
        <v>40</v>
      </c>
      <c r="F63">
        <v>3</v>
      </c>
      <c r="G63">
        <v>124</v>
      </c>
      <c r="H63">
        <v>537</v>
      </c>
      <c r="I63">
        <v>1341</v>
      </c>
      <c r="J63">
        <v>1884</v>
      </c>
      <c r="K63">
        <v>3477</v>
      </c>
    </row>
    <row r="64" spans="1:11" x14ac:dyDescent="0.3">
      <c r="A64" s="9" t="s">
        <v>29</v>
      </c>
      <c r="B64">
        <v>0</v>
      </c>
      <c r="C64">
        <v>0</v>
      </c>
      <c r="D64">
        <v>0</v>
      </c>
      <c r="E64">
        <v>85</v>
      </c>
      <c r="F64">
        <v>115</v>
      </c>
      <c r="G64">
        <v>143</v>
      </c>
      <c r="H64">
        <v>31</v>
      </c>
      <c r="I64">
        <v>71</v>
      </c>
      <c r="J64">
        <v>65</v>
      </c>
      <c r="K64">
        <v>953</v>
      </c>
    </row>
    <row r="65" spans="1:11" x14ac:dyDescent="0.3">
      <c r="A65" s="9" t="s">
        <v>73</v>
      </c>
      <c r="B65">
        <v>0</v>
      </c>
      <c r="C65">
        <v>0</v>
      </c>
      <c r="D65">
        <v>0</v>
      </c>
      <c r="E65">
        <v>661</v>
      </c>
      <c r="F65">
        <v>878</v>
      </c>
      <c r="G65">
        <v>1262</v>
      </c>
      <c r="H65">
        <v>5732</v>
      </c>
      <c r="I65">
        <v>8414</v>
      </c>
      <c r="J65">
        <v>13469</v>
      </c>
      <c r="K65">
        <v>18227</v>
      </c>
    </row>
    <row r="66" spans="1:11" s="1" customFormat="1" x14ac:dyDescent="0.3">
      <c r="A66" s="1" t="s">
        <v>26</v>
      </c>
      <c r="B66">
        <v>0</v>
      </c>
      <c r="C66">
        <v>0</v>
      </c>
      <c r="D66">
        <v>0</v>
      </c>
      <c r="E66">
        <v>938</v>
      </c>
      <c r="F66">
        <v>1281</v>
      </c>
      <c r="G66">
        <v>2154</v>
      </c>
      <c r="H66">
        <v>7406</v>
      </c>
      <c r="I66">
        <v>11277</v>
      </c>
      <c r="J66">
        <v>19444</v>
      </c>
      <c r="K66">
        <v>29985</v>
      </c>
    </row>
    <row r="67" spans="1:11" s="9" customFormat="1" x14ac:dyDescent="0.3">
      <c r="A67" s="9" t="s">
        <v>78</v>
      </c>
      <c r="B67">
        <v>0</v>
      </c>
      <c r="C67">
        <v>0</v>
      </c>
      <c r="D67">
        <v>0</v>
      </c>
      <c r="E67">
        <v>140</v>
      </c>
      <c r="F67">
        <v>117</v>
      </c>
      <c r="G67">
        <v>93</v>
      </c>
      <c r="H67">
        <v>313</v>
      </c>
      <c r="I67">
        <v>971</v>
      </c>
      <c r="J67">
        <v>1053</v>
      </c>
      <c r="K67">
        <v>2492</v>
      </c>
    </row>
    <row r="68" spans="1:11" x14ac:dyDescent="0.3">
      <c r="A68" s="9" t="s">
        <v>45</v>
      </c>
      <c r="B68">
        <v>0</v>
      </c>
      <c r="C68">
        <v>0</v>
      </c>
      <c r="D68">
        <v>0</v>
      </c>
      <c r="E68">
        <v>243</v>
      </c>
      <c r="F68">
        <v>368</v>
      </c>
      <c r="G68">
        <v>538</v>
      </c>
      <c r="H68">
        <v>2709</v>
      </c>
      <c r="I68">
        <v>2586</v>
      </c>
      <c r="J68">
        <v>2692</v>
      </c>
      <c r="K68">
        <v>5856</v>
      </c>
    </row>
    <row r="69" spans="1:11" x14ac:dyDescent="0.3">
      <c r="A69" s="5" t="s">
        <v>87</v>
      </c>
      <c r="B69">
        <v>0</v>
      </c>
      <c r="C69">
        <v>0</v>
      </c>
      <c r="D69">
        <v>0</v>
      </c>
      <c r="E69">
        <v>79</v>
      </c>
      <c r="F69">
        <v>110</v>
      </c>
      <c r="G69">
        <v>366</v>
      </c>
      <c r="H69">
        <v>1736</v>
      </c>
      <c r="I69">
        <v>3779</v>
      </c>
      <c r="J69">
        <v>7748</v>
      </c>
      <c r="K69">
        <v>6728</v>
      </c>
    </row>
    <row r="70" spans="1:11" x14ac:dyDescent="0.3">
      <c r="A70" s="5" t="s">
        <v>74</v>
      </c>
      <c r="B70">
        <v>0</v>
      </c>
      <c r="C70">
        <v>0</v>
      </c>
      <c r="D70">
        <v>0</v>
      </c>
      <c r="E70">
        <v>197000000</v>
      </c>
      <c r="F70">
        <v>197000000</v>
      </c>
      <c r="G70">
        <v>197000000</v>
      </c>
      <c r="H70">
        <v>243000000</v>
      </c>
      <c r="I70">
        <v>263000000</v>
      </c>
      <c r="J70">
        <v>287000000</v>
      </c>
      <c r="K70">
        <v>288000000</v>
      </c>
    </row>
    <row r="71" spans="1:11" x14ac:dyDescent="0.3">
      <c r="A71" s="5" t="s">
        <v>75</v>
      </c>
      <c r="B71">
        <v>0</v>
      </c>
      <c r="C71" s="5">
        <v>0</v>
      </c>
      <c r="D71" s="5">
        <v>0</v>
      </c>
    </row>
    <row r="72" spans="1:11" x14ac:dyDescent="0.3">
      <c r="A72" s="5" t="s">
        <v>88</v>
      </c>
      <c r="B72">
        <v>0</v>
      </c>
      <c r="C72">
        <v>0</v>
      </c>
      <c r="D72">
        <v>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0</v>
      </c>
      <c r="C75" s="5">
        <f>C65-SUM(C67:C69)</f>
        <v>0</v>
      </c>
      <c r="D75" s="5">
        <f>D65-SUM(D67:D69)</f>
        <v>0</v>
      </c>
      <c r="E75" s="5">
        <f>E65-SUM(E67:E69)</f>
        <v>199</v>
      </c>
      <c r="F75" s="5">
        <f>F65-SUM(F67:F69)</f>
        <v>283</v>
      </c>
      <c r="G75" s="5">
        <f>G65-SUM(G67:G69)</f>
        <v>265</v>
      </c>
      <c r="H75" s="5">
        <f>H65-SUM(H67:H69)</f>
        <v>974</v>
      </c>
      <c r="I75" s="5">
        <f>I65-SUM(I67:I69)</f>
        <v>1078</v>
      </c>
      <c r="J75" s="5">
        <f>J65-SUM(J67:J69)</f>
        <v>1976</v>
      </c>
      <c r="K75" s="5">
        <f>K65-SUM(K67:K69)</f>
        <v>3151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0</v>
      </c>
      <c r="C81" s="16">
        <v>0</v>
      </c>
      <c r="D81" s="16">
        <v>0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0</v>
      </c>
      <c r="C82">
        <v>0</v>
      </c>
      <c r="D82">
        <v>0</v>
      </c>
      <c r="E82">
        <v>83</v>
      </c>
      <c r="F82">
        <v>67</v>
      </c>
      <c r="G82">
        <v>698</v>
      </c>
      <c r="H82">
        <v>1560</v>
      </c>
      <c r="I82">
        <v>2305</v>
      </c>
      <c r="J82">
        <v>3158</v>
      </c>
      <c r="K82">
        <v>1627</v>
      </c>
    </row>
    <row r="83" spans="1:11" s="9" customFormat="1" x14ac:dyDescent="0.3">
      <c r="A83" s="9" t="s">
        <v>33</v>
      </c>
      <c r="B83">
        <v>0</v>
      </c>
      <c r="C83">
        <v>0</v>
      </c>
      <c r="D83">
        <v>0</v>
      </c>
      <c r="E83">
        <v>-22</v>
      </c>
      <c r="F83">
        <v>-250</v>
      </c>
      <c r="G83">
        <v>-673</v>
      </c>
      <c r="H83">
        <v>-2088</v>
      </c>
      <c r="I83">
        <v>-3346</v>
      </c>
      <c r="J83">
        <v>-6806</v>
      </c>
      <c r="K83">
        <v>-3936</v>
      </c>
    </row>
    <row r="84" spans="1:11" s="9" customFormat="1" x14ac:dyDescent="0.3">
      <c r="A84" s="9" t="s">
        <v>34</v>
      </c>
      <c r="B84">
        <v>0</v>
      </c>
      <c r="C84">
        <v>0</v>
      </c>
      <c r="D84">
        <v>0</v>
      </c>
      <c r="E84">
        <v>-50</v>
      </c>
      <c r="F84">
        <v>161</v>
      </c>
      <c r="G84">
        <v>101</v>
      </c>
      <c r="H84">
        <v>642</v>
      </c>
      <c r="I84">
        <v>909</v>
      </c>
      <c r="J84">
        <v>4036</v>
      </c>
      <c r="K84">
        <v>2573</v>
      </c>
    </row>
    <row r="85" spans="1:11" s="1" customFormat="1" x14ac:dyDescent="0.3">
      <c r="A85" s="9" t="s">
        <v>35</v>
      </c>
      <c r="B85">
        <v>0</v>
      </c>
      <c r="C85">
        <v>0</v>
      </c>
      <c r="D85">
        <v>0</v>
      </c>
      <c r="E85">
        <v>12</v>
      </c>
      <c r="F85">
        <v>-21</v>
      </c>
      <c r="G85">
        <v>126</v>
      </c>
      <c r="H85">
        <v>114</v>
      </c>
      <c r="I85">
        <v>-132</v>
      </c>
      <c r="J85">
        <v>388</v>
      </c>
      <c r="K85">
        <v>264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2512</v>
      </c>
      <c r="F90">
        <v>2512</v>
      </c>
      <c r="G90">
        <v>2512</v>
      </c>
      <c r="H90">
        <v>2512</v>
      </c>
      <c r="I90">
        <v>2512</v>
      </c>
      <c r="J90">
        <v>2158.5500000000002</v>
      </c>
      <c r="K90">
        <v>2709.3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18.399999999999999</v>
      </c>
      <c r="F93" s="31">
        <v>18.399999999999999</v>
      </c>
      <c r="G93" s="31">
        <v>18.399999999999999</v>
      </c>
      <c r="H93" s="31">
        <v>18.399999999999999</v>
      </c>
      <c r="I93" s="31">
        <v>18.399999999999999</v>
      </c>
      <c r="J93" s="31">
        <v>18.399999999999999</v>
      </c>
      <c r="K93" s="31">
        <v>18.399999999999999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8618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43891</v>
      </c>
      <c r="D4" s="50">
        <v>44256</v>
      </c>
      <c r="E4" s="50">
        <v>44621</v>
      </c>
      <c r="F4" s="50">
        <v>44986</v>
      </c>
      <c r="G4" s="50">
        <v>45352</v>
      </c>
      <c r="H4" s="50">
        <v>45717</v>
      </c>
      <c r="I4" s="50">
        <v>46082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83</v>
      </c>
      <c r="D6" s="48">
        <v>67</v>
      </c>
      <c r="E6" s="48">
        <v>698</v>
      </c>
      <c r="F6" s="48">
        <v>1560</v>
      </c>
      <c r="G6" s="48">
        <v>2305</v>
      </c>
      <c r="H6" s="48">
        <v>3158</v>
      </c>
      <c r="I6" s="48">
        <v>1627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118</v>
      </c>
      <c r="D7" s="48">
        <v>107</v>
      </c>
      <c r="E7" s="48">
        <v>191</v>
      </c>
      <c r="F7" s="48">
        <v>941</v>
      </c>
      <c r="G7" s="48">
        <v>2049</v>
      </c>
      <c r="H7" s="48">
        <v>2744</v>
      </c>
      <c r="I7" s="48">
        <v>5916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86</v>
      </c>
      <c r="D8">
        <v>22</v>
      </c>
      <c r="E8">
        <v>21</v>
      </c>
      <c r="F8">
        <v>-215</v>
      </c>
      <c r="G8">
        <v>-670</v>
      </c>
      <c r="H8" s="48">
        <v>-223</v>
      </c>
      <c r="I8">
        <v>-1425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-143</v>
      </c>
      <c r="D9">
        <v>-99</v>
      </c>
      <c r="E9">
        <v>-170</v>
      </c>
      <c r="F9">
        <v>-2171</v>
      </c>
      <c r="G9">
        <v>123</v>
      </c>
      <c r="H9">
        <v>-107</v>
      </c>
      <c r="I9" s="48">
        <v>-3164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-12</v>
      </c>
      <c r="D10">
        <v>78</v>
      </c>
      <c r="E10">
        <v>178</v>
      </c>
      <c r="F10" s="48">
        <v>1073</v>
      </c>
      <c r="G10">
        <v>-6</v>
      </c>
      <c r="H10">
        <v>557</v>
      </c>
      <c r="I10" s="48">
        <v>1054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-23</v>
      </c>
      <c r="D11">
        <v>-18</v>
      </c>
      <c r="E11">
        <v>533</v>
      </c>
      <c r="F11" s="48">
        <v>720</v>
      </c>
      <c r="G11">
        <v>592</v>
      </c>
      <c r="H11">
        <v>1157</v>
      </c>
      <c r="I11">
        <v>-3140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-11</v>
      </c>
      <c r="D12" s="48">
        <v>-22</v>
      </c>
      <c r="E12" s="48">
        <v>-26</v>
      </c>
      <c r="F12" s="48">
        <v>-100</v>
      </c>
      <c r="G12" s="48">
        <v>-335</v>
      </c>
      <c r="H12" s="48">
        <v>-743</v>
      </c>
      <c r="I12" s="48">
        <v>-1149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-22</v>
      </c>
      <c r="D13" s="48">
        <v>-250</v>
      </c>
      <c r="E13" s="48">
        <v>-673</v>
      </c>
      <c r="F13" s="48">
        <v>-2088</v>
      </c>
      <c r="G13" s="48">
        <v>-3346</v>
      </c>
      <c r="H13" s="48">
        <v>-6806</v>
      </c>
      <c r="I13" s="48">
        <v>-3936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-16</v>
      </c>
      <c r="D14" s="48">
        <v>-70</v>
      </c>
      <c r="E14" s="48">
        <v>-496</v>
      </c>
      <c r="F14" s="48">
        <v>-865</v>
      </c>
      <c r="G14" s="48">
        <v>-1342</v>
      </c>
      <c r="H14" s="48">
        <v>-3274</v>
      </c>
      <c r="I14" s="48">
        <v>-4882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0</v>
      </c>
      <c r="D15">
        <v>0</v>
      </c>
      <c r="E15">
        <v>1</v>
      </c>
      <c r="F15">
        <v>4</v>
      </c>
      <c r="G15">
        <v>5</v>
      </c>
      <c r="H15">
        <v>1</v>
      </c>
      <c r="I15">
        <v>46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0</v>
      </c>
      <c r="D16" s="48">
        <v>-50</v>
      </c>
      <c r="E16" s="48">
        <v>-161</v>
      </c>
      <c r="F16" s="48">
        <v>0</v>
      </c>
      <c r="G16" s="48">
        <v>-1913</v>
      </c>
      <c r="H16" s="48">
        <v>-5128</v>
      </c>
      <c r="I16" s="48">
        <v>-5533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0</v>
      </c>
      <c r="D17" s="48">
        <v>21</v>
      </c>
      <c r="E17" s="48">
        <v>31</v>
      </c>
      <c r="F17" s="48">
        <v>109</v>
      </c>
      <c r="G17" s="48">
        <v>1906</v>
      </c>
      <c r="H17" s="48">
        <v>5151</v>
      </c>
      <c r="I17" s="48">
        <v>4688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13</v>
      </c>
      <c r="D18">
        <v>17</v>
      </c>
      <c r="E18">
        <v>9</v>
      </c>
      <c r="F18">
        <v>30</v>
      </c>
      <c r="G18" s="48">
        <v>125</v>
      </c>
      <c r="H18" s="48">
        <v>298</v>
      </c>
      <c r="I18" s="48">
        <v>543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42</v>
      </c>
      <c r="F22">
        <v>0</v>
      </c>
      <c r="G22">
        <v>0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37</v>
      </c>
      <c r="D23" s="48">
        <v>-133</v>
      </c>
      <c r="E23" s="48">
        <v>-98</v>
      </c>
      <c r="F23" s="48">
        <v>-1365</v>
      </c>
      <c r="G23" s="48">
        <v>-2126</v>
      </c>
      <c r="H23" s="48">
        <v>-3854</v>
      </c>
      <c r="I23" s="48">
        <v>1202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-50</v>
      </c>
      <c r="D24" s="48">
        <v>161</v>
      </c>
      <c r="E24" s="48">
        <v>101</v>
      </c>
      <c r="F24" s="48">
        <v>642</v>
      </c>
      <c r="G24" s="48">
        <v>909</v>
      </c>
      <c r="H24" s="48">
        <v>4036</v>
      </c>
      <c r="I24" s="48">
        <v>2573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0</v>
      </c>
      <c r="D25">
        <v>0</v>
      </c>
      <c r="E25" s="48">
        <v>0</v>
      </c>
      <c r="F25">
        <v>1040</v>
      </c>
      <c r="G25">
        <v>1004</v>
      </c>
      <c r="H25">
        <v>0</v>
      </c>
      <c r="I25">
        <v>532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0</v>
      </c>
      <c r="D26">
        <v>184</v>
      </c>
      <c r="E26">
        <v>141</v>
      </c>
      <c r="F26">
        <v>16</v>
      </c>
      <c r="G26">
        <v>779</v>
      </c>
      <c r="H26">
        <v>4317</v>
      </c>
      <c r="I26">
        <v>8677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-21</v>
      </c>
      <c r="D27">
        <v>0</v>
      </c>
      <c r="E27">
        <v>0</v>
      </c>
      <c r="F27">
        <v>-167</v>
      </c>
      <c r="G27">
        <v>-738</v>
      </c>
      <c r="H27">
        <v>-187</v>
      </c>
      <c r="I27">
        <v>-6116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-25</v>
      </c>
      <c r="D28">
        <v>-23</v>
      </c>
      <c r="E28">
        <v>-29</v>
      </c>
      <c r="F28">
        <v>-69</v>
      </c>
      <c r="G28">
        <v>-121</v>
      </c>
      <c r="H28">
        <v>-64</v>
      </c>
      <c r="I28">
        <v>-161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0</v>
      </c>
      <c r="D29" s="48">
        <v>0</v>
      </c>
      <c r="E29" s="48">
        <v>0</v>
      </c>
      <c r="F29" s="48">
        <v>0</v>
      </c>
      <c r="G29" s="48">
        <v>-1</v>
      </c>
      <c r="H29" s="48">
        <v>0</v>
      </c>
      <c r="I29" s="48">
        <v>-58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-4</v>
      </c>
      <c r="D30">
        <v>0</v>
      </c>
      <c r="E30">
        <v>-10</v>
      </c>
      <c r="F30">
        <v>-8</v>
      </c>
      <c r="G30">
        <v>-15</v>
      </c>
      <c r="H30">
        <v>-31</v>
      </c>
      <c r="I30">
        <v>-301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0</v>
      </c>
      <c r="D31">
        <v>0</v>
      </c>
      <c r="E31" s="48">
        <v>0</v>
      </c>
      <c r="F31" s="48">
        <v>-169</v>
      </c>
      <c r="G31" s="48">
        <v>-1</v>
      </c>
      <c r="H31" s="48">
        <v>0</v>
      </c>
      <c r="I31">
        <v>0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12</v>
      </c>
      <c r="D32">
        <v>-21</v>
      </c>
      <c r="E32">
        <v>126</v>
      </c>
      <c r="F32">
        <v>114</v>
      </c>
      <c r="G32">
        <v>-132</v>
      </c>
      <c r="H32">
        <v>388</v>
      </c>
      <c r="I32">
        <v>264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Waaree Energies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0</v>
      </c>
      <c r="D3" s="40">
        <f>'Data Sheet'!C56</f>
        <v>0</v>
      </c>
      <c r="E3" s="40">
        <f>'Data Sheet'!D56</f>
        <v>0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0</v>
      </c>
      <c r="D7" s="106">
        <f>'Data Sheet'!C17</f>
        <v>0</v>
      </c>
      <c r="E7" s="106">
        <f>'Data Sheet'!D17</f>
        <v>0</v>
      </c>
      <c r="F7" s="106">
        <f>'Data Sheet'!E17</f>
        <v>1996</v>
      </c>
      <c r="G7" s="106">
        <f>'Data Sheet'!F17</f>
        <v>1953</v>
      </c>
      <c r="H7" s="106">
        <f>'Data Sheet'!G17</f>
        <v>2854</v>
      </c>
      <c r="I7" s="106">
        <f>'Data Sheet'!H17</f>
        <v>6751</v>
      </c>
      <c r="J7" s="106">
        <f>'Data Sheet'!I17</f>
        <v>11398</v>
      </c>
      <c r="K7" s="106">
        <f>'Data Sheet'!J17</f>
        <v>14444</v>
      </c>
      <c r="L7" s="106">
        <f>'Data Sheet'!K17</f>
        <v>26537</v>
      </c>
    </row>
    <row r="8" spans="1:14" x14ac:dyDescent="0.3">
      <c r="B8" t="s">
        <v>22</v>
      </c>
      <c r="C8" s="110" t="s">
        <v>120</v>
      </c>
      <c r="D8" s="111" t="e">
        <f>D7/C7-1</f>
        <v>#DIV/0!</v>
      </c>
      <c r="E8" s="111" t="e">
        <f t="shared" ref="E8:L8" si="0">E7/D7-1</f>
        <v>#DIV/0!</v>
      </c>
      <c r="F8" s="111" t="e">
        <f t="shared" si="0"/>
        <v>#DIV/0!</v>
      </c>
      <c r="G8" s="111">
        <f t="shared" si="0"/>
        <v>-2.1543086172344683E-2</v>
      </c>
      <c r="H8" s="111">
        <f t="shared" si="0"/>
        <v>0.46134152585765498</v>
      </c>
      <c r="I8" s="111">
        <f t="shared" si="0"/>
        <v>1.3654519971969168</v>
      </c>
      <c r="J8" s="111">
        <f t="shared" si="0"/>
        <v>0.6883424677825507</v>
      </c>
      <c r="K8" s="111">
        <f t="shared" si="0"/>
        <v>0.26723986664327071</v>
      </c>
      <c r="L8" s="111">
        <f t="shared" si="0"/>
        <v>0.83723345333702581</v>
      </c>
    </row>
    <row r="10" spans="1:14" x14ac:dyDescent="0.3">
      <c r="B10" t="s">
        <v>99</v>
      </c>
      <c r="C10" s="106">
        <f>SUM('Data Sheet'!B18,'Data Sheet'!B20:B22)-'Data Sheet'!B19</f>
        <v>0</v>
      </c>
      <c r="D10" s="106">
        <f>SUM('Data Sheet'!C18,'Data Sheet'!C20:C22)-'Data Sheet'!C19</f>
        <v>0</v>
      </c>
      <c r="E10" s="106">
        <f>SUM('Data Sheet'!D18,'Data Sheet'!D20:D22)-'Data Sheet'!D19</f>
        <v>0</v>
      </c>
      <c r="F10" s="106">
        <f>SUM('Data Sheet'!E18,'Data Sheet'!E20:E22)-'Data Sheet'!E19</f>
        <v>1836.3200000000002</v>
      </c>
      <c r="G10" s="106">
        <f>SUM('Data Sheet'!F18,'Data Sheet'!F20:F22)-'Data Sheet'!F19</f>
        <v>1835.82</v>
      </c>
      <c r="H10" s="106">
        <f>SUM('Data Sheet'!G18,'Data Sheet'!G20:G22)-'Data Sheet'!G19</f>
        <v>2654.22</v>
      </c>
      <c r="I10" s="106">
        <f>SUM('Data Sheet'!H18,'Data Sheet'!H20:H22)-'Data Sheet'!H19</f>
        <v>5738.35</v>
      </c>
      <c r="J10" s="106">
        <f>SUM('Data Sheet'!I18,'Data Sheet'!I20:I22)-'Data Sheet'!I19</f>
        <v>9232.3799999999974</v>
      </c>
      <c r="K10" s="106">
        <f>SUM('Data Sheet'!J18,'Data Sheet'!J20:J22)-'Data Sheet'!J19</f>
        <v>10832.999999999998</v>
      </c>
      <c r="L10" s="106">
        <f>SUM('Data Sheet'!K18,'Data Sheet'!K20:K22)-'Data Sheet'!K19</f>
        <v>18575.900000000001</v>
      </c>
    </row>
    <row r="11" spans="1:14" x14ac:dyDescent="0.3">
      <c r="B11" t="s">
        <v>98</v>
      </c>
      <c r="C11" s="112" t="e">
        <f>C10/C7</f>
        <v>#DIV/0!</v>
      </c>
      <c r="D11" s="112" t="e">
        <f t="shared" ref="D11:L11" si="1">D10/D7</f>
        <v>#DIV/0!</v>
      </c>
      <c r="E11" s="112" t="e">
        <f t="shared" si="1"/>
        <v>#DIV/0!</v>
      </c>
      <c r="F11" s="112">
        <f t="shared" si="1"/>
        <v>0.92</v>
      </c>
      <c r="G11" s="112">
        <f t="shared" si="1"/>
        <v>0.94</v>
      </c>
      <c r="H11" s="112">
        <f t="shared" si="1"/>
        <v>0.92999999999999994</v>
      </c>
      <c r="I11" s="112">
        <f t="shared" si="1"/>
        <v>0.85000000000000009</v>
      </c>
      <c r="J11" s="112">
        <f t="shared" si="1"/>
        <v>0.80999999999999972</v>
      </c>
      <c r="K11" s="112">
        <f t="shared" si="1"/>
        <v>0.74999999999999989</v>
      </c>
      <c r="L11" s="112">
        <f t="shared" si="1"/>
        <v>0.70000000000000007</v>
      </c>
    </row>
    <row r="13" spans="1:14" x14ac:dyDescent="0.3">
      <c r="B13" t="s">
        <v>100</v>
      </c>
      <c r="C13" s="106">
        <f>C7-C10</f>
        <v>0</v>
      </c>
      <c r="D13" s="106">
        <f t="shared" ref="D13:L13" si="2">D7-D10</f>
        <v>0</v>
      </c>
      <c r="E13" s="106">
        <f t="shared" si="2"/>
        <v>0</v>
      </c>
      <c r="F13" s="106">
        <f t="shared" si="2"/>
        <v>159.67999999999984</v>
      </c>
      <c r="G13" s="106">
        <f t="shared" si="2"/>
        <v>117.18000000000006</v>
      </c>
      <c r="H13" s="106">
        <f t="shared" si="2"/>
        <v>199.7800000000002</v>
      </c>
      <c r="I13" s="106">
        <f t="shared" si="2"/>
        <v>1012.6499999999996</v>
      </c>
      <c r="J13" s="106">
        <f t="shared" si="2"/>
        <v>2165.6200000000026</v>
      </c>
      <c r="K13" s="106">
        <f t="shared" si="2"/>
        <v>3611.0000000000018</v>
      </c>
      <c r="L13" s="106">
        <f t="shared" si="2"/>
        <v>7961.0999999999985</v>
      </c>
    </row>
    <row r="14" spans="1:14" x14ac:dyDescent="0.3">
      <c r="B14" t="s">
        <v>101</v>
      </c>
      <c r="C14" s="112" t="e">
        <f>C13/C7</f>
        <v>#DIV/0!</v>
      </c>
      <c r="D14" s="112" t="e">
        <f t="shared" ref="D14:L14" si="3">D13/D7</f>
        <v>#DIV/0!</v>
      </c>
      <c r="E14" s="112" t="e">
        <f t="shared" si="3"/>
        <v>#DIV/0!</v>
      </c>
      <c r="F14" s="112">
        <f t="shared" si="3"/>
        <v>7.9999999999999918E-2</v>
      </c>
      <c r="G14" s="112">
        <f t="shared" si="3"/>
        <v>6.0000000000000032E-2</v>
      </c>
      <c r="H14" s="112">
        <f t="shared" si="3"/>
        <v>7.0000000000000076E-2</v>
      </c>
      <c r="I14" s="112">
        <f t="shared" si="3"/>
        <v>0.14999999999999994</v>
      </c>
      <c r="J14" s="112">
        <f t="shared" si="3"/>
        <v>0.19000000000000022</v>
      </c>
      <c r="K14" s="112">
        <f t="shared" si="3"/>
        <v>0.25000000000000011</v>
      </c>
      <c r="L14" s="112">
        <f t="shared" si="3"/>
        <v>0.29999999999999993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 t="e">
        <f>C16/C7</f>
        <v>#DIV/0!</v>
      </c>
      <c r="D17" s="112" t="e">
        <f t="shared" ref="D17:L17" si="4">D16/D7</f>
        <v>#DIV/0!</v>
      </c>
      <c r="E17" s="112" t="e">
        <f t="shared" si="4"/>
        <v>#DIV/0!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0</v>
      </c>
      <c r="D19" s="106">
        <f t="shared" ref="D19:L19" si="5">D13-D16</f>
        <v>0</v>
      </c>
      <c r="E19" s="106">
        <f t="shared" si="5"/>
        <v>0</v>
      </c>
      <c r="F19" s="106">
        <f t="shared" si="5"/>
        <v>159.67999999999984</v>
      </c>
      <c r="G19" s="106">
        <f t="shared" si="5"/>
        <v>117.18000000000006</v>
      </c>
      <c r="H19" s="106">
        <f t="shared" si="5"/>
        <v>199.7800000000002</v>
      </c>
      <c r="I19" s="106">
        <f t="shared" si="5"/>
        <v>1012.6499999999996</v>
      </c>
      <c r="J19" s="106">
        <f t="shared" si="5"/>
        <v>2165.6200000000026</v>
      </c>
      <c r="K19" s="106">
        <f t="shared" si="5"/>
        <v>3611.0000000000018</v>
      </c>
      <c r="L19" s="106">
        <f t="shared" si="5"/>
        <v>7961.0999999999985</v>
      </c>
    </row>
    <row r="20" spans="2:12" x14ac:dyDescent="0.3">
      <c r="B20" t="s">
        <v>104</v>
      </c>
      <c r="C20" s="112" t="e">
        <f>C19/C7</f>
        <v>#DIV/0!</v>
      </c>
      <c r="D20" s="112" t="e">
        <f t="shared" ref="D20:L20" si="6">D19/D7</f>
        <v>#DIV/0!</v>
      </c>
      <c r="E20" s="112" t="e">
        <f t="shared" si="6"/>
        <v>#DIV/0!</v>
      </c>
      <c r="F20" s="112">
        <f t="shared" si="6"/>
        <v>7.9999999999999918E-2</v>
      </c>
      <c r="G20" s="112">
        <f t="shared" si="6"/>
        <v>6.0000000000000032E-2</v>
      </c>
      <c r="H20" s="112">
        <f t="shared" si="6"/>
        <v>7.0000000000000076E-2</v>
      </c>
      <c r="I20" s="112">
        <f t="shared" si="6"/>
        <v>0.14999999999999994</v>
      </c>
      <c r="J20" s="112">
        <f t="shared" si="6"/>
        <v>0.19000000000000022</v>
      </c>
      <c r="K20" s="112">
        <f t="shared" si="6"/>
        <v>0.25000000000000011</v>
      </c>
      <c r="L20" s="112">
        <f t="shared" si="6"/>
        <v>0.29999999999999993</v>
      </c>
    </row>
    <row r="22" spans="2:12" x14ac:dyDescent="0.3">
      <c r="B22" t="s">
        <v>10</v>
      </c>
      <c r="C22" s="106">
        <f>'Data Sheet'!B26</f>
        <v>0</v>
      </c>
      <c r="D22" s="106">
        <f>'Data Sheet'!C26</f>
        <v>0</v>
      </c>
      <c r="E22" s="106">
        <f>'Data Sheet'!D26</f>
        <v>0</v>
      </c>
      <c r="F22" s="106">
        <f>'Data Sheet'!E26</f>
        <v>27</v>
      </c>
      <c r="G22" s="106">
        <f>'Data Sheet'!F26</f>
        <v>29</v>
      </c>
      <c r="H22" s="106">
        <f>'Data Sheet'!G26</f>
        <v>43</v>
      </c>
      <c r="I22" s="106">
        <f>'Data Sheet'!H26</f>
        <v>164</v>
      </c>
      <c r="J22" s="106">
        <f>'Data Sheet'!I26</f>
        <v>277</v>
      </c>
      <c r="K22" s="106">
        <f>'Data Sheet'!J26</f>
        <v>402</v>
      </c>
      <c r="L22" s="106">
        <f>'Data Sheet'!K26</f>
        <v>990</v>
      </c>
    </row>
    <row r="23" spans="2:12" x14ac:dyDescent="0.3">
      <c r="B23" t="s">
        <v>105</v>
      </c>
      <c r="C23" s="112" t="e">
        <f>C22/C7</f>
        <v>#DIV/0!</v>
      </c>
      <c r="D23" s="112" t="e">
        <f t="shared" ref="D23:L23" si="7">D22/D7</f>
        <v>#DIV/0!</v>
      </c>
      <c r="E23" s="112" t="e">
        <f t="shared" si="7"/>
        <v>#DIV/0!</v>
      </c>
      <c r="F23" s="112">
        <f t="shared" si="7"/>
        <v>1.3527054108216433E-2</v>
      </c>
      <c r="G23" s="112">
        <f t="shared" si="7"/>
        <v>1.4848950332821301E-2</v>
      </c>
      <c r="H23" s="112">
        <f t="shared" si="7"/>
        <v>1.5066573230553609E-2</v>
      </c>
      <c r="I23" s="112">
        <f t="shared" si="7"/>
        <v>2.4292697378166198E-2</v>
      </c>
      <c r="J23" s="112">
        <f t="shared" si="7"/>
        <v>2.4302509212142481E-2</v>
      </c>
      <c r="K23" s="112">
        <f t="shared" si="7"/>
        <v>2.7831625588479646E-2</v>
      </c>
      <c r="L23" s="112">
        <f t="shared" si="7"/>
        <v>3.7306402381580436E-2</v>
      </c>
    </row>
    <row r="25" spans="2:12" x14ac:dyDescent="0.3">
      <c r="B25" t="s">
        <v>106</v>
      </c>
      <c r="C25" s="106">
        <f>C19-C22</f>
        <v>0</v>
      </c>
      <c r="D25" s="106">
        <f t="shared" ref="D25:L25" si="8">D19-D22</f>
        <v>0</v>
      </c>
      <c r="E25" s="106">
        <f t="shared" si="8"/>
        <v>0</v>
      </c>
      <c r="F25" s="106">
        <f t="shared" si="8"/>
        <v>132.67999999999984</v>
      </c>
      <c r="G25" s="106">
        <f t="shared" si="8"/>
        <v>88.180000000000064</v>
      </c>
      <c r="H25" s="106">
        <f t="shared" si="8"/>
        <v>156.7800000000002</v>
      </c>
      <c r="I25" s="106">
        <f t="shared" si="8"/>
        <v>848.64999999999964</v>
      </c>
      <c r="J25" s="106">
        <f t="shared" si="8"/>
        <v>1888.6200000000026</v>
      </c>
      <c r="K25" s="106">
        <f t="shared" si="8"/>
        <v>3209.0000000000018</v>
      </c>
      <c r="L25" s="106">
        <f t="shared" si="8"/>
        <v>6971.0999999999985</v>
      </c>
    </row>
    <row r="26" spans="2:12" x14ac:dyDescent="0.3">
      <c r="B26" t="s">
        <v>107</v>
      </c>
      <c r="C26" s="112" t="e">
        <f>C25/C7</f>
        <v>#DIV/0!</v>
      </c>
      <c r="D26" s="112" t="e">
        <f t="shared" ref="D26:L26" si="9">D25/D7</f>
        <v>#DIV/0!</v>
      </c>
      <c r="E26" s="112" t="e">
        <f t="shared" si="9"/>
        <v>#DIV/0!</v>
      </c>
      <c r="F26" s="112">
        <f t="shared" si="9"/>
        <v>6.6472945891783486E-2</v>
      </c>
      <c r="G26" s="112">
        <f t="shared" si="9"/>
        <v>4.5151049667178735E-2</v>
      </c>
      <c r="H26" s="112">
        <f t="shared" si="9"/>
        <v>5.4933426769446458E-2</v>
      </c>
      <c r="I26" s="112">
        <f t="shared" si="9"/>
        <v>0.12570730262183374</v>
      </c>
      <c r="J26" s="112">
        <f t="shared" si="9"/>
        <v>0.16569749078785775</v>
      </c>
      <c r="K26" s="112">
        <f t="shared" si="9"/>
        <v>0.22216837441152049</v>
      </c>
      <c r="L26" s="112">
        <f t="shared" si="9"/>
        <v>0.26269359761841948</v>
      </c>
    </row>
    <row r="28" spans="2:12" x14ac:dyDescent="0.3">
      <c r="B28" t="s">
        <v>11</v>
      </c>
      <c r="C28" s="106">
        <f>'Data Sheet'!B27</f>
        <v>0</v>
      </c>
      <c r="D28" s="106">
        <f>'Data Sheet'!C27</f>
        <v>0</v>
      </c>
      <c r="E28" s="106">
        <f>'Data Sheet'!D27</f>
        <v>0</v>
      </c>
      <c r="F28" s="106">
        <f>'Data Sheet'!E27</f>
        <v>34</v>
      </c>
      <c r="G28" s="106">
        <f>'Data Sheet'!F27</f>
        <v>31</v>
      </c>
      <c r="H28" s="106">
        <f>'Data Sheet'!G27</f>
        <v>41</v>
      </c>
      <c r="I28" s="106">
        <f>'Data Sheet'!H27</f>
        <v>82</v>
      </c>
      <c r="J28" s="106">
        <f>'Data Sheet'!I27</f>
        <v>140</v>
      </c>
      <c r="K28" s="106">
        <f>'Data Sheet'!J27</f>
        <v>152</v>
      </c>
      <c r="L28" s="106">
        <f>'Data Sheet'!K27</f>
        <v>280</v>
      </c>
    </row>
    <row r="29" spans="2:12" x14ac:dyDescent="0.3">
      <c r="B29" t="s">
        <v>108</v>
      </c>
      <c r="C29" s="112" t="e">
        <f>C28/C7</f>
        <v>#DIV/0!</v>
      </c>
      <c r="D29" s="112" t="e">
        <f t="shared" ref="D29:L29" si="10">D28/D7</f>
        <v>#DIV/0!</v>
      </c>
      <c r="E29" s="112" t="e">
        <f t="shared" si="10"/>
        <v>#DIV/0!</v>
      </c>
      <c r="F29" s="112">
        <f t="shared" si="10"/>
        <v>1.7034068136272545E-2</v>
      </c>
      <c r="G29" s="112">
        <f t="shared" si="10"/>
        <v>1.5873015873015872E-2</v>
      </c>
      <c r="H29" s="112">
        <f t="shared" si="10"/>
        <v>1.4365802382620883E-2</v>
      </c>
      <c r="I29" s="112">
        <f t="shared" si="10"/>
        <v>1.2146348689083099E-2</v>
      </c>
      <c r="J29" s="112">
        <f t="shared" si="10"/>
        <v>1.2282856641516056E-2</v>
      </c>
      <c r="K29" s="112">
        <f t="shared" si="10"/>
        <v>1.0523400720022155E-2</v>
      </c>
      <c r="L29" s="112">
        <f t="shared" si="10"/>
        <v>1.0551305724083356E-2</v>
      </c>
    </row>
    <row r="31" spans="2:12" x14ac:dyDescent="0.3">
      <c r="B31" t="s">
        <v>109</v>
      </c>
      <c r="C31" s="106">
        <f>C25-C28</f>
        <v>0</v>
      </c>
      <c r="D31" s="106">
        <f t="shared" ref="D31:L31" si="11">D25-D28</f>
        <v>0</v>
      </c>
      <c r="E31" s="106">
        <f t="shared" si="11"/>
        <v>0</v>
      </c>
      <c r="F31" s="106">
        <f t="shared" si="11"/>
        <v>98.679999999999836</v>
      </c>
      <c r="G31" s="106">
        <f t="shared" si="11"/>
        <v>57.180000000000064</v>
      </c>
      <c r="H31" s="106">
        <f t="shared" si="11"/>
        <v>115.7800000000002</v>
      </c>
      <c r="I31" s="106">
        <f t="shared" si="11"/>
        <v>766.64999999999964</v>
      </c>
      <c r="J31" s="106">
        <f t="shared" si="11"/>
        <v>1748.6200000000026</v>
      </c>
      <c r="K31" s="106">
        <f t="shared" si="11"/>
        <v>3057.0000000000018</v>
      </c>
      <c r="L31" s="106">
        <f t="shared" si="11"/>
        <v>6691.0999999999985</v>
      </c>
    </row>
    <row r="32" spans="2:12" x14ac:dyDescent="0.3">
      <c r="B32" t="s">
        <v>110</v>
      </c>
      <c r="C32" s="112" t="e">
        <f>C31/C7</f>
        <v>#DIV/0!</v>
      </c>
      <c r="D32" s="112" t="e">
        <f t="shared" ref="D32:L32" si="12">D31/D7</f>
        <v>#DIV/0!</v>
      </c>
      <c r="E32" s="112" t="e">
        <f t="shared" si="12"/>
        <v>#DIV/0!</v>
      </c>
      <c r="F32" s="112">
        <f t="shared" si="12"/>
        <v>4.9438877755510938E-2</v>
      </c>
      <c r="G32" s="112">
        <f t="shared" si="12"/>
        <v>2.9278033794162859E-2</v>
      </c>
      <c r="H32" s="112">
        <f t="shared" si="12"/>
        <v>4.0567624386825575E-2</v>
      </c>
      <c r="I32" s="112">
        <f t="shared" si="12"/>
        <v>0.11356095393275065</v>
      </c>
      <c r="J32" s="112">
        <f t="shared" si="12"/>
        <v>0.15341463414634168</v>
      </c>
      <c r="K32" s="112">
        <f t="shared" si="12"/>
        <v>0.21164497369149832</v>
      </c>
      <c r="L32" s="112">
        <f t="shared" si="12"/>
        <v>0.25214229189433618</v>
      </c>
    </row>
    <row r="34" spans="2:12" x14ac:dyDescent="0.3">
      <c r="B34" t="s">
        <v>111</v>
      </c>
      <c r="C34" s="107">
        <f>'Data Sheet'!B29</f>
        <v>0</v>
      </c>
      <c r="D34" s="107">
        <f>'Data Sheet'!C29</f>
        <v>0</v>
      </c>
      <c r="E34" s="107">
        <f>'Data Sheet'!D29</f>
        <v>0</v>
      </c>
      <c r="F34" s="107">
        <f>'Data Sheet'!E29</f>
        <v>57</v>
      </c>
      <c r="G34" s="107">
        <f>'Data Sheet'!F29</f>
        <v>70</v>
      </c>
      <c r="H34" s="107">
        <f>'Data Sheet'!G29</f>
        <v>118</v>
      </c>
      <c r="I34" s="107">
        <f>'Data Sheet'!H29</f>
        <v>677</v>
      </c>
      <c r="J34" s="107">
        <f>'Data Sheet'!I29</f>
        <v>1734</v>
      </c>
      <c r="K34" s="107">
        <f>'Data Sheet'!J29</f>
        <v>2565</v>
      </c>
      <c r="L34" s="107">
        <f>'Data Sheet'!K29</f>
        <v>5052</v>
      </c>
    </row>
    <row r="35" spans="2:12" x14ac:dyDescent="0.3">
      <c r="B35" t="s">
        <v>112</v>
      </c>
      <c r="C35" s="112" t="e">
        <f>C34/C31</f>
        <v>#DIV/0!</v>
      </c>
      <c r="D35" s="112" t="e">
        <f t="shared" ref="D35:L35" si="13">D34/D31</f>
        <v>#DIV/0!</v>
      </c>
      <c r="E35" s="112" t="e">
        <f t="shared" si="13"/>
        <v>#DIV/0!</v>
      </c>
      <c r="F35" s="112">
        <f t="shared" si="13"/>
        <v>0.57762464531820124</v>
      </c>
      <c r="G35" s="112">
        <f t="shared" si="13"/>
        <v>1.2242042672263016</v>
      </c>
      <c r="H35" s="112">
        <f t="shared" si="13"/>
        <v>1.0191742960787684</v>
      </c>
      <c r="I35" s="112">
        <f t="shared" si="13"/>
        <v>0.88306267527554994</v>
      </c>
      <c r="J35" s="112">
        <f t="shared" si="13"/>
        <v>0.99163912113552255</v>
      </c>
      <c r="K35" s="112">
        <f t="shared" si="13"/>
        <v>0.83905789990186408</v>
      </c>
      <c r="L35" s="112">
        <f t="shared" si="13"/>
        <v>0.75503280477051626</v>
      </c>
    </row>
    <row r="37" spans="2:12" x14ac:dyDescent="0.3">
      <c r="B37" t="s">
        <v>123</v>
      </c>
      <c r="C37" s="106">
        <f>C31-C34</f>
        <v>0</v>
      </c>
      <c r="D37" s="106">
        <f t="shared" ref="D37:L37" si="14">D31-D34</f>
        <v>0</v>
      </c>
      <c r="E37" s="106">
        <f t="shared" si="14"/>
        <v>0</v>
      </c>
      <c r="F37" s="106">
        <f t="shared" si="14"/>
        <v>41.679999999999836</v>
      </c>
      <c r="G37" s="106">
        <f t="shared" si="14"/>
        <v>-12.819999999999936</v>
      </c>
      <c r="H37" s="106">
        <f t="shared" si="14"/>
        <v>-2.2199999999997999</v>
      </c>
      <c r="I37" s="106">
        <f t="shared" si="14"/>
        <v>89.649999999999636</v>
      </c>
      <c r="J37" s="106">
        <f t="shared" si="14"/>
        <v>14.620000000002619</v>
      </c>
      <c r="K37" s="106">
        <f t="shared" si="14"/>
        <v>492.00000000000182</v>
      </c>
      <c r="L37" s="106">
        <f t="shared" si="14"/>
        <v>1639.0999999999985</v>
      </c>
    </row>
    <row r="38" spans="2:12" x14ac:dyDescent="0.3">
      <c r="B38" t="s">
        <v>124</v>
      </c>
      <c r="C38" s="112" t="e">
        <f>C37/C7</f>
        <v>#DIV/0!</v>
      </c>
      <c r="D38" s="112" t="e">
        <f t="shared" ref="D38:L38" si="15">D37/D7</f>
        <v>#DIV/0!</v>
      </c>
      <c r="E38" s="112" t="e">
        <f t="shared" si="15"/>
        <v>#DIV/0!</v>
      </c>
      <c r="F38" s="112">
        <f t="shared" si="15"/>
        <v>2.0881763527054027E-2</v>
      </c>
      <c r="G38" s="112">
        <f t="shared" si="15"/>
        <v>-6.5642601126471769E-3</v>
      </c>
      <c r="H38" s="112">
        <f t="shared" si="15"/>
        <v>-7.7785564120525571E-4</v>
      </c>
      <c r="I38" s="112">
        <f t="shared" si="15"/>
        <v>1.3279514146052383E-2</v>
      </c>
      <c r="J38" s="112">
        <f t="shared" si="15"/>
        <v>1.2826811721356921E-3</v>
      </c>
      <c r="K38" s="112">
        <f t="shared" si="15"/>
        <v>3.406258654112447E-2</v>
      </c>
      <c r="L38" s="112">
        <f t="shared" si="15"/>
        <v>6.1766590044089333E-2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18.399999999999999</v>
      </c>
      <c r="G40">
        <f>'Data Sheet'!F93</f>
        <v>18.399999999999999</v>
      </c>
      <c r="H40">
        <f>'Data Sheet'!G93</f>
        <v>18.399999999999999</v>
      </c>
      <c r="I40">
        <f>'Data Sheet'!H93</f>
        <v>18.399999999999999</v>
      </c>
      <c r="J40">
        <f>'Data Sheet'!I93</f>
        <v>18.399999999999999</v>
      </c>
      <c r="K40">
        <f>'Data Sheet'!J93</f>
        <v>18.399999999999999</v>
      </c>
      <c r="L40">
        <f>'Data Sheet'!K93</f>
        <v>18.399999999999999</v>
      </c>
    </row>
    <row r="42" spans="2:12" x14ac:dyDescent="0.3">
      <c r="B42" t="s">
        <v>113</v>
      </c>
      <c r="C42" s="106">
        <f>C37/C40</f>
        <v>0</v>
      </c>
      <c r="D42" s="106">
        <f t="shared" ref="D42:L42" si="16">D37/D40</f>
        <v>0</v>
      </c>
      <c r="E42" s="106">
        <f t="shared" si="16"/>
        <v>0</v>
      </c>
      <c r="F42" s="106">
        <f t="shared" si="16"/>
        <v>2.265217391304339</v>
      </c>
      <c r="G42" s="106">
        <f t="shared" si="16"/>
        <v>-0.6967391304347792</v>
      </c>
      <c r="H42" s="106">
        <f t="shared" si="16"/>
        <v>-0.12065217391303261</v>
      </c>
      <c r="I42" s="106">
        <f t="shared" si="16"/>
        <v>4.8722826086956328</v>
      </c>
      <c r="J42" s="106">
        <f t="shared" si="16"/>
        <v>0.79456521739144681</v>
      </c>
      <c r="K42" s="106">
        <f t="shared" si="16"/>
        <v>26.739130434782709</v>
      </c>
      <c r="L42" s="106">
        <f t="shared" si="16"/>
        <v>89.081521739130366</v>
      </c>
    </row>
    <row r="43" spans="2:12" x14ac:dyDescent="0.3">
      <c r="B43" t="s">
        <v>114</v>
      </c>
      <c r="C43" s="111" t="s">
        <v>120</v>
      </c>
      <c r="D43" s="111" t="e">
        <f>D42/C42-1</f>
        <v>#DIV/0!</v>
      </c>
      <c r="E43" s="111" t="e">
        <f t="shared" ref="E43:L43" si="17">E42/D42-1</f>
        <v>#DIV/0!</v>
      </c>
      <c r="F43" s="111" t="e">
        <f t="shared" si="17"/>
        <v>#DIV/0!</v>
      </c>
      <c r="G43" s="111">
        <f t="shared" si="17"/>
        <v>-1.307581573896353</v>
      </c>
      <c r="H43" s="111">
        <f t="shared" si="17"/>
        <v>-0.82683307332294764</v>
      </c>
      <c r="I43" s="111">
        <f t="shared" si="17"/>
        <v>-41.382882882886364</v>
      </c>
      <c r="J43" s="111">
        <f t="shared" si="17"/>
        <v>-0.83692136084771129</v>
      </c>
      <c r="K43" s="111">
        <f t="shared" si="17"/>
        <v>32.652530779747856</v>
      </c>
      <c r="L43" s="111">
        <f t="shared" si="17"/>
        <v>2.3315040650406353</v>
      </c>
    </row>
    <row r="45" spans="2:12" x14ac:dyDescent="0.3">
      <c r="B45" t="s">
        <v>115</v>
      </c>
      <c r="C45" s="106">
        <f>'Data Sheet'!B31/'Historical FS'!C40</f>
        <v>0</v>
      </c>
      <c r="D45" s="106">
        <f>'Data Sheet'!C31/'Historical FS'!D40</f>
        <v>0</v>
      </c>
      <c r="E45" s="106">
        <f>'Data Sheet'!D31/'Historical FS'!E40</f>
        <v>0</v>
      </c>
      <c r="F45" s="106">
        <f>'Data Sheet'!E31/'Historical FS'!F40</f>
        <v>0</v>
      </c>
      <c r="G45" s="106">
        <f>'Data Sheet'!F31/'Historical FS'!G40</f>
        <v>0</v>
      </c>
      <c r="H45" s="106">
        <f>'Data Sheet'!G31/'Historical FS'!H40</f>
        <v>0</v>
      </c>
      <c r="I45" s="106">
        <f>'Data Sheet'!H31/'Historical FS'!I40</f>
        <v>0</v>
      </c>
      <c r="J45" s="106">
        <f>'Data Sheet'!I31/'Historical FS'!J40</f>
        <v>0</v>
      </c>
      <c r="K45" s="106">
        <f>'Data Sheet'!J31/'Historical FS'!K40</f>
        <v>0</v>
      </c>
      <c r="L45" s="106">
        <f>'Data Sheet'!K31/'Historical FS'!L40</f>
        <v>6.3326086956521745</v>
      </c>
    </row>
    <row r="46" spans="2:12" x14ac:dyDescent="0.3">
      <c r="B46" t="s">
        <v>116</v>
      </c>
      <c r="C46" s="112" t="e">
        <f>C45/C42</f>
        <v>#DIV/0!</v>
      </c>
      <c r="D46" s="112" t="e">
        <f t="shared" ref="D46:L46" si="18">D45/D42</f>
        <v>#DIV/0!</v>
      </c>
      <c r="E46" s="112" t="e">
        <f t="shared" si="18"/>
        <v>#DIV/0!</v>
      </c>
      <c r="F46" s="112">
        <f t="shared" si="18"/>
        <v>0</v>
      </c>
      <c r="G46" s="112">
        <f t="shared" si="18"/>
        <v>0</v>
      </c>
      <c r="H46" s="112">
        <f t="shared" si="18"/>
        <v>0</v>
      </c>
      <c r="I46" s="112">
        <f t="shared" si="18"/>
        <v>0</v>
      </c>
      <c r="J46" s="112">
        <f t="shared" si="18"/>
        <v>0</v>
      </c>
      <c r="K46" s="112">
        <f t="shared" si="18"/>
        <v>0</v>
      </c>
      <c r="L46" s="112">
        <f t="shared" si="18"/>
        <v>7.1087792081020132E-2</v>
      </c>
    </row>
    <row r="48" spans="2:12" x14ac:dyDescent="0.3">
      <c r="B48" t="s">
        <v>117</v>
      </c>
      <c r="C48" s="36" t="e">
        <f>(1-C46)</f>
        <v>#DIV/0!</v>
      </c>
      <c r="D48" s="36" t="e">
        <f t="shared" ref="D48:L48" si="19">(1-D46)</f>
        <v>#DIV/0!</v>
      </c>
      <c r="E48" s="36" t="e">
        <f t="shared" si="19"/>
        <v>#DIV/0!</v>
      </c>
      <c r="F48" s="36">
        <f t="shared" si="19"/>
        <v>1</v>
      </c>
      <c r="G48" s="36">
        <f t="shared" si="19"/>
        <v>1</v>
      </c>
      <c r="H48" s="36">
        <f t="shared" si="19"/>
        <v>1</v>
      </c>
      <c r="I48" s="36">
        <f t="shared" si="19"/>
        <v>1</v>
      </c>
      <c r="J48" s="36">
        <f t="shared" si="19"/>
        <v>1</v>
      </c>
      <c r="K48" s="36">
        <f t="shared" si="19"/>
        <v>1</v>
      </c>
      <c r="L48" s="36">
        <f t="shared" si="19"/>
        <v>0.92891220791897988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0</v>
      </c>
      <c r="D51" s="106">
        <f>'Data Sheet'!C57</f>
        <v>0</v>
      </c>
      <c r="E51" s="106">
        <f>'Data Sheet'!D57</f>
        <v>0</v>
      </c>
      <c r="F51" s="106">
        <f>'Data Sheet'!E57</f>
        <v>197</v>
      </c>
      <c r="G51" s="106">
        <f>'Data Sheet'!F57</f>
        <v>197</v>
      </c>
      <c r="H51" s="106">
        <f>'Data Sheet'!G57</f>
        <v>197</v>
      </c>
      <c r="I51" s="106">
        <f>'Data Sheet'!H57</f>
        <v>243</v>
      </c>
      <c r="J51" s="106">
        <f>'Data Sheet'!I57</f>
        <v>263</v>
      </c>
      <c r="K51" s="106">
        <f>'Data Sheet'!J57</f>
        <v>287</v>
      </c>
      <c r="L51" s="106">
        <f>'Data Sheet'!K57</f>
        <v>288</v>
      </c>
    </row>
    <row r="52" spans="2:15" x14ac:dyDescent="0.3">
      <c r="B52" s="33" t="str">
        <f>'Data Sheet'!A58</f>
        <v>Reserves</v>
      </c>
      <c r="C52" s="106">
        <f>'Data Sheet'!B58</f>
        <v>0</v>
      </c>
      <c r="D52" s="106">
        <f>'Data Sheet'!C58</f>
        <v>0</v>
      </c>
      <c r="E52" s="106">
        <f>'Data Sheet'!D58</f>
        <v>0</v>
      </c>
      <c r="F52" s="106">
        <f>'Data Sheet'!E58</f>
        <v>101</v>
      </c>
      <c r="G52" s="106">
        <f>'Data Sheet'!F58</f>
        <v>148</v>
      </c>
      <c r="H52" s="106">
        <f>'Data Sheet'!G58</f>
        <v>231</v>
      </c>
      <c r="I52" s="106">
        <f>'Data Sheet'!H58</f>
        <v>1595</v>
      </c>
      <c r="J52" s="106">
        <f>'Data Sheet'!I58</f>
        <v>3825</v>
      </c>
      <c r="K52" s="106">
        <f>'Data Sheet'!J58</f>
        <v>9192</v>
      </c>
      <c r="L52" s="106">
        <f>'Data Sheet'!K58</f>
        <v>14150</v>
      </c>
    </row>
    <row r="53" spans="2:15" x14ac:dyDescent="0.3">
      <c r="B53" s="33" t="str">
        <f>'Data Sheet'!A59</f>
        <v>Borrowings</v>
      </c>
      <c r="C53" s="106">
        <f>'Data Sheet'!B59</f>
        <v>0</v>
      </c>
      <c r="D53" s="106">
        <f>'Data Sheet'!C59</f>
        <v>0</v>
      </c>
      <c r="E53" s="106">
        <f>'Data Sheet'!D59</f>
        <v>0</v>
      </c>
      <c r="F53" s="106">
        <f>'Data Sheet'!E59</f>
        <v>157</v>
      </c>
      <c r="G53" s="106">
        <f>'Data Sheet'!F59</f>
        <v>340</v>
      </c>
      <c r="H53" s="106">
        <f>'Data Sheet'!G59</f>
        <v>363</v>
      </c>
      <c r="I53" s="106">
        <f>'Data Sheet'!H59</f>
        <v>320</v>
      </c>
      <c r="J53" s="106">
        <f>'Data Sheet'!I59</f>
        <v>553</v>
      </c>
      <c r="K53" s="106">
        <f>'Data Sheet'!J59</f>
        <v>1199</v>
      </c>
      <c r="L53" s="106">
        <f>'Data Sheet'!K59</f>
        <v>3213</v>
      </c>
    </row>
    <row r="54" spans="2:15" x14ac:dyDescent="0.3">
      <c r="B54" s="33" t="str">
        <f>'Data Sheet'!A60</f>
        <v>Other Liabilities</v>
      </c>
      <c r="C54" s="106">
        <f>'Data Sheet'!B60</f>
        <v>0</v>
      </c>
      <c r="D54" s="106">
        <f>'Data Sheet'!C60</f>
        <v>0</v>
      </c>
      <c r="E54" s="106">
        <f>'Data Sheet'!D60</f>
        <v>0</v>
      </c>
      <c r="F54" s="106">
        <f>'Data Sheet'!E60</f>
        <v>483</v>
      </c>
      <c r="G54" s="106">
        <f>'Data Sheet'!F60</f>
        <v>596</v>
      </c>
      <c r="H54" s="106">
        <f>'Data Sheet'!G60</f>
        <v>1362</v>
      </c>
      <c r="I54" s="106">
        <f>'Data Sheet'!H60</f>
        <v>5247</v>
      </c>
      <c r="J54" s="106">
        <f>'Data Sheet'!I60</f>
        <v>6635</v>
      </c>
      <c r="K54" s="106">
        <f>'Data Sheet'!J60</f>
        <v>8766</v>
      </c>
      <c r="L54" s="106">
        <f>'Data Sheet'!K60</f>
        <v>12335</v>
      </c>
    </row>
    <row r="55" spans="2:15" x14ac:dyDescent="0.3">
      <c r="B55" s="33" t="s">
        <v>95</v>
      </c>
      <c r="C55" s="106">
        <f>SUM(C51:C54)</f>
        <v>0</v>
      </c>
      <c r="D55" s="106">
        <f t="shared" ref="D55:L55" si="20">SUM(D51:D54)</f>
        <v>0</v>
      </c>
      <c r="E55" s="106">
        <f t="shared" si="20"/>
        <v>0</v>
      </c>
      <c r="F55" s="106">
        <f t="shared" si="20"/>
        <v>938</v>
      </c>
      <c r="G55" s="106">
        <f t="shared" si="20"/>
        <v>1281</v>
      </c>
      <c r="H55" s="106">
        <f t="shared" si="20"/>
        <v>2153</v>
      </c>
      <c r="I55" s="106">
        <f t="shared" si="20"/>
        <v>7405</v>
      </c>
      <c r="J55" s="106">
        <f t="shared" si="20"/>
        <v>11276</v>
      </c>
      <c r="K55" s="106">
        <f t="shared" si="20"/>
        <v>19444</v>
      </c>
      <c r="L55" s="106">
        <f t="shared" si="20"/>
        <v>29986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0</v>
      </c>
      <c r="D57" s="106">
        <f>'Data Sheet'!C62</f>
        <v>0</v>
      </c>
      <c r="E57" s="106">
        <f>'Data Sheet'!D62</f>
        <v>0</v>
      </c>
      <c r="F57" s="106">
        <f>'Data Sheet'!E62</f>
        <v>152</v>
      </c>
      <c r="G57" s="106">
        <f>'Data Sheet'!F62</f>
        <v>285</v>
      </c>
      <c r="H57" s="106">
        <f>'Data Sheet'!G62</f>
        <v>625</v>
      </c>
      <c r="I57" s="106">
        <f>'Data Sheet'!H62</f>
        <v>1105</v>
      </c>
      <c r="J57" s="106">
        <f>'Data Sheet'!I62</f>
        <v>1450</v>
      </c>
      <c r="K57" s="106">
        <f>'Data Sheet'!J62</f>
        <v>4026</v>
      </c>
      <c r="L57" s="106">
        <f>'Data Sheet'!K62</f>
        <v>7328</v>
      </c>
    </row>
    <row r="58" spans="2:15" x14ac:dyDescent="0.3">
      <c r="B58" s="33" t="str">
        <f>'Data Sheet'!A63</f>
        <v>Capital Work in Progress</v>
      </c>
      <c r="C58" s="106">
        <f>'Data Sheet'!B63</f>
        <v>0</v>
      </c>
      <c r="D58" s="106">
        <f>'Data Sheet'!C63</f>
        <v>0</v>
      </c>
      <c r="E58" s="106">
        <f>'Data Sheet'!D63</f>
        <v>0</v>
      </c>
      <c r="F58" s="106">
        <f>'Data Sheet'!E63</f>
        <v>40</v>
      </c>
      <c r="G58" s="106">
        <f>'Data Sheet'!F63</f>
        <v>3</v>
      </c>
      <c r="H58" s="106">
        <f>'Data Sheet'!G63</f>
        <v>124</v>
      </c>
      <c r="I58" s="106">
        <f>'Data Sheet'!H63</f>
        <v>537</v>
      </c>
      <c r="J58" s="106">
        <f>'Data Sheet'!I63</f>
        <v>1341</v>
      </c>
      <c r="K58" s="106">
        <f>'Data Sheet'!J63</f>
        <v>1884</v>
      </c>
      <c r="L58" s="106">
        <f>'Data Sheet'!K63</f>
        <v>3477</v>
      </c>
    </row>
    <row r="59" spans="2:15" x14ac:dyDescent="0.3">
      <c r="B59" s="33" t="str">
        <f>'Data Sheet'!A64</f>
        <v>Investments</v>
      </c>
      <c r="C59" s="106">
        <f>'Data Sheet'!B64</f>
        <v>0</v>
      </c>
      <c r="D59" s="106">
        <f>'Data Sheet'!C64</f>
        <v>0</v>
      </c>
      <c r="E59" s="106">
        <f>'Data Sheet'!D64</f>
        <v>0</v>
      </c>
      <c r="F59" s="106">
        <f>'Data Sheet'!E64</f>
        <v>85</v>
      </c>
      <c r="G59" s="106">
        <f>'Data Sheet'!F64</f>
        <v>115</v>
      </c>
      <c r="H59" s="106">
        <f>'Data Sheet'!G64</f>
        <v>143</v>
      </c>
      <c r="I59" s="106">
        <f>'Data Sheet'!H64</f>
        <v>31</v>
      </c>
      <c r="J59" s="106">
        <f>'Data Sheet'!I64</f>
        <v>71</v>
      </c>
      <c r="K59" s="106">
        <f>'Data Sheet'!J64</f>
        <v>65</v>
      </c>
      <c r="L59" s="106">
        <f>'Data Sheet'!K64</f>
        <v>953</v>
      </c>
    </row>
    <row r="60" spans="2:15" x14ac:dyDescent="0.3">
      <c r="B60" s="33" t="str">
        <f>'Data Sheet'!A65</f>
        <v>Other Assets</v>
      </c>
      <c r="C60" s="106">
        <f>'Data Sheet'!B75</f>
        <v>0</v>
      </c>
      <c r="D60" s="106">
        <f>'Data Sheet'!C75</f>
        <v>0</v>
      </c>
      <c r="E60" s="106">
        <f>'Data Sheet'!D75</f>
        <v>0</v>
      </c>
      <c r="F60" s="106">
        <f>'Data Sheet'!E75</f>
        <v>199</v>
      </c>
      <c r="G60" s="106">
        <f>'Data Sheet'!F75</f>
        <v>283</v>
      </c>
      <c r="H60" s="106">
        <f>'Data Sheet'!G75</f>
        <v>265</v>
      </c>
      <c r="I60" s="106">
        <f>'Data Sheet'!H75</f>
        <v>974</v>
      </c>
      <c r="J60" s="106">
        <f>'Data Sheet'!I75</f>
        <v>1078</v>
      </c>
      <c r="K60" s="106">
        <f>'Data Sheet'!J75</f>
        <v>1976</v>
      </c>
      <c r="L60" s="106">
        <f>'Data Sheet'!K75</f>
        <v>3151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0</v>
      </c>
      <c r="D61" s="106">
        <f>SUM(D57:D60)</f>
        <v>0</v>
      </c>
      <c r="E61" s="106">
        <f t="shared" ref="E61:L61" si="21">SUM(E57:E60)</f>
        <v>0</v>
      </c>
      <c r="F61" s="106">
        <f t="shared" si="21"/>
        <v>476</v>
      </c>
      <c r="G61" s="106">
        <f t="shared" si="21"/>
        <v>686</v>
      </c>
      <c r="H61" s="106">
        <f t="shared" si="21"/>
        <v>1157</v>
      </c>
      <c r="I61" s="106">
        <f t="shared" si="21"/>
        <v>2647</v>
      </c>
      <c r="J61" s="106">
        <f t="shared" si="21"/>
        <v>3940</v>
      </c>
      <c r="K61" s="106">
        <f t="shared" si="21"/>
        <v>7951</v>
      </c>
      <c r="L61" s="106">
        <f t="shared" si="21"/>
        <v>14909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0</v>
      </c>
      <c r="D63" s="106">
        <f>'Data Sheet'!C67</f>
        <v>0</v>
      </c>
      <c r="E63" s="106">
        <f>'Data Sheet'!D67</f>
        <v>0</v>
      </c>
      <c r="F63" s="106">
        <f>'Data Sheet'!E67</f>
        <v>140</v>
      </c>
      <c r="G63" s="106">
        <f>'Data Sheet'!F67</f>
        <v>117</v>
      </c>
      <c r="H63" s="106">
        <f>'Data Sheet'!G67</f>
        <v>93</v>
      </c>
      <c r="I63" s="106">
        <f>'Data Sheet'!H67</f>
        <v>313</v>
      </c>
      <c r="J63" s="106">
        <f>'Data Sheet'!I67</f>
        <v>971</v>
      </c>
      <c r="K63" s="106">
        <f>'Data Sheet'!J67</f>
        <v>1053</v>
      </c>
      <c r="L63" s="106">
        <f>'Data Sheet'!K67</f>
        <v>2492</v>
      </c>
    </row>
    <row r="64" spans="2:15" x14ac:dyDescent="0.3">
      <c r="B64" s="33" t="str">
        <f>'Data Sheet'!A68</f>
        <v>Inventory</v>
      </c>
      <c r="C64" s="106">
        <f>'Data Sheet'!B68</f>
        <v>0</v>
      </c>
      <c r="D64" s="106">
        <f>'Data Sheet'!C68</f>
        <v>0</v>
      </c>
      <c r="E64" s="106">
        <f>'Data Sheet'!D68</f>
        <v>0</v>
      </c>
      <c r="F64" s="106">
        <f>'Data Sheet'!E68</f>
        <v>243</v>
      </c>
      <c r="G64" s="106">
        <f>'Data Sheet'!F68</f>
        <v>368</v>
      </c>
      <c r="H64" s="106">
        <f>'Data Sheet'!G68</f>
        <v>538</v>
      </c>
      <c r="I64" s="106">
        <f>'Data Sheet'!H68</f>
        <v>2709</v>
      </c>
      <c r="J64" s="106">
        <f>'Data Sheet'!I68</f>
        <v>2586</v>
      </c>
      <c r="K64" s="106">
        <f>'Data Sheet'!J68</f>
        <v>2692</v>
      </c>
      <c r="L64" s="106">
        <f>'Data Sheet'!K68</f>
        <v>5856</v>
      </c>
    </row>
    <row r="65" spans="2:13" x14ac:dyDescent="0.3">
      <c r="B65" s="33" t="str">
        <f>'Data Sheet'!A69</f>
        <v>Cash &amp; Bank</v>
      </c>
      <c r="C65" s="106">
        <f>'Data Sheet'!B69</f>
        <v>0</v>
      </c>
      <c r="D65" s="106">
        <f>'Data Sheet'!C69</f>
        <v>0</v>
      </c>
      <c r="E65" s="106">
        <f>'Data Sheet'!D69</f>
        <v>0</v>
      </c>
      <c r="F65" s="106">
        <f>'Data Sheet'!E69</f>
        <v>79</v>
      </c>
      <c r="G65" s="106">
        <f>'Data Sheet'!F69</f>
        <v>110</v>
      </c>
      <c r="H65" s="106">
        <f>'Data Sheet'!G69</f>
        <v>366</v>
      </c>
      <c r="I65" s="106">
        <f>'Data Sheet'!H69</f>
        <v>1736</v>
      </c>
      <c r="J65" s="106">
        <f>'Data Sheet'!I69</f>
        <v>3779</v>
      </c>
      <c r="K65" s="106">
        <f>'Data Sheet'!J69</f>
        <v>7748</v>
      </c>
      <c r="L65" s="106">
        <f>'Data Sheet'!K69</f>
        <v>6728</v>
      </c>
    </row>
    <row r="66" spans="2:13" x14ac:dyDescent="0.3">
      <c r="B66" s="33" t="s">
        <v>126</v>
      </c>
      <c r="C66" s="106">
        <f>SUM(C63:C65)</f>
        <v>0</v>
      </c>
      <c r="D66" s="106">
        <f t="shared" ref="D66:L66" si="22">SUM(D63:D65)</f>
        <v>0</v>
      </c>
      <c r="E66" s="106">
        <f t="shared" si="22"/>
        <v>0</v>
      </c>
      <c r="F66" s="106">
        <f t="shared" si="22"/>
        <v>462</v>
      </c>
      <c r="G66" s="106">
        <f t="shared" si="22"/>
        <v>595</v>
      </c>
      <c r="H66" s="106">
        <f t="shared" si="22"/>
        <v>997</v>
      </c>
      <c r="I66" s="106">
        <f t="shared" si="22"/>
        <v>4758</v>
      </c>
      <c r="J66" s="106">
        <f t="shared" si="22"/>
        <v>7336</v>
      </c>
      <c r="K66" s="106">
        <f t="shared" si="22"/>
        <v>11493</v>
      </c>
      <c r="L66" s="106">
        <f t="shared" si="22"/>
        <v>15076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0</v>
      </c>
      <c r="D68" s="106">
        <f t="shared" ref="D68:L68" si="23">D61+D66</f>
        <v>0</v>
      </c>
      <c r="E68" s="106">
        <f t="shared" si="23"/>
        <v>0</v>
      </c>
      <c r="F68" s="106">
        <f t="shared" si="23"/>
        <v>938</v>
      </c>
      <c r="G68" s="106">
        <f t="shared" si="23"/>
        <v>1281</v>
      </c>
      <c r="H68" s="106">
        <f t="shared" si="23"/>
        <v>2154</v>
      </c>
      <c r="I68" s="106">
        <f t="shared" si="23"/>
        <v>7405</v>
      </c>
      <c r="J68" s="106">
        <f t="shared" si="23"/>
        <v>11276</v>
      </c>
      <c r="K68" s="106">
        <f t="shared" si="23"/>
        <v>19444</v>
      </c>
      <c r="L68" s="106">
        <f t="shared" si="23"/>
        <v>29985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0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191</v>
      </c>
      <c r="D74" s="106">
        <f>'Cash Flow Statement'!F7</f>
        <v>941</v>
      </c>
      <c r="E74" s="106">
        <f>'Cash Flow Statement'!G7</f>
        <v>2049</v>
      </c>
      <c r="F74" s="106">
        <f>'Cash Flow Statement'!H7</f>
        <v>2744</v>
      </c>
      <c r="G74" s="106">
        <f>'Cash Flow Statement'!I7</f>
        <v>5916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21</v>
      </c>
      <c r="D75" s="106">
        <f>'Cash Flow Statement'!F8</f>
        <v>-215</v>
      </c>
      <c r="E75" s="106">
        <f>'Cash Flow Statement'!G8</f>
        <v>-670</v>
      </c>
      <c r="F75" s="106">
        <f>'Cash Flow Statement'!H8</f>
        <v>-223</v>
      </c>
      <c r="G75" s="106">
        <f>'Cash Flow Statement'!I8</f>
        <v>-1425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-170</v>
      </c>
      <c r="D76" s="106">
        <f>'Cash Flow Statement'!F9</f>
        <v>-2171</v>
      </c>
      <c r="E76" s="106">
        <f>'Cash Flow Statement'!G9</f>
        <v>123</v>
      </c>
      <c r="F76" s="106">
        <f>'Cash Flow Statement'!H9</f>
        <v>-107</v>
      </c>
      <c r="G76" s="106">
        <f>'Cash Flow Statement'!I9</f>
        <v>-3164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178</v>
      </c>
      <c r="D77" s="106">
        <f>'Cash Flow Statement'!F10</f>
        <v>1073</v>
      </c>
      <c r="E77" s="106">
        <f>'Cash Flow Statement'!G10</f>
        <v>-6</v>
      </c>
      <c r="F77" s="106">
        <f>'Cash Flow Statement'!H10</f>
        <v>557</v>
      </c>
      <c r="G77" s="106">
        <f>'Cash Flow Statement'!I10</f>
        <v>1054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533</v>
      </c>
      <c r="D78" s="106">
        <f>'Cash Flow Statement'!F11</f>
        <v>720</v>
      </c>
      <c r="E78" s="106">
        <f>'Cash Flow Statement'!G11</f>
        <v>592</v>
      </c>
      <c r="F78" s="106">
        <f>'Cash Flow Statement'!H11</f>
        <v>1157</v>
      </c>
      <c r="G78" s="106">
        <f>'Cash Flow Statement'!I11</f>
        <v>-3140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-26</v>
      </c>
      <c r="D79" s="106">
        <f>'Cash Flow Statement'!F12</f>
        <v>-100</v>
      </c>
      <c r="E79" s="106">
        <f>'Cash Flow Statement'!G12</f>
        <v>-335</v>
      </c>
      <c r="F79" s="106">
        <f>'Cash Flow Statement'!H12</f>
        <v>-743</v>
      </c>
      <c r="G79" s="106">
        <f>'Cash Flow Statement'!I12</f>
        <v>-1149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727</v>
      </c>
      <c r="D80" s="106">
        <f t="shared" si="25"/>
        <v>248</v>
      </c>
      <c r="E80" s="106">
        <f t="shared" si="25"/>
        <v>1753</v>
      </c>
      <c r="F80" s="106">
        <f>SUM(F74:F79)</f>
        <v>3385</v>
      </c>
      <c r="G80" s="106">
        <f t="shared" si="25"/>
        <v>-1908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-496</v>
      </c>
      <c r="D83" s="106">
        <f>'Cash Flow Statement'!F14</f>
        <v>-865</v>
      </c>
      <c r="E83" s="106">
        <f>'Cash Flow Statement'!G14</f>
        <v>-1342</v>
      </c>
      <c r="F83" s="106">
        <f>'Cash Flow Statement'!H14</f>
        <v>-3274</v>
      </c>
      <c r="G83" s="106">
        <f>'Cash Flow Statement'!I14</f>
        <v>-4882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1</v>
      </c>
      <c r="D84" s="106">
        <f>'Cash Flow Statement'!F15</f>
        <v>4</v>
      </c>
      <c r="E84" s="106">
        <f>'Cash Flow Statement'!G15</f>
        <v>5</v>
      </c>
      <c r="F84" s="106">
        <f>'Cash Flow Statement'!H15</f>
        <v>1</v>
      </c>
      <c r="G84" s="106">
        <f>'Cash Flow Statement'!I15</f>
        <v>46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-161</v>
      </c>
      <c r="D85" s="106">
        <f>'Cash Flow Statement'!F16</f>
        <v>0</v>
      </c>
      <c r="E85" s="106">
        <f>'Cash Flow Statement'!G16</f>
        <v>-1913</v>
      </c>
      <c r="F85" s="106">
        <f>'Cash Flow Statement'!H16</f>
        <v>-5128</v>
      </c>
      <c r="G85" s="106">
        <f>'Cash Flow Statement'!I16</f>
        <v>-5533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31</v>
      </c>
      <c r="D86" s="106">
        <f>'Cash Flow Statement'!F17</f>
        <v>109</v>
      </c>
      <c r="E86" s="106">
        <f>'Cash Flow Statement'!G17</f>
        <v>1906</v>
      </c>
      <c r="F86" s="106">
        <f>'Cash Flow Statement'!H17</f>
        <v>5151</v>
      </c>
      <c r="G86" s="106">
        <f>'Cash Flow Statement'!I17</f>
        <v>4688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9</v>
      </c>
      <c r="D87" s="106">
        <f>'Cash Flow Statement'!F18</f>
        <v>30</v>
      </c>
      <c r="E87" s="106">
        <f>'Cash Flow Statement'!G18</f>
        <v>125</v>
      </c>
      <c r="F87" s="106">
        <f>'Cash Flow Statement'!H18</f>
        <v>298</v>
      </c>
      <c r="G87" s="106">
        <f>'Cash Flow Statement'!I18</f>
        <v>543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0</v>
      </c>
      <c r="D88" s="106">
        <f>'Cash Flow Statement'!F19</f>
        <v>0</v>
      </c>
      <c r="E88" s="106">
        <f>'Cash Flow Statement'!G19</f>
        <v>0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42</v>
      </c>
      <c r="D91" s="106">
        <f>'Cash Flow Statement'!F22</f>
        <v>0</v>
      </c>
      <c r="E91" s="106">
        <f>'Cash Flow Statement'!G22</f>
        <v>0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-98</v>
      </c>
      <c r="D92" s="106">
        <f>'Cash Flow Statement'!F23</f>
        <v>-1365</v>
      </c>
      <c r="E92" s="106">
        <f>'Cash Flow Statement'!G23</f>
        <v>-2126</v>
      </c>
      <c r="F92" s="106">
        <f>'Cash Flow Statement'!H23</f>
        <v>-3854</v>
      </c>
      <c r="G92" s="106">
        <f>'Cash Flow Statement'!I23</f>
        <v>1202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-672</v>
      </c>
      <c r="D93" s="106">
        <f t="shared" ref="D93:K93" si="26">SUM(D83:D92)</f>
        <v>-2087</v>
      </c>
      <c r="E93" s="106">
        <f t="shared" si="26"/>
        <v>-3345</v>
      </c>
      <c r="F93" s="106">
        <f t="shared" si="26"/>
        <v>-6806</v>
      </c>
      <c r="G93" s="106">
        <f t="shared" si="26"/>
        <v>-3936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1040</v>
      </c>
      <c r="E96" s="106">
        <f>'Cash Flow Statement'!G25</f>
        <v>1004</v>
      </c>
      <c r="F96" s="106">
        <f>'Cash Flow Statement'!H25</f>
        <v>0</v>
      </c>
      <c r="G96" s="106">
        <f>'Cash Flow Statement'!I25</f>
        <v>532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141</v>
      </c>
      <c r="D97" s="106">
        <f>'Cash Flow Statement'!F26</f>
        <v>16</v>
      </c>
      <c r="E97" s="106">
        <f>'Cash Flow Statement'!G26</f>
        <v>779</v>
      </c>
      <c r="F97" s="106">
        <f>'Cash Flow Statement'!H26</f>
        <v>4317</v>
      </c>
      <c r="G97" s="106">
        <f>'Cash Flow Statement'!I26</f>
        <v>8677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0</v>
      </c>
      <c r="D98" s="106">
        <f>'Cash Flow Statement'!F27</f>
        <v>-167</v>
      </c>
      <c r="E98" s="106">
        <f>'Cash Flow Statement'!G27</f>
        <v>-738</v>
      </c>
      <c r="F98" s="106">
        <f>'Cash Flow Statement'!H27</f>
        <v>-187</v>
      </c>
      <c r="G98" s="106">
        <f>'Cash Flow Statement'!I27</f>
        <v>-6116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-29</v>
      </c>
      <c r="D99" s="106">
        <f>'Cash Flow Statement'!F28</f>
        <v>-69</v>
      </c>
      <c r="E99" s="106">
        <f>'Cash Flow Statement'!G28</f>
        <v>-121</v>
      </c>
      <c r="F99" s="106">
        <f>'Cash Flow Statement'!H28</f>
        <v>-64</v>
      </c>
      <c r="G99" s="106">
        <f>'Cash Flow Statement'!I28</f>
        <v>-161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0</v>
      </c>
      <c r="E100" s="106">
        <f>'Cash Flow Statement'!G29</f>
        <v>-1</v>
      </c>
      <c r="F100" s="106">
        <f>'Cash Flow Statement'!H29</f>
        <v>0</v>
      </c>
      <c r="G100" s="106">
        <f>'Cash Flow Statement'!I29</f>
        <v>-58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-10</v>
      </c>
      <c r="D101" s="106">
        <f>'Cash Flow Statement'!F30</f>
        <v>-8</v>
      </c>
      <c r="E101" s="106">
        <f>'Cash Flow Statement'!G30</f>
        <v>-15</v>
      </c>
      <c r="F101" s="106">
        <f>'Cash Flow Statement'!H30</f>
        <v>-31</v>
      </c>
      <c r="G101" s="106">
        <f>'Cash Flow Statement'!I30</f>
        <v>-301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0</v>
      </c>
      <c r="D102" s="106">
        <f>'Cash Flow Statement'!F31</f>
        <v>-169</v>
      </c>
      <c r="E102" s="106">
        <f>'Cash Flow Statement'!G31</f>
        <v>-1</v>
      </c>
      <c r="F102" s="106">
        <f>'Cash Flow Statement'!H31</f>
        <v>0</v>
      </c>
      <c r="G102" s="106">
        <f>'Cash Flow Statement'!I31</f>
        <v>0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102</v>
      </c>
      <c r="D103" s="106">
        <f t="shared" ref="D103:L103" si="27">SUM(D96:D102)</f>
        <v>643</v>
      </c>
      <c r="E103" s="106">
        <f t="shared" si="27"/>
        <v>907</v>
      </c>
      <c r="F103" s="106">
        <f t="shared" si="27"/>
        <v>4035</v>
      </c>
      <c r="G103" s="106">
        <f t="shared" si="27"/>
        <v>2573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157</v>
      </c>
      <c r="D105" s="106">
        <f t="shared" ref="D105:L105" si="28">D80+D93+D103</f>
        <v>-1196</v>
      </c>
      <c r="E105" s="106">
        <f t="shared" si="28"/>
        <v>-685</v>
      </c>
      <c r="F105" s="106">
        <f t="shared" si="28"/>
        <v>614</v>
      </c>
      <c r="G105" s="106">
        <f t="shared" si="28"/>
        <v>-3271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Waaree Energies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8603</v>
      </c>
      <c r="C3" s="40">
        <f>'Data Sheet'!B56</f>
        <v>0</v>
      </c>
      <c r="D3" s="40">
        <f>'Data Sheet'!C56</f>
        <v>0</v>
      </c>
      <c r="E3" s="40">
        <f>'Data Sheet'!D56</f>
        <v>0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0</v>
      </c>
      <c r="E5" s="36">
        <f>IFERROR('Historical FS'!E8,0)</f>
        <v>0</v>
      </c>
      <c r="F5" s="36">
        <f>IFERROR('Historical FS'!F8,0)</f>
        <v>0</v>
      </c>
      <c r="G5" s="36">
        <f>IFERROR('Historical FS'!G8,0)</f>
        <v>-2.1543086172344683E-2</v>
      </c>
      <c r="H5" s="36">
        <f>IFERROR('Historical FS'!H8,0)</f>
        <v>0.46134152585765498</v>
      </c>
      <c r="I5" s="36">
        <f>IFERROR('Historical FS'!I8,0)</f>
        <v>1.3654519971969168</v>
      </c>
      <c r="J5" s="36">
        <f>IFERROR('Historical FS'!J8,0)</f>
        <v>0.6883424677825507</v>
      </c>
      <c r="K5" s="36">
        <f>IFERROR('Historical FS'!K8,0)</f>
        <v>0.26723986664327071</v>
      </c>
      <c r="L5" s="36">
        <f>IFERROR('Historical FS'!L8,0)</f>
        <v>0.83723345333702581</v>
      </c>
      <c r="N5" s="46">
        <f>IFERROR(AVERAGE(D5:L5),0)</f>
        <v>0.39978513607167493</v>
      </c>
      <c r="O5" s="46">
        <f>IFERROR(MEDIAN(D5:L5),0)</f>
        <v>0.26723986664327071</v>
      </c>
    </row>
    <row r="6" spans="2:15" x14ac:dyDescent="0.3">
      <c r="B6" t="s">
        <v>166</v>
      </c>
      <c r="C6" s="36"/>
      <c r="D6" s="36">
        <f>IFERROR(('Historical FS'!D19/'Historical FS'!C19-1),0)</f>
        <v>0</v>
      </c>
      <c r="E6" s="36">
        <f>IFERROR(('Historical FS'!E19/'Historical FS'!D19-1),0)</f>
        <v>0</v>
      </c>
      <c r="F6" s="36">
        <f>IFERROR(('Historical FS'!F19/'Historical FS'!E19-1),0)</f>
        <v>0</v>
      </c>
      <c r="G6" s="36">
        <f>IFERROR(('Historical FS'!G19/'Historical FS'!F19-1),0)</f>
        <v>-0.2661573146292574</v>
      </c>
      <c r="H6" s="36">
        <f>IFERROR(('Historical FS'!H19/'Historical FS'!G19-1),0)</f>
        <v>0.70489844683393144</v>
      </c>
      <c r="I6" s="36">
        <f>IFERROR(('Historical FS'!I19/'Historical FS'!H19-1),0)</f>
        <v>4.0688257082790997</v>
      </c>
      <c r="J6" s="36">
        <f>IFERROR(('Historical FS'!J19/'Historical FS'!I19-1),0)</f>
        <v>1.1385671258579011</v>
      </c>
      <c r="K6" s="36">
        <f>IFERROR(('Historical FS'!K19/'Historical FS'!J19-1),0)</f>
        <v>0.66742087716219722</v>
      </c>
      <c r="L6" s="36">
        <f>IFERROR(('Historical FS'!L19/'Historical FS'!K19-1),0)</f>
        <v>1.2046801440044295</v>
      </c>
      <c r="N6" s="46">
        <f>IFERROR(AVERAGE(D6:L6),0)</f>
        <v>0.83535944305647791</v>
      </c>
      <c r="O6" s="46">
        <f>IFERROR(MEDIAN(D6:L6),0)</f>
        <v>0.66742087716219722</v>
      </c>
    </row>
    <row r="7" spans="2:15" x14ac:dyDescent="0.3">
      <c r="B7" t="s">
        <v>165</v>
      </c>
      <c r="C7" s="36"/>
      <c r="D7" s="36">
        <f>IFERROR(('Historical FS'!D25/'Historical FS'!C25-1),0)</f>
        <v>0</v>
      </c>
      <c r="E7" s="36">
        <f>IFERROR(('Historical FS'!E25/'Historical FS'!D25-1),0)</f>
        <v>0</v>
      </c>
      <c r="F7" s="36">
        <f>IFERROR(('Historical FS'!F25/'Historical FS'!E25-1),0)</f>
        <v>0</v>
      </c>
      <c r="G7" s="36">
        <f>IFERROR(('Historical FS'!G25/'Historical FS'!F25-1),0)</f>
        <v>-0.33539342779620007</v>
      </c>
      <c r="H7" s="36">
        <f>IFERROR(('Historical FS'!H25/'Historical FS'!G25-1),0)</f>
        <v>0.77795418462236432</v>
      </c>
      <c r="I7" s="36">
        <f>IFERROR(('Historical FS'!I25/'Historical FS'!H25-1),0)</f>
        <v>4.4129991070289485</v>
      </c>
      <c r="J7" s="36">
        <f>IFERROR(('Historical FS'!J25/'Historical FS'!I25-1),0)</f>
        <v>1.2254404053496772</v>
      </c>
      <c r="K7" s="36">
        <f>IFERROR(('Historical FS'!K25/'Historical FS'!J25-1),0)</f>
        <v>0.69912422827249388</v>
      </c>
      <c r="L7" s="36">
        <f>IFERROR(('Historical FS'!L25/'Historical FS'!K25-1),0)</f>
        <v>1.1723589903396681</v>
      </c>
      <c r="N7" s="46">
        <f>IFERROR(AVERAGE(D7:L7),0)</f>
        <v>0.88360927642410581</v>
      </c>
      <c r="O7" s="46">
        <f>IFERROR(MEDIAN(D7:L7),0)</f>
        <v>0.69912422827249388</v>
      </c>
    </row>
    <row r="8" spans="2:15" x14ac:dyDescent="0.3">
      <c r="B8" t="s">
        <v>189</v>
      </c>
      <c r="C8" s="36"/>
      <c r="D8" s="36">
        <f>IFERROR(('Historical FS'!D37/'Historical FS'!C37-1),0)</f>
        <v>0</v>
      </c>
      <c r="E8" s="36">
        <f>IFERROR(('Historical FS'!E37/'Historical FS'!D37-1),0)</f>
        <v>0</v>
      </c>
      <c r="F8" s="36">
        <f>IFERROR(('Historical FS'!F37/'Historical FS'!E37-1),0)</f>
        <v>0</v>
      </c>
      <c r="G8" s="36">
        <f>IFERROR(('Historical FS'!G37/'Historical FS'!F37-1),0)</f>
        <v>-1.3075815738963528</v>
      </c>
      <c r="H8" s="36">
        <f>IFERROR(('Historical FS'!H37/'Historical FS'!G37-1),0)</f>
        <v>-0.82683307332294764</v>
      </c>
      <c r="I8" s="36">
        <f>IFERROR(('Historical FS'!I37/'Historical FS'!H37-1),0)</f>
        <v>-41.382882882886356</v>
      </c>
      <c r="J8" s="36">
        <f>IFERROR(('Historical FS'!J37/'Historical FS'!I37-1),0)</f>
        <v>-0.83692136084771129</v>
      </c>
      <c r="K8" s="36">
        <f>IFERROR(('Historical FS'!K37/'Historical FS'!J37-1),0)</f>
        <v>32.652530779747856</v>
      </c>
      <c r="L8" s="36">
        <f>IFERROR(('Historical FS'!L37/'Historical FS'!K37-1),0)</f>
        <v>2.3315040650406353</v>
      </c>
      <c r="N8" s="46">
        <f>IFERROR(AVERAGE(D8:L8),0)</f>
        <v>-1.0411315606849865</v>
      </c>
      <c r="O8" s="46">
        <f>IFERROR(MEDIAN(D8:L8),0)</f>
        <v>0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0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</v>
      </c>
      <c r="J9" s="36">
        <f>IFERROR(('Historical FS'!J45/'Historical FS'!I45-1),0)</f>
        <v>0</v>
      </c>
      <c r="K9" s="36">
        <f>IFERROR(('Historical FS'!K45/'Historical FS'!J45-1),0)</f>
        <v>0</v>
      </c>
      <c r="L9" s="36">
        <f>IFERROR(('Historical FS'!L45/'Historical FS'!K45-1),0)</f>
        <v>0</v>
      </c>
      <c r="N9" s="46">
        <f>IFERROR(AVERAGE(D9:L9),0)</f>
        <v>0</v>
      </c>
      <c r="O9" s="46">
        <f>IFERROR(MEDIAN(D9:L9),0)</f>
        <v>0</v>
      </c>
    </row>
    <row r="11" spans="2:15" x14ac:dyDescent="0.3">
      <c r="B11" t="s">
        <v>157</v>
      </c>
      <c r="C11" s="36">
        <f>IFERROR('Historical FS'!C14,0)</f>
        <v>0</v>
      </c>
      <c r="D11" s="36">
        <f>IFERROR('Historical FS'!D14,0)</f>
        <v>0</v>
      </c>
      <c r="E11" s="36">
        <f>IFERROR('Historical FS'!E14,0)</f>
        <v>0</v>
      </c>
      <c r="F11" s="36">
        <f>IFERROR('Historical FS'!F14,0)</f>
        <v>7.9999999999999918E-2</v>
      </c>
      <c r="G11" s="36">
        <f>IFERROR('Historical FS'!G14,0)</f>
        <v>6.0000000000000032E-2</v>
      </c>
      <c r="H11" s="36">
        <f>IFERROR('Historical FS'!H14,0)</f>
        <v>7.0000000000000076E-2</v>
      </c>
      <c r="I11" s="36">
        <f>IFERROR('Historical FS'!I14,0)</f>
        <v>0.14999999999999994</v>
      </c>
      <c r="J11" s="36">
        <f>IFERROR('Historical FS'!J14,0)</f>
        <v>0.19000000000000022</v>
      </c>
      <c r="K11" s="36">
        <f>IFERROR('Historical FS'!K14,0)</f>
        <v>0.25000000000000011</v>
      </c>
      <c r="L11" s="36">
        <f>IFERROR('Historical FS'!L14,0)</f>
        <v>0.29999999999999993</v>
      </c>
      <c r="N11" s="46">
        <f>IFERROR(AVERAGE(C11:L11),0)</f>
        <v>0.11000000000000003</v>
      </c>
      <c r="O11" s="46">
        <f>IFERROR(MEDIAN(C11:L11),0)</f>
        <v>7.4999999999999997E-2</v>
      </c>
    </row>
    <row r="12" spans="2:15" x14ac:dyDescent="0.3">
      <c r="B12" t="s">
        <v>161</v>
      </c>
      <c r="C12" s="36">
        <f>IFERROR('Historical FS'!C20,0)</f>
        <v>0</v>
      </c>
      <c r="D12" s="36">
        <f>IFERROR('Historical FS'!D20,0)</f>
        <v>0</v>
      </c>
      <c r="E12" s="36">
        <f>IFERROR('Historical FS'!E20,0)</f>
        <v>0</v>
      </c>
      <c r="F12" s="36">
        <f>IFERROR('Historical FS'!F20,0)</f>
        <v>7.9999999999999918E-2</v>
      </c>
      <c r="G12" s="36">
        <f>IFERROR('Historical FS'!G20,0)</f>
        <v>6.0000000000000032E-2</v>
      </c>
      <c r="H12" s="36">
        <f>IFERROR('Historical FS'!H20,0)</f>
        <v>7.0000000000000076E-2</v>
      </c>
      <c r="I12" s="36">
        <f>IFERROR('Historical FS'!I20,0)</f>
        <v>0.14999999999999994</v>
      </c>
      <c r="J12" s="36">
        <f>IFERROR('Historical FS'!J20,0)</f>
        <v>0.19000000000000022</v>
      </c>
      <c r="K12" s="36">
        <f>IFERROR('Historical FS'!K20,0)</f>
        <v>0.25000000000000011</v>
      </c>
      <c r="L12" s="36">
        <f>IFERROR('Historical FS'!L20,0)</f>
        <v>0.29999999999999993</v>
      </c>
      <c r="N12" s="46">
        <f>IFERROR(AVERAGE(C12:L12),0)</f>
        <v>0.11000000000000003</v>
      </c>
      <c r="O12" s="46">
        <f>IFERROR(MEDIAN(C12:L12),0)</f>
        <v>7.4999999999999997E-2</v>
      </c>
    </row>
    <row r="13" spans="2:15" x14ac:dyDescent="0.3">
      <c r="B13" t="s">
        <v>162</v>
      </c>
      <c r="C13" s="36">
        <f>IFERROR('Historical FS'!C26,0)</f>
        <v>0</v>
      </c>
      <c r="D13" s="36">
        <f>IFERROR('Historical FS'!D26,0)</f>
        <v>0</v>
      </c>
      <c r="E13" s="36">
        <f>IFERROR('Historical FS'!E26,0)</f>
        <v>0</v>
      </c>
      <c r="F13" s="36">
        <f>IFERROR('Historical FS'!F26,0)</f>
        <v>6.6472945891783486E-2</v>
      </c>
      <c r="G13" s="36">
        <f>IFERROR('Historical FS'!G26,0)</f>
        <v>4.5151049667178735E-2</v>
      </c>
      <c r="H13" s="36">
        <f>IFERROR('Historical FS'!H26,0)</f>
        <v>5.4933426769446458E-2</v>
      </c>
      <c r="I13" s="36">
        <f>IFERROR('Historical FS'!I26,0)</f>
        <v>0.12570730262183374</v>
      </c>
      <c r="J13" s="36">
        <f>IFERROR('Historical FS'!J26,0)</f>
        <v>0.16569749078785775</v>
      </c>
      <c r="K13" s="36">
        <f>IFERROR('Historical FS'!K26,0)</f>
        <v>0.22216837441152049</v>
      </c>
      <c r="L13" s="36">
        <f>IFERROR('Historical FS'!L26,0)</f>
        <v>0.26269359761841948</v>
      </c>
      <c r="N13" s="46">
        <f>IFERROR(AVERAGE(C13:L13),0)</f>
        <v>9.4282418776804017E-2</v>
      </c>
      <c r="O13" s="46">
        <f>IFERROR(MEDIAN(C13:L13),0)</f>
        <v>6.0703186330614972E-2</v>
      </c>
    </row>
    <row r="14" spans="2:15" x14ac:dyDescent="0.3">
      <c r="B14" t="s">
        <v>167</v>
      </c>
      <c r="C14" s="36">
        <f>IFERROR('Historical FS'!C32,0)</f>
        <v>0</v>
      </c>
      <c r="D14" s="36">
        <f>IFERROR('Historical FS'!D32,0)</f>
        <v>0</v>
      </c>
      <c r="E14" s="36">
        <f>IFERROR('Historical FS'!E32,0)</f>
        <v>0</v>
      </c>
      <c r="F14" s="36">
        <f>IFERROR('Historical FS'!F32,0)</f>
        <v>4.9438877755510938E-2</v>
      </c>
      <c r="G14" s="36">
        <f>IFERROR('Historical FS'!G32,0)</f>
        <v>2.9278033794162859E-2</v>
      </c>
      <c r="H14" s="36">
        <f>IFERROR('Historical FS'!H32,0)</f>
        <v>4.0567624386825575E-2</v>
      </c>
      <c r="I14" s="36">
        <f>IFERROR('Historical FS'!I32,0)</f>
        <v>0.11356095393275065</v>
      </c>
      <c r="J14" s="36">
        <f>IFERROR('Historical FS'!J32,0)</f>
        <v>0.15341463414634168</v>
      </c>
      <c r="K14" s="36">
        <f>IFERROR('Historical FS'!K32,0)</f>
        <v>0.21164497369149832</v>
      </c>
      <c r="L14" s="36">
        <f>IFERROR('Historical FS'!L32,0)</f>
        <v>0.25214229189433618</v>
      </c>
      <c r="N14" s="46">
        <f>IFERROR(AVERAGE(C14:L14),0)</f>
        <v>8.5004738960142628E-2</v>
      </c>
      <c r="O14" s="46">
        <f>IFERROR(MEDIAN(C14:L14),0)</f>
        <v>4.500325107116826E-2</v>
      </c>
    </row>
    <row r="15" spans="2:15" x14ac:dyDescent="0.3">
      <c r="B15" t="s">
        <v>163</v>
      </c>
      <c r="C15" s="36">
        <f>IFERROR('Historical FS'!C38,0)</f>
        <v>0</v>
      </c>
      <c r="D15" s="36">
        <f>IFERROR('Historical FS'!D38,0)</f>
        <v>0</v>
      </c>
      <c r="E15" s="36">
        <f>IFERROR('Historical FS'!E38,0)</f>
        <v>0</v>
      </c>
      <c r="F15" s="36">
        <f>IFERROR('Historical FS'!F38,0)</f>
        <v>2.0881763527054027E-2</v>
      </c>
      <c r="G15" s="36">
        <f>IFERROR('Historical FS'!G38,0)</f>
        <v>-6.5642601126471769E-3</v>
      </c>
      <c r="H15" s="36">
        <f>IFERROR('Historical FS'!H38,0)</f>
        <v>-7.7785564120525571E-4</v>
      </c>
      <c r="I15" s="36">
        <f>IFERROR('Historical FS'!I38,0)</f>
        <v>1.3279514146052383E-2</v>
      </c>
      <c r="J15" s="36">
        <f>IFERROR('Historical FS'!J38,0)</f>
        <v>1.2826811721356921E-3</v>
      </c>
      <c r="K15" s="36">
        <f>IFERROR('Historical FS'!K38,0)</f>
        <v>3.406258654112447E-2</v>
      </c>
      <c r="L15" s="36">
        <f>IFERROR('Historical FS'!L38,0)</f>
        <v>6.1766590044089333E-2</v>
      </c>
      <c r="N15" s="46">
        <f>IFERROR(AVERAGE(C15:L15),0)</f>
        <v>1.2393101967660348E-2</v>
      </c>
      <c r="O15" s="46">
        <f>IFERROR(MEDIAN(C15:L15),0)</f>
        <v>6.4134058606784606E-4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0</v>
      </c>
      <c r="D18" s="36">
        <f>IFERROR('Historical FS'!D23,0)</f>
        <v>0</v>
      </c>
      <c r="E18" s="36">
        <f>IFERROR('Historical FS'!E23,0)</f>
        <v>0</v>
      </c>
      <c r="F18" s="36">
        <f>IFERROR('Historical FS'!F23,0)</f>
        <v>1.3527054108216433E-2</v>
      </c>
      <c r="G18" s="36">
        <f>IFERROR('Historical FS'!G23,0)</f>
        <v>1.4848950332821301E-2</v>
      </c>
      <c r="H18" s="36">
        <f>IFERROR('Historical FS'!H23,0)</f>
        <v>1.5066573230553609E-2</v>
      </c>
      <c r="I18" s="36">
        <f>IFERROR('Historical FS'!I23,0)</f>
        <v>2.4292697378166198E-2</v>
      </c>
      <c r="J18" s="36">
        <f>IFERROR('Historical FS'!J23,0)</f>
        <v>2.4302509212142481E-2</v>
      </c>
      <c r="K18" s="36">
        <f>IFERROR('Historical FS'!K23,0)</f>
        <v>2.7831625588479646E-2</v>
      </c>
      <c r="L18" s="36">
        <f>IFERROR('Historical FS'!L23,0)</f>
        <v>3.7306402381580436E-2</v>
      </c>
      <c r="N18" s="46">
        <f>IFERROR(AVERAGE(C18:L18),0)</f>
        <v>1.5717581223196008E-2</v>
      </c>
      <c r="O18" s="46">
        <f>IFERROR(MEDIAN(C18:L18),0)</f>
        <v>1.4957761781687454E-2</v>
      </c>
    </row>
    <row r="19" spans="2:15" x14ac:dyDescent="0.3">
      <c r="B19" t="s">
        <v>8606</v>
      </c>
      <c r="C19" s="36">
        <f t="shared" ref="C19:L19" si="0">C13</f>
        <v>0</v>
      </c>
      <c r="D19" s="36">
        <f t="shared" si="0"/>
        <v>0</v>
      </c>
      <c r="E19" s="36">
        <f t="shared" si="0"/>
        <v>0</v>
      </c>
      <c r="F19" s="36">
        <f t="shared" si="0"/>
        <v>6.6472945891783486E-2</v>
      </c>
      <c r="G19" s="36">
        <f t="shared" si="0"/>
        <v>4.5151049667178735E-2</v>
      </c>
      <c r="H19" s="36">
        <f t="shared" si="0"/>
        <v>5.4933426769446458E-2</v>
      </c>
      <c r="I19" s="36">
        <f t="shared" si="0"/>
        <v>0.12570730262183374</v>
      </c>
      <c r="J19" s="36">
        <f t="shared" si="0"/>
        <v>0.16569749078785775</v>
      </c>
      <c r="K19" s="36">
        <f t="shared" si="0"/>
        <v>0.22216837441152049</v>
      </c>
      <c r="L19" s="36">
        <f t="shared" si="0"/>
        <v>0.26269359761841948</v>
      </c>
      <c r="N19" s="46">
        <f>IFERROR(AVERAGE(C19:L19),0)</f>
        <v>9.4282418776804017E-2</v>
      </c>
      <c r="O19" s="46">
        <f>IFERROR(MEDIAN(C19:L19),0)</f>
        <v>6.0703186330614972E-2</v>
      </c>
    </row>
    <row r="21" spans="2:15" x14ac:dyDescent="0.3">
      <c r="B21" t="s">
        <v>169</v>
      </c>
      <c r="C21" s="46">
        <f>IFERROR('Historical FS'!C25/SUM('Historical FS'!C51:'Historical FS'!C53),0)</f>
        <v>0</v>
      </c>
      <c r="D21" s="46">
        <f>IFERROR('Historical FS'!D25/SUM('Historical FS'!D51:'Historical FS'!D53),0)</f>
        <v>0</v>
      </c>
      <c r="E21" s="46">
        <f>IFERROR('Historical FS'!E25/SUM('Historical FS'!E51:'Historical FS'!E53),0)</f>
        <v>0</v>
      </c>
      <c r="F21" s="46">
        <f>IFERROR('Historical FS'!F25/SUM('Historical FS'!F51:'Historical FS'!F53),0)</f>
        <v>0.29160439560439527</v>
      </c>
      <c r="G21" s="46">
        <f>IFERROR('Historical FS'!G25/SUM('Historical FS'!G51:'Historical FS'!G53),0)</f>
        <v>0.12872992700729935</v>
      </c>
      <c r="H21" s="46">
        <f>IFERROR('Historical FS'!H25/SUM('Historical FS'!H51:'Historical FS'!H53),0)</f>
        <v>0.19820480404551227</v>
      </c>
      <c r="I21" s="46">
        <f>IFERROR('Historical FS'!I25/SUM('Historical FS'!I51:'Historical FS'!I53),0)</f>
        <v>0.39325764596848917</v>
      </c>
      <c r="J21" s="46">
        <f>IFERROR('Historical FS'!J25/SUM('Historical FS'!J51:'Historical FS'!J53),0)</f>
        <v>0.40694246929541106</v>
      </c>
      <c r="K21" s="46">
        <f>IFERROR('Historical FS'!K25/SUM('Historical FS'!K51:'Historical FS'!K53),0)</f>
        <v>0.30052444277954687</v>
      </c>
      <c r="L21" s="46">
        <f>IFERROR('Historical FS'!L25/SUM('Historical FS'!L51:'Historical FS'!L53),0)</f>
        <v>0.39494079655543585</v>
      </c>
      <c r="N21" s="46">
        <f>IFERROR(AVERAGE(C21:L21),0)</f>
        <v>0.21142044812560895</v>
      </c>
      <c r="O21" s="46">
        <f>IFERROR(MEDIAN(C21:L21),0)</f>
        <v>0.24490459982495377</v>
      </c>
    </row>
    <row r="22" spans="2:15" x14ac:dyDescent="0.3">
      <c r="B22" t="s">
        <v>170</v>
      </c>
      <c r="C22" s="46">
        <f>IFERROR('Historical FS'!C48,0)</f>
        <v>0</v>
      </c>
      <c r="D22" s="46">
        <f>IFERROR('Historical FS'!D48,0)</f>
        <v>0</v>
      </c>
      <c r="E22" s="46">
        <f>IFERROR('Historical FS'!E48,0)</f>
        <v>0</v>
      </c>
      <c r="F22" s="46">
        <f>IFERROR('Historical FS'!F48,0)</f>
        <v>1</v>
      </c>
      <c r="G22" s="46">
        <f>IFERROR('Historical FS'!G48,0)</f>
        <v>1</v>
      </c>
      <c r="H22" s="46">
        <f>IFERROR('Historical FS'!H48,0)</f>
        <v>1</v>
      </c>
      <c r="I22" s="46">
        <f>IFERROR('Historical FS'!I48,0)</f>
        <v>1</v>
      </c>
      <c r="J22" s="46">
        <f>IFERROR('Historical FS'!J48,0)</f>
        <v>1</v>
      </c>
      <c r="K22" s="46">
        <f>IFERROR('Historical FS'!K48,0)</f>
        <v>1</v>
      </c>
      <c r="L22" s="46">
        <f>IFERROR('Historical FS'!L48,0)</f>
        <v>0.92891220791897988</v>
      </c>
      <c r="N22" s="46">
        <f>IFERROR(AVERAGE(C22:L22),0)</f>
        <v>0.69289122079189802</v>
      </c>
      <c r="O22" s="46">
        <f>IFERROR(MEDIAN(C22:L22),0)</f>
        <v>1</v>
      </c>
    </row>
    <row r="23" spans="2:15" x14ac:dyDescent="0.3">
      <c r="B23" t="s">
        <v>171</v>
      </c>
      <c r="C23" s="46">
        <f>IFERROR('Historical FS'!C37/SUM('Historical FS'!C51:'Historical FS'!C52),0)</f>
        <v>0</v>
      </c>
      <c r="D23" s="46">
        <f>IFERROR('Historical FS'!D37/SUM('Historical FS'!D51:'Historical FS'!D52),0)</f>
        <v>0</v>
      </c>
      <c r="E23" s="46">
        <f>IFERROR('Historical FS'!E37/SUM('Historical FS'!E51:'Historical FS'!E52),0)</f>
        <v>0</v>
      </c>
      <c r="F23" s="46">
        <f>IFERROR('Historical FS'!F37/SUM('Historical FS'!F51:'Historical FS'!F52),0)</f>
        <v>0.13986577181207999</v>
      </c>
      <c r="G23" s="46">
        <f>IFERROR('Historical FS'!G37/SUM('Historical FS'!G51:'Historical FS'!G52),0)</f>
        <v>-3.7159420289854889E-2</v>
      </c>
      <c r="H23" s="46">
        <f>IFERROR('Historical FS'!H37/SUM('Historical FS'!H51:'Historical FS'!H52),0)</f>
        <v>-5.1869158878499995E-3</v>
      </c>
      <c r="I23" s="46">
        <f>IFERROR('Historical FS'!I37/SUM('Historical FS'!I51:'Historical FS'!I52),0)</f>
        <v>4.8775843307943219E-2</v>
      </c>
      <c r="J23" s="46">
        <f>IFERROR('Historical FS'!J37/SUM('Historical FS'!J51:'Historical FS'!J52),0)</f>
        <v>3.5763209393352789E-3</v>
      </c>
      <c r="K23" s="46">
        <f>IFERROR('Historical FS'!K37/SUM('Historical FS'!K51:'Historical FS'!K52),0)</f>
        <v>5.1904209304779174E-2</v>
      </c>
      <c r="L23" s="46">
        <f>IFERROR('Historical FS'!L37/SUM('Historical FS'!L51:'Historical FS'!L52),0)</f>
        <v>0.1135268042665188</v>
      </c>
      <c r="N23" s="46">
        <f>IFERROR(AVERAGE(C23:L23),0)</f>
        <v>3.1530261345295157E-2</v>
      </c>
      <c r="O23" s="46">
        <f>IFERROR(MEDIAN(C23:L23),0)</f>
        <v>1.7881604696676394E-3</v>
      </c>
    </row>
    <row r="24" spans="2:15" x14ac:dyDescent="0.3">
      <c r="B24" t="s">
        <v>172</v>
      </c>
      <c r="C24" s="46">
        <f t="shared" ref="C24:L24" si="1">IFERROR(C22*C23,0)</f>
        <v>0</v>
      </c>
      <c r="D24" s="46">
        <f t="shared" si="1"/>
        <v>0</v>
      </c>
      <c r="E24" s="46">
        <f t="shared" si="1"/>
        <v>0</v>
      </c>
      <c r="F24" s="46">
        <f t="shared" si="1"/>
        <v>0.13986577181207999</v>
      </c>
      <c r="G24" s="46">
        <f t="shared" si="1"/>
        <v>-3.7159420289854889E-2</v>
      </c>
      <c r="H24" s="46">
        <f t="shared" si="1"/>
        <v>-5.1869158878499995E-3</v>
      </c>
      <c r="I24" s="46">
        <f t="shared" si="1"/>
        <v>4.8775843307943219E-2</v>
      </c>
      <c r="J24" s="46">
        <f t="shared" si="1"/>
        <v>3.5763209393352789E-3</v>
      </c>
      <c r="K24" s="46">
        <f t="shared" si="1"/>
        <v>5.1904209304779174E-2</v>
      </c>
      <c r="L24" s="46">
        <f t="shared" si="1"/>
        <v>0.10545643440919784</v>
      </c>
      <c r="N24" s="46">
        <f>IFERROR(AVERAGE(C24:L24),0)</f>
        <v>3.072322435956306E-2</v>
      </c>
      <c r="O24" s="46">
        <f>IFERROR(MEDIAN(C24:L24),0)</f>
        <v>1.7881604696676394E-3</v>
      </c>
    </row>
    <row r="25" spans="2:15" x14ac:dyDescent="0.3">
      <c r="B25" t="s">
        <v>173</v>
      </c>
      <c r="C25" s="158">
        <f>IFERROR('Historical FS'!C25/'Historical FS'!C28,0)</f>
        <v>0</v>
      </c>
      <c r="D25" s="158">
        <f>IFERROR('Historical FS'!D25/'Historical FS'!D28,0)</f>
        <v>0</v>
      </c>
      <c r="E25" s="158">
        <f>IFERROR('Historical FS'!E25/'Historical FS'!E28,0)</f>
        <v>0</v>
      </c>
      <c r="F25" s="158">
        <f>IFERROR('Historical FS'!F25/'Historical FS'!F28,0)</f>
        <v>3.9023529411764657</v>
      </c>
      <c r="G25" s="158">
        <f>IFERROR('Historical FS'!G25/'Historical FS'!G28,0)</f>
        <v>2.84451612903226</v>
      </c>
      <c r="H25" s="158">
        <f>IFERROR('Historical FS'!H25/'Historical FS'!H28,0)</f>
        <v>3.823902439024395</v>
      </c>
      <c r="I25" s="158">
        <f>IFERROR('Historical FS'!I25/'Historical FS'!I28,0)</f>
        <v>10.349390243902434</v>
      </c>
      <c r="J25" s="158">
        <f>IFERROR('Historical FS'!J25/'Historical FS'!J28,0)</f>
        <v>13.490142857142876</v>
      </c>
      <c r="K25" s="158">
        <f>IFERROR('Historical FS'!K25/'Historical FS'!K28,0)</f>
        <v>21.111842105263168</v>
      </c>
      <c r="L25" s="158">
        <f>IFERROR('Historical FS'!L25/'Historical FS'!L28,0)</f>
        <v>24.896785714285709</v>
      </c>
      <c r="N25" s="158">
        <f>IFERROR(AVERAGE(C25:L25),0)</f>
        <v>8.0418932429827308</v>
      </c>
      <c r="O25" s="158">
        <f>IFERROR(MEDIAN(C25:L25),0)</f>
        <v>3.8631276901004306</v>
      </c>
    </row>
    <row r="27" spans="2:15" x14ac:dyDescent="0.3">
      <c r="B27" t="s">
        <v>174</v>
      </c>
      <c r="C27" s="158">
        <f>IFERROR('Historical FS'!C7/'Historical FS'!C63,0)</f>
        <v>0</v>
      </c>
      <c r="D27" s="158">
        <f>IFERROR('Historical FS'!D7/'Historical FS'!D63,0)</f>
        <v>0</v>
      </c>
      <c r="E27" s="158">
        <f>IFERROR('Historical FS'!E7/'Historical FS'!E63,0)</f>
        <v>0</v>
      </c>
      <c r="F27" s="158">
        <f>IFERROR('Historical FS'!F7/'Historical FS'!F63,0)</f>
        <v>14.257142857142858</v>
      </c>
      <c r="G27" s="158">
        <f>IFERROR('Historical FS'!G7/'Historical FS'!G63,0)</f>
        <v>16.692307692307693</v>
      </c>
      <c r="H27" s="158">
        <f>IFERROR('Historical FS'!H7/'Historical FS'!H63,0)</f>
        <v>30.688172043010752</v>
      </c>
      <c r="I27" s="158">
        <f>IFERROR('Historical FS'!I7/'Historical FS'!I63,0)</f>
        <v>21.568690095846645</v>
      </c>
      <c r="J27" s="158">
        <f>IFERROR('Historical FS'!J7/'Historical FS'!J63,0)</f>
        <v>11.738414006179196</v>
      </c>
      <c r="K27" s="158">
        <f>IFERROR('Historical FS'!K7/'Historical FS'!K63,0)</f>
        <v>13.716999050332383</v>
      </c>
      <c r="L27" s="158">
        <f>IFERROR('Historical FS'!L7/'Historical FS'!L63,0)</f>
        <v>10.648876404494382</v>
      </c>
      <c r="N27" s="158">
        <f>IFERROR(AVERAGE(C27:L27),0)</f>
        <v>11.931060214931392</v>
      </c>
      <c r="O27" s="158">
        <f>IFERROR(MEDIAN(C27:L27),0)</f>
        <v>12.727706528255791</v>
      </c>
    </row>
    <row r="28" spans="2:15" x14ac:dyDescent="0.3">
      <c r="B28" t="s">
        <v>175</v>
      </c>
      <c r="C28" s="158">
        <f>IFERROR('Historical FS'!C7/'Historical FS'!C54,0)</f>
        <v>0</v>
      </c>
      <c r="D28" s="158">
        <f>IFERROR('Historical FS'!D7/'Historical FS'!D54,0)</f>
        <v>0</v>
      </c>
      <c r="E28" s="158">
        <f>IFERROR('Historical FS'!E7/'Historical FS'!E54,0)</f>
        <v>0</v>
      </c>
      <c r="F28" s="158">
        <f>IFERROR('Historical FS'!F7/'Historical FS'!F54,0)</f>
        <v>4.1325051759834368</v>
      </c>
      <c r="G28" s="158">
        <f>IFERROR('Historical FS'!G7/'Historical FS'!G54,0)</f>
        <v>3.2768456375838926</v>
      </c>
      <c r="H28" s="158">
        <f>IFERROR('Historical FS'!H7/'Historical FS'!H54,0)</f>
        <v>2.0954478707782673</v>
      </c>
      <c r="I28" s="158">
        <f>IFERROR('Historical FS'!I7/'Historical FS'!I54,0)</f>
        <v>1.2866399847531922</v>
      </c>
      <c r="J28" s="158">
        <f>IFERROR('Historical FS'!J7/'Historical FS'!J54,0)</f>
        <v>1.7178598342125093</v>
      </c>
      <c r="K28" s="158">
        <f>IFERROR('Historical FS'!K7/'Historical FS'!K54,0)</f>
        <v>1.6477298653890029</v>
      </c>
      <c r="L28" s="158">
        <f>IFERROR('Historical FS'!L7/'Historical FS'!L54,0)</f>
        <v>2.1513579246047829</v>
      </c>
      <c r="N28" s="158">
        <f>IFERROR(AVERAGE(C28:L28),0)</f>
        <v>1.6308386293305084</v>
      </c>
      <c r="O28" s="158">
        <f>IFERROR(MEDIAN(C28:L28),0)</f>
        <v>1.6827948498007561</v>
      </c>
    </row>
    <row r="29" spans="2:15" x14ac:dyDescent="0.3">
      <c r="B29" t="s">
        <v>47</v>
      </c>
      <c r="C29" s="158">
        <f>IFERROR('Historical FS'!C7/'Historical FS'!C64,0)</f>
        <v>0</v>
      </c>
      <c r="D29" s="158">
        <f>IFERROR('Historical FS'!D7/'Historical FS'!D64,0)</f>
        <v>0</v>
      </c>
      <c r="E29" s="158">
        <f>IFERROR('Historical FS'!E7/'Historical FS'!E64,0)</f>
        <v>0</v>
      </c>
      <c r="F29" s="158">
        <f>IFERROR('Historical FS'!F7/'Historical FS'!F64,0)</f>
        <v>8.2139917695473255</v>
      </c>
      <c r="G29" s="158">
        <f>IFERROR('Historical FS'!G7/'Historical FS'!G64,0)</f>
        <v>5.3070652173913047</v>
      </c>
      <c r="H29" s="158">
        <f>IFERROR('Historical FS'!H7/'Historical FS'!H64,0)</f>
        <v>5.3048327137546467</v>
      </c>
      <c r="I29" s="158">
        <f>IFERROR('Historical FS'!I7/'Historical FS'!I64,0)</f>
        <v>2.4920634920634921</v>
      </c>
      <c r="J29" s="158">
        <f>IFERROR('Historical FS'!J7/'Historical FS'!J64,0)</f>
        <v>4.4075792730085075</v>
      </c>
      <c r="K29" s="158">
        <f>IFERROR('Historical FS'!K7/'Historical FS'!K64,0)</f>
        <v>5.3655274888558688</v>
      </c>
      <c r="L29" s="158">
        <f>IFERROR('Historical FS'!L7/'Historical FS'!L64,0)</f>
        <v>4.5315915300546452</v>
      </c>
      <c r="N29" s="158">
        <f>IFERROR(AVERAGE(C29:L29),0)</f>
        <v>3.5622651484675791</v>
      </c>
      <c r="O29" s="158">
        <f>IFERROR(MEDIAN(C29:L29),0)</f>
        <v>4.4695854015315764</v>
      </c>
    </row>
    <row r="30" spans="2:15" x14ac:dyDescent="0.3">
      <c r="B30" t="s">
        <v>8607</v>
      </c>
      <c r="C30" s="158">
        <f>IFERROR('Historical FS'!C7/'Historical FS'!C57,0)</f>
        <v>0</v>
      </c>
      <c r="D30" s="158">
        <f>IFERROR('Historical FS'!D7/'Historical FS'!D57,0)</f>
        <v>0</v>
      </c>
      <c r="E30" s="158">
        <f>IFERROR('Historical FS'!E7/'Historical FS'!E57,0)</f>
        <v>0</v>
      </c>
      <c r="F30" s="158">
        <f>IFERROR('Historical FS'!F7/'Historical FS'!F57,0)</f>
        <v>13.131578947368421</v>
      </c>
      <c r="G30" s="158">
        <f>IFERROR('Historical FS'!G7/'Historical FS'!G57,0)</f>
        <v>6.8526315789473689</v>
      </c>
      <c r="H30" s="158">
        <f>IFERROR('Historical FS'!H7/'Historical FS'!H57,0)</f>
        <v>4.5663999999999998</v>
      </c>
      <c r="I30" s="158">
        <f>IFERROR('Historical FS'!I7/'Historical FS'!I57,0)</f>
        <v>6.1095022624434385</v>
      </c>
      <c r="J30" s="158">
        <f>IFERROR('Historical FS'!J7/'Historical FS'!J57,0)</f>
        <v>7.8606896551724139</v>
      </c>
      <c r="K30" s="158">
        <f>IFERROR('Historical FS'!K7/'Historical FS'!K57,0)</f>
        <v>3.5876800794833583</v>
      </c>
      <c r="L30" s="158">
        <f>IFERROR('Historical FS'!L7/'Historical FS'!L57,0)</f>
        <v>3.621315502183406</v>
      </c>
      <c r="N30" s="158">
        <f>IFERROR(AVERAGE(C30:L30),0)</f>
        <v>4.5729798025598409</v>
      </c>
      <c r="O30" s="158">
        <f>IFERROR(MEDIAN(C30:L30),0)</f>
        <v>4.0938577510917025</v>
      </c>
    </row>
    <row r="31" spans="2:15" x14ac:dyDescent="0.3">
      <c r="B31" t="s">
        <v>176</v>
      </c>
      <c r="C31" s="158">
        <f>IFERROR('Historical FS'!C7/SUM('Historical FS'!C51:'Historical FS'!C52),0)</f>
        <v>0</v>
      </c>
      <c r="D31" s="158">
        <f>IFERROR('Historical FS'!D7/SUM('Historical FS'!D51:'Historical FS'!D52),0)</f>
        <v>0</v>
      </c>
      <c r="E31" s="158">
        <f>IFERROR('Historical FS'!E7/SUM('Historical FS'!E51:'Historical FS'!E52),0)</f>
        <v>0</v>
      </c>
      <c r="F31" s="158">
        <f>IFERROR('Historical FS'!F7/SUM('Historical FS'!F51:'Historical FS'!F52),0)</f>
        <v>6.6979865771812079</v>
      </c>
      <c r="G31" s="158">
        <f>IFERROR('Historical FS'!G7/SUM('Historical FS'!G51:'Historical FS'!G52),0)</f>
        <v>5.660869565217391</v>
      </c>
      <c r="H31" s="158">
        <f>IFERROR('Historical FS'!H7/SUM('Historical FS'!H51:'Historical FS'!H52),0)</f>
        <v>6.6682242990654208</v>
      </c>
      <c r="I31" s="158">
        <f>IFERROR('Historical FS'!I7/SUM('Historical FS'!I51:'Historical FS'!I52),0)</f>
        <v>3.6730141458106638</v>
      </c>
      <c r="J31" s="158">
        <f>IFERROR('Historical FS'!J7/SUM('Historical FS'!J51:'Historical FS'!J52),0)</f>
        <v>2.7881604696673188</v>
      </c>
      <c r="K31" s="158">
        <f>IFERROR('Historical FS'!K7/SUM('Historical FS'!K51:'Historical FS'!K52),0)</f>
        <v>1.5237894292646903</v>
      </c>
      <c r="L31" s="158">
        <f>IFERROR('Historical FS'!L7/SUM('Historical FS'!L51:'Historical FS'!L52),0)</f>
        <v>1.8379969524864941</v>
      </c>
      <c r="N31" s="158">
        <f>IFERROR(AVERAGE(C31:L31),0)</f>
        <v>2.8850041438693186</v>
      </c>
      <c r="O31" s="158">
        <f>IFERROR(MEDIAN(C31:L31),0)</f>
        <v>2.3130787110769067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0</v>
      </c>
      <c r="D34" s="159">
        <f t="shared" si="2"/>
        <v>0</v>
      </c>
      <c r="E34" s="159">
        <f t="shared" si="2"/>
        <v>0</v>
      </c>
      <c r="F34" s="159">
        <f t="shared" si="2"/>
        <v>25.601202404809619</v>
      </c>
      <c r="G34" s="159">
        <f t="shared" si="2"/>
        <v>21.866359447004609</v>
      </c>
      <c r="H34" s="159">
        <f t="shared" si="2"/>
        <v>11.893833216538193</v>
      </c>
      <c r="I34" s="159">
        <f t="shared" si="2"/>
        <v>16.922678121759741</v>
      </c>
      <c r="J34" s="159">
        <f t="shared" si="2"/>
        <v>31.094490261449376</v>
      </c>
      <c r="K34" s="159">
        <f t="shared" si="2"/>
        <v>26.609318748269178</v>
      </c>
      <c r="L34" s="159">
        <f t="shared" si="2"/>
        <v>34.275916644684777</v>
      </c>
      <c r="N34" s="159">
        <f>IFERROR(AVERAGE(C34:L34),0)</f>
        <v>16.826379884451548</v>
      </c>
      <c r="O34" s="159">
        <f>IFERROR(MEDIAN(C34:L34),0)</f>
        <v>19.394518784382175</v>
      </c>
    </row>
    <row r="35" spans="2:15" x14ac:dyDescent="0.3">
      <c r="B35" t="s">
        <v>177</v>
      </c>
      <c r="C35" s="159">
        <f t="shared" ref="C35:L35" si="3">IFERROR(365/C28,0)</f>
        <v>0</v>
      </c>
      <c r="D35" s="159">
        <f t="shared" si="3"/>
        <v>0</v>
      </c>
      <c r="E35" s="159">
        <f t="shared" si="3"/>
        <v>0</v>
      </c>
      <c r="F35" s="159">
        <f t="shared" si="3"/>
        <v>88.324148296593194</v>
      </c>
      <c r="G35" s="159">
        <f t="shared" si="3"/>
        <v>111.38760880696364</v>
      </c>
      <c r="H35" s="159">
        <f t="shared" si="3"/>
        <v>174.18710581639803</v>
      </c>
      <c r="I35" s="159">
        <f t="shared" si="3"/>
        <v>283.68463931269446</v>
      </c>
      <c r="J35" s="159">
        <f t="shared" si="3"/>
        <v>212.47367959291105</v>
      </c>
      <c r="K35" s="159">
        <f t="shared" si="3"/>
        <v>221.51689282747162</v>
      </c>
      <c r="L35" s="159">
        <f t="shared" si="3"/>
        <v>169.66028563891925</v>
      </c>
      <c r="N35" s="159">
        <f>IFERROR(AVERAGE(C35:L35),0)</f>
        <v>126.12343602919513</v>
      </c>
      <c r="O35" s="159">
        <f>IFERROR(MEDIAN(C35:L35),0)</f>
        <v>140.52394722294144</v>
      </c>
    </row>
    <row r="36" spans="2:15" x14ac:dyDescent="0.3">
      <c r="B36" t="s">
        <v>178</v>
      </c>
      <c r="C36" s="159">
        <f t="shared" ref="C36:L36" si="4">IFERROR(365/C29,0)</f>
        <v>0</v>
      </c>
      <c r="D36" s="159">
        <f t="shared" si="4"/>
        <v>0</v>
      </c>
      <c r="E36" s="159">
        <f t="shared" si="4"/>
        <v>0</v>
      </c>
      <c r="F36" s="159">
        <f t="shared" si="4"/>
        <v>44.436372745490978</v>
      </c>
      <c r="G36" s="159">
        <f t="shared" si="4"/>
        <v>68.776241679467475</v>
      </c>
      <c r="H36" s="159">
        <f t="shared" si="4"/>
        <v>68.805185704274706</v>
      </c>
      <c r="I36" s="159">
        <f t="shared" si="4"/>
        <v>146.46496815286625</v>
      </c>
      <c r="J36" s="159">
        <f t="shared" si="4"/>
        <v>82.811896824004208</v>
      </c>
      <c r="K36" s="159">
        <f t="shared" si="4"/>
        <v>68.02686236499585</v>
      </c>
      <c r="L36" s="159">
        <f t="shared" si="4"/>
        <v>80.545653238874024</v>
      </c>
      <c r="N36" s="159">
        <f>IFERROR(AVERAGE(C36:L36),0)</f>
        <v>55.986718070997348</v>
      </c>
      <c r="O36" s="159">
        <f>IFERROR(MEDIAN(C36:L36),0)</f>
        <v>68.40155202223167</v>
      </c>
    </row>
    <row r="37" spans="2:15" x14ac:dyDescent="0.3">
      <c r="B37" t="s">
        <v>179</v>
      </c>
      <c r="C37" s="159">
        <f t="shared" ref="C37:L37" si="5">SUM(C34,C36)-C35</f>
        <v>0</v>
      </c>
      <c r="D37" s="159">
        <f t="shared" si="5"/>
        <v>0</v>
      </c>
      <c r="E37" s="159">
        <f t="shared" si="5"/>
        <v>0</v>
      </c>
      <c r="F37" s="159">
        <f t="shared" si="5"/>
        <v>-18.286573146292596</v>
      </c>
      <c r="G37" s="159">
        <f t="shared" si="5"/>
        <v>-20.745007680491554</v>
      </c>
      <c r="H37" s="159">
        <f t="shared" si="5"/>
        <v>-93.488086895585127</v>
      </c>
      <c r="I37" s="159">
        <f t="shared" si="5"/>
        <v>-120.29699303806848</v>
      </c>
      <c r="J37" s="159">
        <f t="shared" si="5"/>
        <v>-98.567292507457466</v>
      </c>
      <c r="K37" s="159">
        <f t="shared" si="5"/>
        <v>-126.8807117142066</v>
      </c>
      <c r="L37" s="159">
        <f t="shared" si="5"/>
        <v>-54.838715755360454</v>
      </c>
      <c r="N37" s="159">
        <f>IFERROR(AVERAGE(C37:L37),0)</f>
        <v>-53.310338073746223</v>
      </c>
      <c r="O37" s="159">
        <f>IFERROR(MEDIAN(C37:L37),0)</f>
        <v>-37.791861717926004</v>
      </c>
    </row>
    <row r="39" spans="2:15" x14ac:dyDescent="0.3">
      <c r="B39" t="s">
        <v>8608</v>
      </c>
      <c r="C39" s="46">
        <f>IFERROR('Historical FS'!C80/'Historical FS'!C7,0)</f>
        <v>0</v>
      </c>
      <c r="D39" s="46">
        <f>IFERROR('Historical FS'!D80/'Historical FS'!D7,0)</f>
        <v>0</v>
      </c>
      <c r="E39" s="46">
        <f>IFERROR('Historical FS'!E80/'Historical FS'!E7,0)</f>
        <v>0</v>
      </c>
      <c r="F39" s="46">
        <f>IFERROR('Historical FS'!F80/'Historical FS'!F7,0)</f>
        <v>1.6958917835671343</v>
      </c>
      <c r="G39" s="46">
        <f>IFERROR('Historical FS'!G80/'Historical FS'!G7,0)</f>
        <v>-0.97695852534562211</v>
      </c>
      <c r="H39" s="46">
        <f>IFERROR('Historical FS'!H80/'Historical FS'!H7,0)</f>
        <v>5.492641906096706</v>
      </c>
      <c r="I39" s="46">
        <f>IFERROR('Historical FS'!I80/'Historical FS'!I7,0)</f>
        <v>2.6594578580950969</v>
      </c>
      <c r="J39" s="46">
        <f>IFERROR('Historical FS'!J80/'Historical FS'!J7,0)</f>
        <v>1.2142481137041585</v>
      </c>
      <c r="K39" s="46">
        <f>IFERROR('Historical FS'!K80/'Historical FS'!K7,0)</f>
        <v>1.0305317086679591</v>
      </c>
      <c r="L39" s="46">
        <f>IFERROR('Historical FS'!L80/'Historical FS'!L7,0)</f>
        <v>0.59170215171270302</v>
      </c>
      <c r="N39" s="46">
        <f>IFERROR(AVERAGE(C39:L39),0)</f>
        <v>1.1707514996498136</v>
      </c>
      <c r="O39" s="46">
        <f>IFERROR(MEDIAN(C39:L39),0)</f>
        <v>0.81111693019033104</v>
      </c>
    </row>
    <row r="40" spans="2:15" x14ac:dyDescent="0.3">
      <c r="B40" t="s">
        <v>8609</v>
      </c>
      <c r="C40" s="46">
        <f>IFERROR('Historical FS'!C80/'Historical FS'!C68,0)</f>
        <v>0</v>
      </c>
      <c r="D40" s="46">
        <f>IFERROR('Historical FS'!D80/'Historical FS'!D68,0)</f>
        <v>0</v>
      </c>
      <c r="E40" s="46">
        <f>IFERROR('Historical FS'!E80/'Historical FS'!E68,0)</f>
        <v>0</v>
      </c>
      <c r="F40" s="46">
        <f>IFERROR('Historical FS'!F80/'Historical FS'!F68,0)</f>
        <v>3.6087420042643923</v>
      </c>
      <c r="G40" s="46">
        <f>IFERROR('Historical FS'!G80/'Historical FS'!G68,0)</f>
        <v>-1.4894613583138174</v>
      </c>
      <c r="H40" s="46">
        <f>IFERROR('Historical FS'!H80/'Historical FS'!H68,0)</f>
        <v>7.2776230269266478</v>
      </c>
      <c r="I40" s="46">
        <f>IFERROR('Historical FS'!I80/'Historical FS'!I68,0)</f>
        <v>2.4245779878460501</v>
      </c>
      <c r="J40" s="46">
        <f>IFERROR('Historical FS'!J80/'Historical FS'!J68,0)</f>
        <v>1.2273855977296915</v>
      </c>
      <c r="K40" s="46">
        <f>IFERROR('Historical FS'!K80/'Historical FS'!K68,0)</f>
        <v>0.76553178358362473</v>
      </c>
      <c r="L40" s="46">
        <f>IFERROR('Historical FS'!L80/'Historical FS'!L68,0)</f>
        <v>0.5236618309154577</v>
      </c>
      <c r="N40" s="46">
        <f>IFERROR(AVERAGE(C40:L40),0)</f>
        <v>1.4338060872952045</v>
      </c>
      <c r="O40" s="46">
        <f>IFERROR(MEDIAN(C40:L40),0)</f>
        <v>0.64459680724954116</v>
      </c>
    </row>
    <row r="41" spans="2:15" x14ac:dyDescent="0.3">
      <c r="B41" t="s">
        <v>8610</v>
      </c>
      <c r="C41" s="46">
        <f>IFERROR('Historical FS'!C80/'Historical FS'!C53,0)</f>
        <v>0</v>
      </c>
      <c r="D41" s="46">
        <f>IFERROR('Historical FS'!D80/'Historical FS'!D53,0)</f>
        <v>0</v>
      </c>
      <c r="E41" s="46">
        <f>IFERROR('Historical FS'!E80/'Historical FS'!E53,0)</f>
        <v>0</v>
      </c>
      <c r="F41" s="46">
        <f>IFERROR('Historical FS'!F80/'Historical FS'!F53,0)</f>
        <v>21.560509554140129</v>
      </c>
      <c r="G41" s="46">
        <f>IFERROR('Historical FS'!G80/'Historical FS'!G53,0)</f>
        <v>-5.6117647058823525</v>
      </c>
      <c r="H41" s="46">
        <f>IFERROR('Historical FS'!H80/'Historical FS'!H53,0)</f>
        <v>43.184573002754824</v>
      </c>
      <c r="I41" s="46">
        <f>IFERROR('Historical FS'!I80/'Historical FS'!I53,0)</f>
        <v>56.106250000000003</v>
      </c>
      <c r="J41" s="46">
        <f>IFERROR('Historical FS'!J80/'Historical FS'!J53,0)</f>
        <v>25.027124773960217</v>
      </c>
      <c r="K41" s="46">
        <f>IFERROR('Historical FS'!K80/'Historical FS'!K53,0)</f>
        <v>12.414512093411176</v>
      </c>
      <c r="L41" s="46">
        <f>IFERROR('Historical FS'!L80/'Historical FS'!L53,0)</f>
        <v>4.8870214752567698</v>
      </c>
      <c r="N41" s="46">
        <f>IFERROR(AVERAGE(C41:L41),0)</f>
        <v>15.756822619364076</v>
      </c>
      <c r="O41" s="46">
        <f>IFERROR(MEDIAN(C41:L41),0)</f>
        <v>8.6507667843339728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Waaree Energies Ltd -Sales Forecasting</v>
      </c>
      <c r="C2" s="164"/>
      <c r="D2" s="164"/>
      <c r="E2" s="164"/>
      <c r="G2" s="164" t="str">
        <f>'Data Sheet'!$B$1&amp;" -"&amp;'Historical FS'!B19&amp;" Forecasting"</f>
        <v>Waaree Energies Ltd -EBITDA Forecasting</v>
      </c>
      <c r="H2" s="164"/>
      <c r="I2" s="164"/>
      <c r="J2" s="164"/>
      <c r="L2" s="164" t="str">
        <f>'Data Sheet'!$B$1&amp;" -"&amp;'Historical FS'!B37&amp;" Forecasting"</f>
        <v>Waaree Energies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0</v>
      </c>
      <c r="D5" s="106">
        <f t="array" ref="D5:D14">TRANSPOSE('Data Sheet'!B17:K17)</f>
        <v>0</v>
      </c>
      <c r="E5" s="56" t="s">
        <v>120</v>
      </c>
      <c r="G5">
        <v>1</v>
      </c>
      <c r="H5" s="54">
        <f t="array" ref="H5:H13">TRANSPOSE('Data Sheet'!B16:J16)</f>
        <v>0</v>
      </c>
      <c r="I5" s="106" cm="1">
        <f t="array" ref="I5:I14">TRANSPOSE('Historical FS'!C19:L19)</f>
        <v>0</v>
      </c>
      <c r="J5" s="45" t="s">
        <v>120</v>
      </c>
      <c r="L5">
        <v>1</v>
      </c>
      <c r="M5" s="54">
        <f t="array" ref="M5:M13">TRANSPOSE('Data Sheet'!B16:J16)</f>
        <v>0</v>
      </c>
      <c r="N5" s="106">
        <f t="array" ref="N5:N14">TRANSPOSE('Historical FS'!C37:L37)</f>
        <v>0</v>
      </c>
      <c r="O5" s="56" t="s">
        <v>120</v>
      </c>
    </row>
    <row r="6" spans="2:15" x14ac:dyDescent="0.3">
      <c r="B6">
        <f>B5+1</f>
        <v>2</v>
      </c>
      <c r="C6" s="54">
        <v>0</v>
      </c>
      <c r="D6" s="106">
        <v>0</v>
      </c>
      <c r="E6" s="36" t="e">
        <f>D6/D5-1</f>
        <v>#DIV/0!</v>
      </c>
      <c r="G6">
        <f>G5+1</f>
        <v>2</v>
      </c>
      <c r="H6" s="54">
        <v>0</v>
      </c>
      <c r="I6" s="106">
        <v>0</v>
      </c>
      <c r="J6" s="36" t="e">
        <f>I6/I5-1</f>
        <v>#DIV/0!</v>
      </c>
      <c r="L6">
        <f>L5+1</f>
        <v>2</v>
      </c>
      <c r="M6" s="54">
        <v>0</v>
      </c>
      <c r="N6" s="106">
        <v>0</v>
      </c>
      <c r="O6" s="36" t="e">
        <f>N6/N5-1</f>
        <v>#DIV/0!</v>
      </c>
    </row>
    <row r="7" spans="2:15" x14ac:dyDescent="0.3">
      <c r="B7">
        <f t="shared" ref="B7:B19" si="0">B6+1</f>
        <v>3</v>
      </c>
      <c r="C7" s="54">
        <v>0</v>
      </c>
      <c r="D7" s="106">
        <v>0</v>
      </c>
      <c r="E7" s="36" t="e">
        <f t="shared" ref="E7:E19" si="1">D7/D6-1</f>
        <v>#DIV/0!</v>
      </c>
      <c r="G7">
        <f t="shared" ref="G7:G19" si="2">G6+1</f>
        <v>3</v>
      </c>
      <c r="H7" s="54">
        <v>0</v>
      </c>
      <c r="I7" s="106">
        <v>0</v>
      </c>
      <c r="J7" s="36" t="e">
        <f t="shared" ref="J7:J19" si="3">I7/I6-1</f>
        <v>#DIV/0!</v>
      </c>
      <c r="L7">
        <f t="shared" ref="L7:L19" si="4">L6+1</f>
        <v>3</v>
      </c>
      <c r="M7" s="54">
        <v>0</v>
      </c>
      <c r="N7" s="106">
        <v>0</v>
      </c>
      <c r="O7" s="36" t="e">
        <f t="shared" ref="O7:O19" si="5">N7/N6-1</f>
        <v>#DIV/0!</v>
      </c>
    </row>
    <row r="8" spans="2:15" x14ac:dyDescent="0.3">
      <c r="B8">
        <f t="shared" si="0"/>
        <v>4</v>
      </c>
      <c r="C8" s="54">
        <v>43891</v>
      </c>
      <c r="D8" s="106">
        <v>1996</v>
      </c>
      <c r="E8" s="36" t="e">
        <f t="shared" si="1"/>
        <v>#DIV/0!</v>
      </c>
      <c r="G8">
        <f t="shared" si="2"/>
        <v>4</v>
      </c>
      <c r="H8" s="54">
        <v>43891</v>
      </c>
      <c r="I8" s="106">
        <v>159.67999999999984</v>
      </c>
      <c r="J8" s="36" t="e">
        <f t="shared" si="3"/>
        <v>#DIV/0!</v>
      </c>
      <c r="L8">
        <f t="shared" si="4"/>
        <v>4</v>
      </c>
      <c r="M8" s="54">
        <v>43891</v>
      </c>
      <c r="N8" s="106">
        <v>41.679999999999836</v>
      </c>
      <c r="O8" s="36" t="e">
        <f t="shared" si="5"/>
        <v>#DIV/0!</v>
      </c>
    </row>
    <row r="9" spans="2:15" x14ac:dyDescent="0.3">
      <c r="B9">
        <f t="shared" si="0"/>
        <v>5</v>
      </c>
      <c r="C9" s="54">
        <v>44256</v>
      </c>
      <c r="D9" s="106">
        <v>1953</v>
      </c>
      <c r="E9" s="36">
        <f t="shared" si="1"/>
        <v>-2.1543086172344683E-2</v>
      </c>
      <c r="G9">
        <f t="shared" si="2"/>
        <v>5</v>
      </c>
      <c r="H9" s="54">
        <v>44256</v>
      </c>
      <c r="I9" s="106">
        <v>117.18000000000006</v>
      </c>
      <c r="J9" s="36">
        <f t="shared" si="3"/>
        <v>-0.2661573146292574</v>
      </c>
      <c r="L9">
        <f t="shared" si="4"/>
        <v>5</v>
      </c>
      <c r="M9" s="54">
        <v>44256</v>
      </c>
      <c r="N9" s="106">
        <v>-12.819999999999936</v>
      </c>
      <c r="O9" s="36">
        <f t="shared" si="5"/>
        <v>-1.3075815738963528</v>
      </c>
    </row>
    <row r="10" spans="2:15" x14ac:dyDescent="0.3">
      <c r="B10">
        <f t="shared" si="0"/>
        <v>6</v>
      </c>
      <c r="C10" s="54">
        <v>44621</v>
      </c>
      <c r="D10" s="106">
        <v>2854</v>
      </c>
      <c r="E10" s="36">
        <f t="shared" si="1"/>
        <v>0.46134152585765498</v>
      </c>
      <c r="G10">
        <f t="shared" si="2"/>
        <v>6</v>
      </c>
      <c r="H10" s="54">
        <v>44621</v>
      </c>
      <c r="I10" s="106">
        <v>199.7800000000002</v>
      </c>
      <c r="J10" s="36">
        <f t="shared" si="3"/>
        <v>0.70489844683393144</v>
      </c>
      <c r="L10">
        <f t="shared" si="4"/>
        <v>6</v>
      </c>
      <c r="M10" s="54">
        <v>44621</v>
      </c>
      <c r="N10" s="106">
        <v>-2.2199999999997999</v>
      </c>
      <c r="O10" s="36">
        <f t="shared" si="5"/>
        <v>-0.82683307332294764</v>
      </c>
    </row>
    <row r="11" spans="2:15" x14ac:dyDescent="0.3">
      <c r="B11">
        <f t="shared" si="0"/>
        <v>7</v>
      </c>
      <c r="C11" s="54">
        <v>44986</v>
      </c>
      <c r="D11" s="106">
        <v>6751</v>
      </c>
      <c r="E11" s="36">
        <f t="shared" si="1"/>
        <v>1.3654519971969168</v>
      </c>
      <c r="G11">
        <f t="shared" si="2"/>
        <v>7</v>
      </c>
      <c r="H11" s="54">
        <v>44986</v>
      </c>
      <c r="I11" s="106">
        <v>1012.6499999999996</v>
      </c>
      <c r="J11" s="36">
        <f t="shared" si="3"/>
        <v>4.0688257082790997</v>
      </c>
      <c r="L11">
        <f t="shared" si="4"/>
        <v>7</v>
      </c>
      <c r="M11" s="54">
        <v>44986</v>
      </c>
      <c r="N11" s="106">
        <v>89.649999999999636</v>
      </c>
      <c r="O11" s="36">
        <f t="shared" si="5"/>
        <v>-41.382882882886356</v>
      </c>
    </row>
    <row r="12" spans="2:15" x14ac:dyDescent="0.3">
      <c r="B12">
        <f t="shared" si="0"/>
        <v>8</v>
      </c>
      <c r="C12" s="54">
        <v>45352</v>
      </c>
      <c r="D12" s="106">
        <v>11398</v>
      </c>
      <c r="E12" s="36">
        <f t="shared" si="1"/>
        <v>0.6883424677825507</v>
      </c>
      <c r="G12">
        <f t="shared" si="2"/>
        <v>8</v>
      </c>
      <c r="H12" s="54">
        <v>45352</v>
      </c>
      <c r="I12" s="106">
        <v>2165.6200000000026</v>
      </c>
      <c r="J12" s="36">
        <f t="shared" si="3"/>
        <v>1.1385671258579011</v>
      </c>
      <c r="L12">
        <f t="shared" si="4"/>
        <v>8</v>
      </c>
      <c r="M12" s="54">
        <v>45352</v>
      </c>
      <c r="N12" s="106">
        <v>14.620000000002619</v>
      </c>
      <c r="O12" s="36">
        <f t="shared" si="5"/>
        <v>-0.83692136084771129</v>
      </c>
    </row>
    <row r="13" spans="2:15" x14ac:dyDescent="0.3">
      <c r="B13">
        <f t="shared" si="0"/>
        <v>9</v>
      </c>
      <c r="C13" s="54">
        <v>45717</v>
      </c>
      <c r="D13" s="106">
        <v>14444</v>
      </c>
      <c r="E13" s="36">
        <f t="shared" si="1"/>
        <v>0.26723986664327071</v>
      </c>
      <c r="G13">
        <f t="shared" si="2"/>
        <v>9</v>
      </c>
      <c r="H13" s="54">
        <v>45717</v>
      </c>
      <c r="I13" s="106">
        <v>3611.0000000000018</v>
      </c>
      <c r="J13" s="36">
        <f t="shared" si="3"/>
        <v>0.66742087716219722</v>
      </c>
      <c r="L13">
        <f t="shared" si="4"/>
        <v>9</v>
      </c>
      <c r="M13" s="54">
        <v>45717</v>
      </c>
      <c r="N13" s="106">
        <v>492.00000000000182</v>
      </c>
      <c r="O13" s="36">
        <f t="shared" si="5"/>
        <v>32.652530779747856</v>
      </c>
    </row>
    <row r="14" spans="2:15" x14ac:dyDescent="0.3">
      <c r="B14">
        <f t="shared" si="0"/>
        <v>10</v>
      </c>
      <c r="C14" s="54">
        <f>C13+365</f>
        <v>46082</v>
      </c>
      <c r="D14" s="106">
        <v>26537</v>
      </c>
      <c r="E14" s="36">
        <f t="shared" si="1"/>
        <v>0.83723345333702581</v>
      </c>
      <c r="G14">
        <f t="shared" si="2"/>
        <v>10</v>
      </c>
      <c r="H14" s="54">
        <f>H13+365</f>
        <v>46082</v>
      </c>
      <c r="I14" s="106">
        <v>7961.0999999999985</v>
      </c>
      <c r="J14" s="36">
        <f t="shared" si="3"/>
        <v>1.2046801440044295</v>
      </c>
      <c r="L14">
        <f t="shared" si="4"/>
        <v>10</v>
      </c>
      <c r="M14" s="54">
        <f>M13+365</f>
        <v>46082</v>
      </c>
      <c r="N14" s="106">
        <v>1639.0999999999985</v>
      </c>
      <c r="O14" s="36">
        <f t="shared" si="5"/>
        <v>2.3315040650406353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20329.866666666665</v>
      </c>
      <c r="E15" s="36">
        <f t="shared" si="1"/>
        <v>-0.23390486239338792</v>
      </c>
      <c r="G15">
        <f t="shared" si="2"/>
        <v>11</v>
      </c>
      <c r="H15" s="55">
        <f>H14+365</f>
        <v>46447</v>
      </c>
      <c r="I15" s="106">
        <f>FORECAST(G15,$I$5:$I$14,$G$5:$G$14)</f>
        <v>5202.5846666666675</v>
      </c>
      <c r="J15" s="36">
        <f t="shared" si="3"/>
        <v>-0.34649926936394859</v>
      </c>
      <c r="L15">
        <f t="shared" si="4"/>
        <v>11</v>
      </c>
      <c r="M15" s="55">
        <f>M14+365</f>
        <v>46447</v>
      </c>
      <c r="N15" s="106">
        <f>FORECAST(L15,$N$5:$N$14,$L$5:$L$14)</f>
        <v>840.31800000000067</v>
      </c>
      <c r="O15" s="36">
        <f t="shared" si="5"/>
        <v>-0.48732963211518432</v>
      </c>
    </row>
    <row r="16" spans="2:15" x14ac:dyDescent="0.3">
      <c r="B16">
        <f t="shared" si="0"/>
        <v>12</v>
      </c>
      <c r="C16" s="55">
        <f>C15+365</f>
        <v>46812</v>
      </c>
      <c r="D16" s="106">
        <f t="shared" ref="D16:D19" si="6">FORECAST(B16,$D$5:$D$14,$B$5:$B$14)</f>
        <v>22827.424242424244</v>
      </c>
      <c r="E16" s="36">
        <f t="shared" si="1"/>
        <v>0.12285164564569584</v>
      </c>
      <c r="G16">
        <f t="shared" si="2"/>
        <v>12</v>
      </c>
      <c r="H16" s="55">
        <f>H15+365</f>
        <v>46812</v>
      </c>
      <c r="I16" s="106">
        <f t="shared" ref="I16:I19" si="7">FORECAST(G16,$I$5:$I$14,$G$5:$G$14)</f>
        <v>5871.6544242424252</v>
      </c>
      <c r="J16" s="36">
        <f t="shared" si="3"/>
        <v>0.12860333861792506</v>
      </c>
      <c r="L16">
        <f t="shared" si="4"/>
        <v>12</v>
      </c>
      <c r="M16" s="55">
        <f>M15+365</f>
        <v>46812</v>
      </c>
      <c r="N16" s="106">
        <f t="shared" ref="N16:N19" si="8">FORECAST(L16,$N$5:$N$14,$L$5:$L$14)</f>
        <v>951.97563636363702</v>
      </c>
      <c r="O16" s="36">
        <f t="shared" si="5"/>
        <v>0.13287545472504014</v>
      </c>
    </row>
    <row r="17" spans="2:15" x14ac:dyDescent="0.3">
      <c r="B17">
        <f t="shared" si="0"/>
        <v>13</v>
      </c>
      <c r="C17" s="55">
        <f>C16+365</f>
        <v>47177</v>
      </c>
      <c r="D17" s="106">
        <f>FORECAST(B17,$D$5:$D$14,$B$5:$B$14)</f>
        <v>25324.981818181819</v>
      </c>
      <c r="E17" s="36">
        <f t="shared" si="1"/>
        <v>0.10941039817869247</v>
      </c>
      <c r="G17">
        <f t="shared" si="2"/>
        <v>13</v>
      </c>
      <c r="H17" s="55">
        <f>H16+365</f>
        <v>47177</v>
      </c>
      <c r="I17" s="106">
        <f t="shared" si="7"/>
        <v>6540.7241818181838</v>
      </c>
      <c r="J17" s="36">
        <f t="shared" si="3"/>
        <v>0.11394910347811948</v>
      </c>
      <c r="L17">
        <f t="shared" si="4"/>
        <v>13</v>
      </c>
      <c r="M17" s="55">
        <f>M16+365</f>
        <v>47177</v>
      </c>
      <c r="N17" s="106">
        <f t="shared" si="8"/>
        <v>1063.6332727272736</v>
      </c>
      <c r="O17" s="36">
        <f t="shared" si="5"/>
        <v>0.11729043485834079</v>
      </c>
    </row>
    <row r="18" spans="2:15" x14ac:dyDescent="0.3">
      <c r="B18">
        <f t="shared" si="0"/>
        <v>14</v>
      </c>
      <c r="C18" s="55">
        <f>C17+365</f>
        <v>47542</v>
      </c>
      <c r="D18" s="106">
        <f t="shared" si="6"/>
        <v>27822.539393939394</v>
      </c>
      <c r="E18" s="36">
        <f t="shared" si="1"/>
        <v>9.8620310714871984E-2</v>
      </c>
      <c r="G18">
        <f t="shared" si="2"/>
        <v>14</v>
      </c>
      <c r="H18" s="55">
        <f>H17+365</f>
        <v>47542</v>
      </c>
      <c r="I18" s="106">
        <f t="shared" si="7"/>
        <v>7209.7939393939405</v>
      </c>
      <c r="J18" s="36">
        <f t="shared" si="3"/>
        <v>0.102292917263753</v>
      </c>
      <c r="L18">
        <f t="shared" si="4"/>
        <v>14</v>
      </c>
      <c r="M18" s="55">
        <f>M17+365</f>
        <v>47542</v>
      </c>
      <c r="N18" s="106">
        <f t="shared" si="8"/>
        <v>1175.29090909091</v>
      </c>
      <c r="O18" s="36">
        <f t="shared" si="5"/>
        <v>0.10497757002028885</v>
      </c>
    </row>
    <row r="19" spans="2:15" x14ac:dyDescent="0.3">
      <c r="B19">
        <f t="shared" si="0"/>
        <v>15</v>
      </c>
      <c r="C19" s="55">
        <f>C18+365</f>
        <v>47907</v>
      </c>
      <c r="D19" s="106">
        <f t="shared" si="6"/>
        <v>30320.096969696966</v>
      </c>
      <c r="E19" s="36">
        <f t="shared" si="1"/>
        <v>8.9767419874751564E-2</v>
      </c>
      <c r="G19">
        <f t="shared" si="2"/>
        <v>15</v>
      </c>
      <c r="H19" s="55">
        <f>H18+365</f>
        <v>47907</v>
      </c>
      <c r="I19" s="106">
        <f t="shared" si="7"/>
        <v>7878.8636969696972</v>
      </c>
      <c r="J19" s="36">
        <f t="shared" si="3"/>
        <v>9.2800122056192702E-2</v>
      </c>
      <c r="L19">
        <f t="shared" si="4"/>
        <v>15</v>
      </c>
      <c r="M19" s="55">
        <f>M18+365</f>
        <v>47907</v>
      </c>
      <c r="N19" s="106">
        <f t="shared" si="8"/>
        <v>1286.9485454545465</v>
      </c>
      <c r="O19" s="36">
        <f t="shared" si="5"/>
        <v>9.5004254265868449E-2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Waaree Energies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0.83925418607427382</v>
      </c>
    </row>
    <row r="10" spans="1:15" x14ac:dyDescent="0.3">
      <c r="B10" s="34">
        <f>'Raw Data'!G6</f>
        <v>46287</v>
      </c>
      <c r="C10">
        <f>'Raw Data'!H6</f>
        <v>2520.8000000000002</v>
      </c>
      <c r="D10" s="45" t="s">
        <v>120</v>
      </c>
      <c r="F10" s="34">
        <f>'Raw Data'!G6</f>
        <v>46287</v>
      </c>
      <c r="G10">
        <f>'Raw Data'!J6</f>
        <v>23414.3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46286</v>
      </c>
      <c r="C11">
        <f>'Raw Data'!H7</f>
        <v>2499</v>
      </c>
      <c r="D11" s="36">
        <f>C10/C11-1</f>
        <v>8.7234893957583992E-3</v>
      </c>
      <c r="F11" s="34">
        <f>'Raw Data'!G7</f>
        <v>46286</v>
      </c>
      <c r="G11">
        <f>'Raw Data'!J7</f>
        <v>23414.3</v>
      </c>
      <c r="H11" s="36">
        <f>G10/G11-1</f>
        <v>0</v>
      </c>
      <c r="N11" t="s">
        <v>194</v>
      </c>
      <c r="O11">
        <f>SLOPE(D10:D252, H10:H252)</f>
        <v>0.83925418607427382</v>
      </c>
    </row>
    <row r="12" spans="1:15" x14ac:dyDescent="0.3">
      <c r="B12" s="34">
        <f>'Raw Data'!G8</f>
        <v>46283</v>
      </c>
      <c r="C12">
        <f>'Raw Data'!H8</f>
        <v>2560.6999999999998</v>
      </c>
      <c r="D12" s="36">
        <f>C11/C12-1</f>
        <v>-2.4094974030538507E-2</v>
      </c>
      <c r="F12" s="34">
        <f>'Raw Data'!G8</f>
        <v>46283</v>
      </c>
      <c r="G12">
        <f>'Raw Data'!J8</f>
        <v>23346.400000000001</v>
      </c>
      <c r="H12" s="36">
        <f>G11/G12-1</f>
        <v>2.9083713120652277E-3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0.83925418607427371</v>
      </c>
    </row>
    <row r="13" spans="1:15" x14ac:dyDescent="0.3">
      <c r="B13" s="34">
        <f>'Raw Data'!G9</f>
        <v>46282</v>
      </c>
      <c r="C13">
        <f>'Raw Data'!H9</f>
        <v>2473</v>
      </c>
      <c r="D13" s="36">
        <f>C12/C13-1</f>
        <v>3.5463000404367007E-2</v>
      </c>
      <c r="F13" s="34">
        <f>'Raw Data'!G9</f>
        <v>46282</v>
      </c>
      <c r="G13">
        <f>'Raw Data'!J9</f>
        <v>23270.6</v>
      </c>
      <c r="H13" s="36">
        <f>G12/G13-1</f>
        <v>3.2573289902282365E-3</v>
      </c>
      <c r="J13" t="s">
        <v>200</v>
      </c>
      <c r="L13" s="46">
        <v>0.25</v>
      </c>
    </row>
    <row r="14" spans="1:15" x14ac:dyDescent="0.3">
      <c r="B14" s="34">
        <f>'Raw Data'!G10</f>
        <v>46281</v>
      </c>
      <c r="C14">
        <f>'Raw Data'!H10</f>
        <v>2501</v>
      </c>
      <c r="D14" s="36">
        <f>C13/C14-1</f>
        <v>-1.1195521791283469E-2</v>
      </c>
      <c r="F14" s="34">
        <f>'Raw Data'!G10</f>
        <v>46281</v>
      </c>
      <c r="G14">
        <f>'Raw Data'!J10</f>
        <v>23217.599999999999</v>
      </c>
      <c r="H14" s="36">
        <f>G13/G14-1</f>
        <v>2.2827510164702414E-3</v>
      </c>
    </row>
    <row r="15" spans="1:15" x14ac:dyDescent="0.3">
      <c r="B15" s="34">
        <f>'Raw Data'!G11</f>
        <v>46280</v>
      </c>
      <c r="C15">
        <f>'Raw Data'!H11</f>
        <v>2555</v>
      </c>
      <c r="D15" s="36">
        <f>C14/C15-1</f>
        <v>-2.1135029354207413E-2</v>
      </c>
      <c r="F15" s="34">
        <f>'Raw Data'!G11</f>
        <v>46280</v>
      </c>
      <c r="G15">
        <f>'Raw Data'!J11</f>
        <v>23118.6</v>
      </c>
      <c r="H15" s="36">
        <f>G14/G15-1</f>
        <v>4.2822662271937428E-3</v>
      </c>
      <c r="J15" s="79" t="s">
        <v>201</v>
      </c>
      <c r="K15" s="79"/>
      <c r="L15" s="79">
        <f>(L9*L10)+(L12*L13)</f>
        <v>0.87944063955570539</v>
      </c>
    </row>
    <row r="16" spans="1:15" x14ac:dyDescent="0.3">
      <c r="B16" s="34">
        <f>'Raw Data'!G12</f>
        <v>46276</v>
      </c>
      <c r="C16">
        <f>'Raw Data'!H12</f>
        <v>2625</v>
      </c>
      <c r="D16" s="36">
        <f>C15/C16-1</f>
        <v>-2.6666666666666616E-2</v>
      </c>
      <c r="F16" s="34">
        <f>'Raw Data'!G12</f>
        <v>46276</v>
      </c>
      <c r="G16">
        <f>'Raw Data'!J12</f>
        <v>23398.1</v>
      </c>
      <c r="H16" s="36">
        <f>G15/G16-1</f>
        <v>-1.1945414371252405E-2</v>
      </c>
    </row>
    <row r="17" spans="2:8" x14ac:dyDescent="0.3">
      <c r="B17" s="34">
        <f>'Raw Data'!G13</f>
        <v>46275</v>
      </c>
      <c r="C17">
        <f>'Raw Data'!H13</f>
        <v>2548</v>
      </c>
      <c r="D17" s="36">
        <f>C16/C17-1</f>
        <v>3.0219780219780112E-2</v>
      </c>
      <c r="F17" s="34">
        <f>'Raw Data'!G13</f>
        <v>46275</v>
      </c>
      <c r="G17">
        <f>'Raw Data'!J13</f>
        <v>23477.8</v>
      </c>
      <c r="H17" s="36">
        <f>G16/G17-1</f>
        <v>-3.3946962662600999E-3</v>
      </c>
    </row>
    <row r="18" spans="2:8" x14ac:dyDescent="0.3">
      <c r="B18" s="34">
        <f>'Raw Data'!G14</f>
        <v>46274</v>
      </c>
      <c r="C18">
        <f>'Raw Data'!H14</f>
        <v>2568</v>
      </c>
      <c r="D18" s="36">
        <f>C17/C18-1</f>
        <v>-7.7881619937694158E-3</v>
      </c>
      <c r="F18" s="34">
        <f>'Raw Data'!G14</f>
        <v>46274</v>
      </c>
      <c r="G18">
        <f>'Raw Data'!J14</f>
        <v>23431.5</v>
      </c>
      <c r="H18" s="36">
        <f>G17/G18-1</f>
        <v>1.9759725156305308E-3</v>
      </c>
    </row>
    <row r="19" spans="2:8" x14ac:dyDescent="0.3">
      <c r="B19" s="34">
        <f>'Raw Data'!G15</f>
        <v>46273</v>
      </c>
      <c r="C19">
        <f>'Raw Data'!H15</f>
        <v>2571</v>
      </c>
      <c r="D19" s="36">
        <f>C18/C19-1</f>
        <v>-1.166861143523934E-3</v>
      </c>
      <c r="F19" s="34">
        <f>'Raw Data'!G15</f>
        <v>46273</v>
      </c>
      <c r="G19">
        <f>'Raw Data'!J15</f>
        <v>23635.1</v>
      </c>
      <c r="H19" s="36">
        <f>G18/G19-1</f>
        <v>-8.6143066879343921E-3</v>
      </c>
    </row>
    <row r="20" spans="2:8" x14ac:dyDescent="0.3">
      <c r="B20" s="34">
        <f>'Raw Data'!G16</f>
        <v>46272</v>
      </c>
      <c r="C20">
        <f>'Raw Data'!H16</f>
        <v>2593</v>
      </c>
      <c r="D20" s="36">
        <f>C19/C20-1</f>
        <v>-8.4843810258388164E-3</v>
      </c>
      <c r="F20" s="34">
        <f>'Raw Data'!G16</f>
        <v>46272</v>
      </c>
      <c r="G20">
        <f>'Raw Data'!J16</f>
        <v>23779.15</v>
      </c>
      <c r="H20" s="36">
        <f>G19/G20-1</f>
        <v>-6.0578279711429595E-3</v>
      </c>
    </row>
    <row r="21" spans="2:8" x14ac:dyDescent="0.3">
      <c r="B21" s="34">
        <f>'Raw Data'!G17</f>
        <v>46269</v>
      </c>
      <c r="C21">
        <f>'Raw Data'!H17</f>
        <v>2635</v>
      </c>
      <c r="D21" s="36">
        <f>C20/C21-1</f>
        <v>-1.5939278937381451E-2</v>
      </c>
      <c r="F21" s="34">
        <f>'Raw Data'!G17</f>
        <v>46269</v>
      </c>
      <c r="G21">
        <f>'Raw Data'!J17</f>
        <v>23897.7</v>
      </c>
      <c r="H21" s="36">
        <f>G20/G21-1</f>
        <v>-4.9607284383015315E-3</v>
      </c>
    </row>
    <row r="22" spans="2:8" x14ac:dyDescent="0.3">
      <c r="B22" s="34">
        <f>'Raw Data'!G18</f>
        <v>46268</v>
      </c>
      <c r="C22">
        <f>'Raw Data'!H18</f>
        <v>2579.9</v>
      </c>
      <c r="D22" s="36">
        <f>C21/C22-1</f>
        <v>2.1357416954145503E-2</v>
      </c>
      <c r="F22" s="34">
        <f>'Raw Data'!G18</f>
        <v>46268</v>
      </c>
      <c r="G22">
        <f>'Raw Data'!J18</f>
        <v>23873.45</v>
      </c>
      <c r="H22" s="36">
        <f>G21/G22-1</f>
        <v>1.0157727517388082E-3</v>
      </c>
    </row>
    <row r="23" spans="2:8" x14ac:dyDescent="0.3">
      <c r="B23" s="34">
        <f>'Raw Data'!G19</f>
        <v>46267</v>
      </c>
      <c r="C23">
        <f>'Raw Data'!H19</f>
        <v>2581.1</v>
      </c>
      <c r="D23" s="36">
        <f>C22/C23-1</f>
        <v>-4.6491805819215415E-4</v>
      </c>
      <c r="F23" s="34">
        <f>'Raw Data'!G19</f>
        <v>46267</v>
      </c>
      <c r="G23">
        <f>'Raw Data'!J19</f>
        <v>23914.45</v>
      </c>
      <c r="H23" s="36">
        <f>G22/G23-1</f>
        <v>-1.7144446140304748E-3</v>
      </c>
    </row>
    <row r="24" spans="2:8" x14ac:dyDescent="0.3">
      <c r="B24" s="34">
        <f>'Raw Data'!G20</f>
        <v>46266</v>
      </c>
      <c r="C24">
        <f>'Raw Data'!H20</f>
        <v>2588</v>
      </c>
      <c r="D24" s="36">
        <f>C23/C24-1</f>
        <v>-2.666151468315392E-3</v>
      </c>
      <c r="F24" s="34">
        <f>'Raw Data'!G20</f>
        <v>46266</v>
      </c>
      <c r="G24">
        <f>'Raw Data'!J20</f>
        <v>24055.8</v>
      </c>
      <c r="H24" s="36">
        <f>G23/G24-1</f>
        <v>-5.8759218151130943E-3</v>
      </c>
    </row>
    <row r="25" spans="2:8" x14ac:dyDescent="0.3">
      <c r="B25" s="34">
        <f>'Raw Data'!G21</f>
        <v>46265</v>
      </c>
      <c r="C25">
        <f>'Raw Data'!H21</f>
        <v>2605</v>
      </c>
      <c r="D25" s="36">
        <f>C24/C25-1</f>
        <v>-6.5259117082533402E-3</v>
      </c>
      <c r="F25" s="34">
        <f>'Raw Data'!G21</f>
        <v>46265</v>
      </c>
      <c r="G25">
        <f>'Raw Data'!J21</f>
        <v>24080.400000000001</v>
      </c>
      <c r="H25" s="36">
        <f>G24/G25-1</f>
        <v>-1.0215777146559413E-3</v>
      </c>
    </row>
    <row r="26" spans="2:8" x14ac:dyDescent="0.3">
      <c r="B26" s="34">
        <f>'Raw Data'!G22</f>
        <v>46262</v>
      </c>
      <c r="C26">
        <f>'Raw Data'!H22</f>
        <v>2640</v>
      </c>
      <c r="D26" s="36">
        <f>C25/C26-1</f>
        <v>-1.3257575757575801E-2</v>
      </c>
      <c r="F26" s="34">
        <f>'Raw Data'!G22</f>
        <v>46262</v>
      </c>
      <c r="G26">
        <f>'Raw Data'!J22</f>
        <v>24175.65</v>
      </c>
      <c r="H26" s="36">
        <f>G25/G26-1</f>
        <v>-3.9399147489312947E-3</v>
      </c>
    </row>
    <row r="27" spans="2:8" x14ac:dyDescent="0.3">
      <c r="B27" s="34">
        <f>'Raw Data'!G23</f>
        <v>46261</v>
      </c>
      <c r="C27">
        <f>'Raw Data'!H23</f>
        <v>2624</v>
      </c>
      <c r="D27" s="36">
        <f>C26/C27-1</f>
        <v>6.0975609756097615E-3</v>
      </c>
      <c r="F27" s="34">
        <f>'Raw Data'!G23</f>
        <v>46261</v>
      </c>
      <c r="G27">
        <f>'Raw Data'!J23</f>
        <v>24090.85</v>
      </c>
      <c r="H27" s="36">
        <f>G26/G27-1</f>
        <v>3.5200086339834957E-3</v>
      </c>
    </row>
    <row r="28" spans="2:8" x14ac:dyDescent="0.3">
      <c r="B28" s="34">
        <f>'Raw Data'!G24</f>
        <v>46260</v>
      </c>
      <c r="C28">
        <f>'Raw Data'!H24</f>
        <v>2635</v>
      </c>
      <c r="D28" s="36">
        <f>C27/C28-1</f>
        <v>-4.174573055028441E-3</v>
      </c>
      <c r="F28" s="34">
        <f>'Raw Data'!G24</f>
        <v>46260</v>
      </c>
      <c r="G28">
        <f>'Raw Data'!J24</f>
        <v>24207.75</v>
      </c>
      <c r="H28" s="36">
        <f>G27/G28-1</f>
        <v>-4.829032024868174E-3</v>
      </c>
    </row>
    <row r="29" spans="2:8" x14ac:dyDescent="0.3">
      <c r="B29" s="34">
        <f>'Raw Data'!G25</f>
        <v>46259</v>
      </c>
      <c r="C29">
        <f>'Raw Data'!H25</f>
        <v>2655</v>
      </c>
      <c r="D29" s="36">
        <f>C28/C29-1</f>
        <v>-7.532956685499026E-3</v>
      </c>
      <c r="F29" s="34">
        <f>'Raw Data'!G25</f>
        <v>46259</v>
      </c>
      <c r="G29">
        <f>'Raw Data'!J25</f>
        <v>24334.55</v>
      </c>
      <c r="H29" s="36">
        <f>G28/G29-1</f>
        <v>-5.2106983691910802E-3</v>
      </c>
    </row>
    <row r="30" spans="2:8" x14ac:dyDescent="0.3">
      <c r="B30" s="34">
        <f>'Raw Data'!G26</f>
        <v>46258</v>
      </c>
      <c r="C30">
        <f>'Raw Data'!H26</f>
        <v>2674.8</v>
      </c>
      <c r="D30" s="36">
        <f>C29/C30-1</f>
        <v>-7.4024226110364078E-3</v>
      </c>
      <c r="F30" s="34">
        <f>'Raw Data'!G26</f>
        <v>46258</v>
      </c>
      <c r="G30">
        <f>'Raw Data'!J26</f>
        <v>24219.05</v>
      </c>
      <c r="H30" s="36">
        <f>G29/G30-1</f>
        <v>4.7689731843321148E-3</v>
      </c>
    </row>
    <row r="31" spans="2:8" x14ac:dyDescent="0.3">
      <c r="B31" s="34">
        <f>'Raw Data'!G27</f>
        <v>46255</v>
      </c>
      <c r="C31">
        <f>'Raw Data'!H27</f>
        <v>2678.2</v>
      </c>
      <c r="D31" s="36">
        <f>C30/C31-1</f>
        <v>-1.2695093719661266E-3</v>
      </c>
      <c r="F31" s="34">
        <f>'Raw Data'!G27</f>
        <v>46255</v>
      </c>
      <c r="G31">
        <f>'Raw Data'!J27</f>
        <v>24252</v>
      </c>
      <c r="H31" s="36">
        <f>G30/G31-1</f>
        <v>-1.3586508329209712E-3</v>
      </c>
    </row>
    <row r="32" spans="2:8" x14ac:dyDescent="0.3">
      <c r="B32" s="34">
        <f>'Raw Data'!G28</f>
        <v>46254</v>
      </c>
      <c r="C32">
        <f>'Raw Data'!H28</f>
        <v>2675</v>
      </c>
      <c r="D32" s="36">
        <f>C31/C32-1</f>
        <v>1.1962616822429606E-3</v>
      </c>
      <c r="F32" s="34">
        <f>'Raw Data'!G28</f>
        <v>46254</v>
      </c>
      <c r="G32">
        <f>'Raw Data'!J28</f>
        <v>24231.85</v>
      </c>
      <c r="H32" s="36">
        <f>G31/G32-1</f>
        <v>8.3155021180814082E-4</v>
      </c>
    </row>
    <row r="33" spans="2:8" x14ac:dyDescent="0.3">
      <c r="B33" s="34">
        <f>'Raw Data'!G29</f>
        <v>46253</v>
      </c>
      <c r="C33">
        <f>'Raw Data'!H29</f>
        <v>2679</v>
      </c>
      <c r="D33" s="36">
        <f>C32/C33-1</f>
        <v>-1.4930944382232081E-3</v>
      </c>
      <c r="F33" s="34">
        <f>'Raw Data'!G29</f>
        <v>46253</v>
      </c>
      <c r="G33">
        <f>'Raw Data'!J29</f>
        <v>24078.3</v>
      </c>
      <c r="H33" s="36">
        <f>G32/G33-1</f>
        <v>6.3771113409167857E-3</v>
      </c>
    </row>
    <row r="34" spans="2:8" x14ac:dyDescent="0.3">
      <c r="B34" s="34">
        <f>'Raw Data'!G30</f>
        <v>46252</v>
      </c>
      <c r="C34">
        <f>'Raw Data'!H30</f>
        <v>2709.1</v>
      </c>
      <c r="D34" s="36">
        <f>C33/C34-1</f>
        <v>-1.1110700970802023E-2</v>
      </c>
      <c r="F34" s="34">
        <f>'Raw Data'!G30</f>
        <v>46252</v>
      </c>
      <c r="G34">
        <f>'Raw Data'!J30</f>
        <v>24154.9</v>
      </c>
      <c r="H34" s="36">
        <f>G33/G34-1</f>
        <v>-3.1711992183781623E-3</v>
      </c>
    </row>
    <row r="35" spans="2:8" x14ac:dyDescent="0.3">
      <c r="B35" s="34">
        <f>'Raw Data'!G31</f>
        <v>46251</v>
      </c>
      <c r="C35">
        <f>'Raw Data'!H31</f>
        <v>2707</v>
      </c>
      <c r="D35" s="36">
        <f>C34/C35-1</f>
        <v>7.7576653121536054E-4</v>
      </c>
      <c r="F35" s="34">
        <f>'Raw Data'!G31</f>
        <v>46251</v>
      </c>
      <c r="G35">
        <f>'Raw Data'!J31</f>
        <v>24287.65</v>
      </c>
      <c r="H35" s="36">
        <f>G34/G35-1</f>
        <v>-5.4657408188935053E-3</v>
      </c>
    </row>
    <row r="36" spans="2:8" x14ac:dyDescent="0.3">
      <c r="B36" s="34">
        <f>'Raw Data'!G32</f>
        <v>46248</v>
      </c>
      <c r="C36">
        <f>'Raw Data'!H32</f>
        <v>2682</v>
      </c>
      <c r="D36" s="36">
        <f>C35/C36-1</f>
        <v>9.32140193885167E-3</v>
      </c>
      <c r="F36" s="34">
        <f>'Raw Data'!G32</f>
        <v>46248</v>
      </c>
      <c r="G36">
        <f>'Raw Data'!J32</f>
        <v>24366</v>
      </c>
      <c r="H36" s="36">
        <f>G35/G36-1</f>
        <v>-3.2155462529753764E-3</v>
      </c>
    </row>
    <row r="37" spans="2:8" x14ac:dyDescent="0.3">
      <c r="B37" s="34">
        <f>'Raw Data'!G33</f>
        <v>46247</v>
      </c>
      <c r="C37">
        <f>'Raw Data'!H33</f>
        <v>2687</v>
      </c>
      <c r="D37" s="36">
        <f>C36/C37-1</f>
        <v>-1.8608113137328353E-3</v>
      </c>
      <c r="F37" s="34">
        <f>'Raw Data'!G33</f>
        <v>46247</v>
      </c>
      <c r="G37">
        <f>'Raw Data'!J33</f>
        <v>24395.85</v>
      </c>
      <c r="H37" s="36">
        <f>G36/G37-1</f>
        <v>-1.2235687627197844E-3</v>
      </c>
    </row>
    <row r="38" spans="2:8" x14ac:dyDescent="0.3">
      <c r="B38" s="34">
        <f>'Raw Data'!G34</f>
        <v>46246</v>
      </c>
      <c r="C38">
        <f>'Raw Data'!H34</f>
        <v>2668</v>
      </c>
      <c r="D38" s="36">
        <f>C37/C38-1</f>
        <v>7.1214392803597981E-3</v>
      </c>
      <c r="F38" s="34">
        <f>'Raw Data'!G34</f>
        <v>46246</v>
      </c>
      <c r="G38">
        <f>'Raw Data'!J34</f>
        <v>24435.95</v>
      </c>
      <c r="H38" s="36">
        <f>G37/G38-1</f>
        <v>-1.6410248015731321E-3</v>
      </c>
    </row>
    <row r="39" spans="2:8" x14ac:dyDescent="0.3">
      <c r="B39" s="34">
        <f>'Raw Data'!G35</f>
        <v>46245</v>
      </c>
      <c r="C39">
        <f>'Raw Data'!H35</f>
        <v>2704</v>
      </c>
      <c r="D39" s="36">
        <f>C38/C39-1</f>
        <v>-1.3313609467455634E-2</v>
      </c>
      <c r="F39" s="34">
        <f>'Raw Data'!G35</f>
        <v>46245</v>
      </c>
      <c r="G39">
        <f>'Raw Data'!J35</f>
        <v>24471.7</v>
      </c>
      <c r="H39" s="36">
        <f>G38/G39-1</f>
        <v>-1.4608711286915321E-3</v>
      </c>
    </row>
    <row r="40" spans="2:8" x14ac:dyDescent="0.3">
      <c r="B40" s="34">
        <f>'Raw Data'!G36</f>
        <v>46244</v>
      </c>
      <c r="C40">
        <f>'Raw Data'!H36</f>
        <v>2701</v>
      </c>
      <c r="D40" s="36">
        <f>C39/C40-1</f>
        <v>1.1106997408367736E-3</v>
      </c>
      <c r="F40" s="34">
        <f>'Raw Data'!G36</f>
        <v>46244</v>
      </c>
      <c r="G40">
        <f>'Raw Data'!J36</f>
        <v>24583.8</v>
      </c>
      <c r="H40" s="36">
        <f>G39/G40-1</f>
        <v>-4.5599134389312512E-3</v>
      </c>
    </row>
    <row r="41" spans="2:8" x14ac:dyDescent="0.3">
      <c r="B41" s="34">
        <f>'Raw Data'!G37</f>
        <v>46241</v>
      </c>
      <c r="C41">
        <f>'Raw Data'!H37</f>
        <v>2717</v>
      </c>
      <c r="D41" s="36">
        <f>C40/C41-1</f>
        <v>-5.8888479941111571E-3</v>
      </c>
      <c r="F41" s="34">
        <f>'Raw Data'!G37</f>
        <v>46241</v>
      </c>
      <c r="G41">
        <f>'Raw Data'!J37</f>
        <v>24570.65</v>
      </c>
      <c r="H41" s="36">
        <f>G40/G41-1</f>
        <v>5.3519137670332562E-4</v>
      </c>
    </row>
    <row r="42" spans="2:8" x14ac:dyDescent="0.3">
      <c r="B42" s="34">
        <f>'Raw Data'!G38</f>
        <v>46240</v>
      </c>
      <c r="C42">
        <f>'Raw Data'!H38</f>
        <v>2660.9</v>
      </c>
      <c r="D42" s="36">
        <f>C41/C42-1</f>
        <v>2.1083092186854113E-2</v>
      </c>
      <c r="F42" s="34">
        <f>'Raw Data'!G38</f>
        <v>46240</v>
      </c>
      <c r="G42">
        <f>'Raw Data'!J38</f>
        <v>24636</v>
      </c>
      <c r="H42" s="36">
        <f>G41/G42-1</f>
        <v>-2.6526221789251458E-3</v>
      </c>
    </row>
    <row r="43" spans="2:8" x14ac:dyDescent="0.3">
      <c r="B43" s="34">
        <f>'Raw Data'!G39</f>
        <v>46239</v>
      </c>
      <c r="C43">
        <f>'Raw Data'!H39</f>
        <v>2697</v>
      </c>
      <c r="D43" s="36">
        <f>C42/C43-1</f>
        <v>-1.3385242862439695E-2</v>
      </c>
      <c r="F43" s="34">
        <f>'Raw Data'!G39</f>
        <v>46239</v>
      </c>
      <c r="G43">
        <f>'Raw Data'!J39</f>
        <v>24624.65</v>
      </c>
      <c r="H43" s="36">
        <f>G42/G43-1</f>
        <v>4.6092025673449832E-4</v>
      </c>
    </row>
    <row r="44" spans="2:8" x14ac:dyDescent="0.3">
      <c r="B44" s="34">
        <f>'Raw Data'!G40</f>
        <v>46238</v>
      </c>
      <c r="C44">
        <f>'Raw Data'!H40</f>
        <v>2670</v>
      </c>
      <c r="D44" s="36">
        <f>C43/C44-1</f>
        <v>1.0112359550561889E-2</v>
      </c>
      <c r="F44" s="34">
        <f>'Raw Data'!G40</f>
        <v>46238</v>
      </c>
      <c r="G44">
        <f>'Raw Data'!J40</f>
        <v>24614.9</v>
      </c>
      <c r="H44" s="36">
        <f>G43/G44-1</f>
        <v>3.9610154824920585E-4</v>
      </c>
    </row>
    <row r="45" spans="2:8" x14ac:dyDescent="0.3">
      <c r="B45" s="34">
        <f>'Raw Data'!G41</f>
        <v>46237</v>
      </c>
      <c r="C45">
        <f>'Raw Data'!H41</f>
        <v>2676</v>
      </c>
      <c r="D45" s="36">
        <f>C44/C45-1</f>
        <v>-2.2421524663677195E-3</v>
      </c>
      <c r="F45" s="34">
        <f>'Raw Data'!G41</f>
        <v>46237</v>
      </c>
      <c r="G45">
        <f>'Raw Data'!J41</f>
        <v>24774.3</v>
      </c>
      <c r="H45" s="36">
        <f>G44/G45-1</f>
        <v>-6.4340869368659792E-3</v>
      </c>
    </row>
    <row r="46" spans="2:8" x14ac:dyDescent="0.3">
      <c r="B46" s="34">
        <f>'Raw Data'!G42</f>
        <v>46234</v>
      </c>
      <c r="C46">
        <f>'Raw Data'!H42</f>
        <v>2680.2</v>
      </c>
      <c r="D46" s="36">
        <f>C45/C46-1</f>
        <v>-1.567047235280894E-3</v>
      </c>
      <c r="F46" s="34">
        <f>'Raw Data'!G42</f>
        <v>46234</v>
      </c>
      <c r="G46">
        <f>'Raw Data'!J42</f>
        <v>24383.599999999999</v>
      </c>
      <c r="H46" s="36">
        <f>G45/G46-1</f>
        <v>1.6023064682819665E-2</v>
      </c>
    </row>
    <row r="47" spans="2:8" x14ac:dyDescent="0.3">
      <c r="B47" s="34">
        <f>'Raw Data'!G43</f>
        <v>46233</v>
      </c>
      <c r="C47">
        <f>'Raw Data'!H43</f>
        <v>2624.9</v>
      </c>
      <c r="D47" s="36">
        <f>C46/C47-1</f>
        <v>2.1067469236923264E-2</v>
      </c>
      <c r="F47" s="34">
        <f>'Raw Data'!G43</f>
        <v>46233</v>
      </c>
      <c r="G47">
        <f>'Raw Data'!J43</f>
        <v>24317.15</v>
      </c>
      <c r="H47" s="36">
        <f>G46/G47-1</f>
        <v>2.7326393101163582E-3</v>
      </c>
    </row>
    <row r="48" spans="2:8" x14ac:dyDescent="0.3">
      <c r="B48" s="34">
        <f>'Raw Data'!G44</f>
        <v>46232</v>
      </c>
      <c r="C48">
        <f>'Raw Data'!H44</f>
        <v>2736.2</v>
      </c>
      <c r="D48" s="36">
        <f>C47/C48-1</f>
        <v>-4.0676851107375067E-2</v>
      </c>
      <c r="F48" s="34">
        <f>'Raw Data'!G44</f>
        <v>46232</v>
      </c>
      <c r="G48">
        <f>'Raw Data'!J44</f>
        <v>24250.2</v>
      </c>
      <c r="H48" s="36">
        <f>G47/G48-1</f>
        <v>2.7608019727671795E-3</v>
      </c>
    </row>
    <row r="49" spans="2:8" x14ac:dyDescent="0.3">
      <c r="B49" s="34">
        <f>'Raw Data'!G45</f>
        <v>46231</v>
      </c>
      <c r="C49">
        <f>'Raw Data'!H45</f>
        <v>2694.3</v>
      </c>
      <c r="D49" s="36">
        <f>C48/C49-1</f>
        <v>1.5551349144490079E-2</v>
      </c>
      <c r="F49" s="34">
        <f>'Raw Data'!G45</f>
        <v>46231</v>
      </c>
      <c r="G49">
        <f>'Raw Data'!J45</f>
        <v>23985.35</v>
      </c>
      <c r="H49" s="36">
        <f>G48/G49-1</f>
        <v>1.1042156983325224E-2</v>
      </c>
    </row>
    <row r="50" spans="2:8" x14ac:dyDescent="0.3">
      <c r="B50" s="34">
        <f>'Raw Data'!G46</f>
        <v>46230</v>
      </c>
      <c r="C50">
        <f>'Raw Data'!H46</f>
        <v>2741.4</v>
      </c>
      <c r="D50" s="36">
        <f>C49/C50-1</f>
        <v>-1.7181002407528956E-2</v>
      </c>
      <c r="F50" s="34">
        <f>'Raw Data'!G46</f>
        <v>46230</v>
      </c>
      <c r="G50">
        <f>'Raw Data'!J46</f>
        <v>23995.95</v>
      </c>
      <c r="H50" s="36">
        <f>G49/G50-1</f>
        <v>-4.4174121049600501E-4</v>
      </c>
    </row>
    <row r="51" spans="2:8" x14ac:dyDescent="0.3">
      <c r="B51" s="34">
        <f>'Raw Data'!G47</f>
        <v>46227</v>
      </c>
      <c r="C51">
        <f>'Raw Data'!H47</f>
        <v>2702</v>
      </c>
      <c r="D51" s="36">
        <f>C50/C51-1</f>
        <v>1.4581791265729116E-2</v>
      </c>
      <c r="F51" s="34">
        <f>'Raw Data'!G47</f>
        <v>46227</v>
      </c>
      <c r="G51">
        <f>'Raw Data'!J47</f>
        <v>23767.45</v>
      </c>
      <c r="H51" s="36">
        <f>G50/G51-1</f>
        <v>9.6139888797495132E-3</v>
      </c>
    </row>
    <row r="52" spans="2:8" x14ac:dyDescent="0.3">
      <c r="B52" s="34">
        <f>'Raw Data'!G48</f>
        <v>46226</v>
      </c>
      <c r="C52">
        <f>'Raw Data'!H48</f>
        <v>2711.8</v>
      </c>
      <c r="D52" s="36">
        <f>C51/C52-1</f>
        <v>-3.6138358286009753E-3</v>
      </c>
      <c r="F52" s="34">
        <f>'Raw Data'!G48</f>
        <v>46226</v>
      </c>
      <c r="G52">
        <f>'Raw Data'!J48</f>
        <v>23869.599999999999</v>
      </c>
      <c r="H52" s="36">
        <f>G51/G52-1</f>
        <v>-4.2795019606527429E-3</v>
      </c>
    </row>
    <row r="53" spans="2:8" x14ac:dyDescent="0.3">
      <c r="B53" s="34">
        <f>'Raw Data'!G49</f>
        <v>46225</v>
      </c>
      <c r="C53">
        <f>'Raw Data'!H49</f>
        <v>2697.2</v>
      </c>
      <c r="D53" s="36">
        <f>C52/C53-1</f>
        <v>5.4130209105740512E-3</v>
      </c>
      <c r="F53" s="34">
        <f>'Raw Data'!G49</f>
        <v>46225</v>
      </c>
      <c r="G53">
        <f>'Raw Data'!J49</f>
        <v>23996.25</v>
      </c>
      <c r="H53" s="36">
        <f>G52/G53-1</f>
        <v>-5.2779080064594419E-3</v>
      </c>
    </row>
    <row r="54" spans="2:8" x14ac:dyDescent="0.3">
      <c r="B54" s="34">
        <f>'Raw Data'!G50</f>
        <v>46224</v>
      </c>
      <c r="C54">
        <f>'Raw Data'!H50</f>
        <v>2732.1</v>
      </c>
      <c r="D54" s="36">
        <f>C53/C54-1</f>
        <v>-1.2774056586508542E-2</v>
      </c>
      <c r="F54" s="34">
        <f>'Raw Data'!G50</f>
        <v>46224</v>
      </c>
      <c r="G54">
        <f>'Raw Data'!J50</f>
        <v>24187.7</v>
      </c>
      <c r="H54" s="36">
        <f>G53/G54-1</f>
        <v>-7.9151800295191865E-3</v>
      </c>
    </row>
    <row r="55" spans="2:8" x14ac:dyDescent="0.3">
      <c r="B55" s="34">
        <f>'Raw Data'!G51</f>
        <v>46223</v>
      </c>
      <c r="C55">
        <f>'Raw Data'!H51</f>
        <v>2826.2</v>
      </c>
      <c r="D55" s="36">
        <f>C54/C55-1</f>
        <v>-3.3295591253272971E-2</v>
      </c>
      <c r="F55" s="34">
        <f>'Raw Data'!G51</f>
        <v>46223</v>
      </c>
      <c r="G55">
        <f>'Raw Data'!J51</f>
        <v>24238.5</v>
      </c>
      <c r="H55" s="36">
        <f>G54/G55-1</f>
        <v>-2.0958392639808254E-3</v>
      </c>
    </row>
    <row r="56" spans="2:8" x14ac:dyDescent="0.3">
      <c r="B56" s="34">
        <f>'Raw Data'!G52</f>
        <v>46220</v>
      </c>
      <c r="C56">
        <f>'Raw Data'!H52</f>
        <v>2840.7</v>
      </c>
      <c r="D56" s="36">
        <f>C55/C56-1</f>
        <v>-5.1043756820502439E-3</v>
      </c>
      <c r="F56" s="34">
        <f>'Raw Data'!G52</f>
        <v>46220</v>
      </c>
      <c r="G56">
        <f>'Raw Data'!J52</f>
        <v>24334.3</v>
      </c>
      <c r="H56" s="36">
        <f>G55/G56-1</f>
        <v>-3.9368299067571444E-3</v>
      </c>
    </row>
    <row r="57" spans="2:8" x14ac:dyDescent="0.3">
      <c r="B57" s="34">
        <f>'Raw Data'!G53</f>
        <v>46219</v>
      </c>
      <c r="C57">
        <f>'Raw Data'!H53</f>
        <v>2830.3</v>
      </c>
      <c r="D57" s="36">
        <f>C56/C57-1</f>
        <v>3.674522135462599E-3</v>
      </c>
      <c r="F57" s="34">
        <f>'Raw Data'!G53</f>
        <v>46219</v>
      </c>
      <c r="G57">
        <f>'Raw Data'!J53</f>
        <v>24072.75</v>
      </c>
      <c r="H57" s="36">
        <f>G56/G57-1</f>
        <v>1.0864982189404904E-2</v>
      </c>
    </row>
    <row r="58" spans="2:8" x14ac:dyDescent="0.3">
      <c r="B58" s="34">
        <f>'Raw Data'!G54</f>
        <v>46218</v>
      </c>
      <c r="C58">
        <f>'Raw Data'!H54</f>
        <v>2812.8</v>
      </c>
      <c r="D58" s="36">
        <f>C57/C58-1</f>
        <v>6.2215585893059533E-3</v>
      </c>
      <c r="F58" s="34">
        <f>'Raw Data'!G54</f>
        <v>46218</v>
      </c>
      <c r="G58">
        <f>'Raw Data'!J54</f>
        <v>24078.5</v>
      </c>
      <c r="H58" s="36">
        <f>G57/G58-1</f>
        <v>-2.3880225097083763E-4</v>
      </c>
    </row>
    <row r="59" spans="2:8" x14ac:dyDescent="0.3">
      <c r="B59" s="34">
        <f>'Raw Data'!G55</f>
        <v>46217</v>
      </c>
      <c r="C59">
        <f>'Raw Data'!H55</f>
        <v>2820.1</v>
      </c>
      <c r="D59" s="36">
        <f>C58/C59-1</f>
        <v>-2.5885606893372159E-3</v>
      </c>
      <c r="F59" s="34">
        <f>'Raw Data'!G55</f>
        <v>46217</v>
      </c>
      <c r="G59">
        <f>'Raw Data'!J55</f>
        <v>24052.05</v>
      </c>
      <c r="H59" s="36">
        <f>G58/G59-1</f>
        <v>1.0996983625095602E-3</v>
      </c>
    </row>
    <row r="60" spans="2:8" x14ac:dyDescent="0.3">
      <c r="B60" s="34">
        <f>'Raw Data'!G56</f>
        <v>46216</v>
      </c>
      <c r="C60">
        <f>'Raw Data'!H56</f>
        <v>2880.2</v>
      </c>
      <c r="D60" s="36">
        <f>C59/C60-1</f>
        <v>-2.0866606485660633E-2</v>
      </c>
      <c r="F60" s="34">
        <f>'Raw Data'!G56</f>
        <v>46216</v>
      </c>
      <c r="G60">
        <f>'Raw Data'!J56</f>
        <v>24211</v>
      </c>
      <c r="H60" s="36">
        <f>G59/G60-1</f>
        <v>-6.5651976374375698E-3</v>
      </c>
    </row>
    <row r="61" spans="2:8" x14ac:dyDescent="0.3">
      <c r="B61" s="34">
        <f>'Raw Data'!G57</f>
        <v>46213</v>
      </c>
      <c r="C61">
        <f>'Raw Data'!H57</f>
        <v>2922.9</v>
      </c>
      <c r="D61" s="36">
        <f>C60/C61-1</f>
        <v>-1.4608778952410417E-2</v>
      </c>
      <c r="F61" s="34">
        <f>'Raw Data'!G57</f>
        <v>46213</v>
      </c>
      <c r="G61">
        <f>'Raw Data'!J57</f>
        <v>24206.9</v>
      </c>
      <c r="H61" s="36">
        <f>G60/G61-1</f>
        <v>1.6937319524590322E-4</v>
      </c>
    </row>
    <row r="62" spans="2:8" x14ac:dyDescent="0.3">
      <c r="B62" s="34">
        <f>'Raw Data'!G58</f>
        <v>46212</v>
      </c>
      <c r="C62">
        <f>'Raw Data'!H58</f>
        <v>2863.4</v>
      </c>
      <c r="D62" s="36">
        <f>C61/C62-1</f>
        <v>2.0779492910526054E-2</v>
      </c>
      <c r="F62" s="34">
        <f>'Raw Data'!G58</f>
        <v>46212</v>
      </c>
      <c r="G62">
        <f>'Raw Data'!J58</f>
        <v>23962.799999999999</v>
      </c>
      <c r="H62" s="36">
        <f>G61/G62-1</f>
        <v>1.0186622598360895E-2</v>
      </c>
    </row>
    <row r="63" spans="2:8" x14ac:dyDescent="0.3">
      <c r="B63" s="34">
        <f>'Raw Data'!G59</f>
        <v>46211</v>
      </c>
      <c r="C63">
        <f>'Raw Data'!H59</f>
        <v>2823.3</v>
      </c>
      <c r="D63" s="36">
        <f>C62/C63-1</f>
        <v>1.4203237346367636E-2</v>
      </c>
      <c r="F63" s="34">
        <f>'Raw Data'!G59</f>
        <v>46211</v>
      </c>
      <c r="G63">
        <f>'Raw Data'!J59</f>
        <v>23882.05</v>
      </c>
      <c r="H63" s="36">
        <f>G62/G63-1</f>
        <v>3.3812005250806187E-3</v>
      </c>
    </row>
    <row r="64" spans="2:8" x14ac:dyDescent="0.3">
      <c r="B64" s="34">
        <f>'Raw Data'!G60</f>
        <v>46210</v>
      </c>
      <c r="C64">
        <f>'Raw Data'!H60</f>
        <v>2841.2</v>
      </c>
      <c r="D64" s="36">
        <f>C63/C64-1</f>
        <v>-6.3001548641418159E-3</v>
      </c>
      <c r="F64" s="34">
        <f>'Raw Data'!G60</f>
        <v>46210</v>
      </c>
      <c r="G64">
        <f>'Raw Data'!J60</f>
        <v>24398.7</v>
      </c>
      <c r="H64" s="36">
        <f>G63/G64-1</f>
        <v>-2.1175308520535951E-2</v>
      </c>
    </row>
    <row r="65" spans="2:8" x14ac:dyDescent="0.3">
      <c r="B65" s="34">
        <f>'Raw Data'!G61</f>
        <v>46209</v>
      </c>
      <c r="C65">
        <f>'Raw Data'!H61</f>
        <v>2876.2</v>
      </c>
      <c r="D65" s="36">
        <f>C64/C65-1</f>
        <v>-1.2168833878033469E-2</v>
      </c>
      <c r="F65" s="34">
        <f>'Raw Data'!G61</f>
        <v>46209</v>
      </c>
      <c r="G65">
        <f>'Raw Data'!J61</f>
        <v>24430.35</v>
      </c>
      <c r="H65" s="36">
        <f>G64/G65-1</f>
        <v>-1.2955197121612416E-3</v>
      </c>
    </row>
    <row r="66" spans="2:8" x14ac:dyDescent="0.3">
      <c r="B66" s="34">
        <f>'Raw Data'!G62</f>
        <v>46206</v>
      </c>
      <c r="C66">
        <f>'Raw Data'!H62</f>
        <v>2859.2</v>
      </c>
      <c r="D66" s="36">
        <f>C65/C66-1</f>
        <v>5.9457190822607142E-3</v>
      </c>
      <c r="F66" s="34">
        <f>'Raw Data'!G62</f>
        <v>46206</v>
      </c>
      <c r="G66">
        <f>'Raw Data'!J62</f>
        <v>24270.85</v>
      </c>
      <c r="H66" s="36">
        <f>G65/G66-1</f>
        <v>6.5716693070081433E-3</v>
      </c>
    </row>
    <row r="67" spans="2:8" x14ac:dyDescent="0.3">
      <c r="B67" s="34">
        <f>'Raw Data'!G63</f>
        <v>46205</v>
      </c>
      <c r="C67">
        <f>'Raw Data'!H63</f>
        <v>2879.6</v>
      </c>
      <c r="D67" s="36">
        <f>C66/C67-1</f>
        <v>-7.0843172662869991E-3</v>
      </c>
      <c r="F67" s="34">
        <f>'Raw Data'!G63</f>
        <v>46205</v>
      </c>
      <c r="G67">
        <f>'Raw Data'!J63</f>
        <v>24175.7</v>
      </c>
      <c r="H67" s="36">
        <f>G66/G67-1</f>
        <v>3.9357702155469187E-3</v>
      </c>
    </row>
    <row r="68" spans="2:8" x14ac:dyDescent="0.3">
      <c r="B68" s="34">
        <f>'Raw Data'!G64</f>
        <v>46204</v>
      </c>
      <c r="C68">
        <f>'Raw Data'!H64</f>
        <v>2877.7</v>
      </c>
      <c r="D68" s="36">
        <f>C67/C68-1</f>
        <v>6.6024950481291533E-4</v>
      </c>
      <c r="F68" s="34">
        <f>'Raw Data'!G64</f>
        <v>46204</v>
      </c>
      <c r="G68">
        <f>'Raw Data'!J64</f>
        <v>24005.85</v>
      </c>
      <c r="H68" s="36">
        <f>G67/G68-1</f>
        <v>7.0753587146468178E-3</v>
      </c>
    </row>
    <row r="69" spans="2:8" x14ac:dyDescent="0.3">
      <c r="B69" s="34">
        <f>'Raw Data'!G65</f>
        <v>46203</v>
      </c>
      <c r="C69">
        <f>'Raw Data'!H65</f>
        <v>2947</v>
      </c>
      <c r="D69" s="36">
        <f>C68/C69-1</f>
        <v>-2.3515439429928842E-2</v>
      </c>
      <c r="F69" s="34">
        <f>'Raw Data'!G65</f>
        <v>46203</v>
      </c>
      <c r="G69">
        <f>'Raw Data'!J65</f>
        <v>23865.75</v>
      </c>
      <c r="H69" s="36">
        <f>G68/G69-1</f>
        <v>5.8703371987052222E-3</v>
      </c>
    </row>
    <row r="70" spans="2:8" x14ac:dyDescent="0.3">
      <c r="B70" s="34">
        <f>'Raw Data'!G66</f>
        <v>46202</v>
      </c>
      <c r="C70">
        <f>'Raw Data'!H66</f>
        <v>2886.1</v>
      </c>
      <c r="D70" s="36">
        <f>C69/C70-1</f>
        <v>2.1101139946640757E-2</v>
      </c>
      <c r="F70" s="34">
        <f>'Raw Data'!G66</f>
        <v>46202</v>
      </c>
      <c r="G70">
        <f>'Raw Data'!J66</f>
        <v>23946.25</v>
      </c>
      <c r="H70" s="36">
        <f>G69/G70-1</f>
        <v>-3.3616954637991636E-3</v>
      </c>
    </row>
    <row r="71" spans="2:8" x14ac:dyDescent="0.3">
      <c r="B71" s="34">
        <f>'Raw Data'!G67</f>
        <v>46198</v>
      </c>
      <c r="C71">
        <f>'Raw Data'!H67</f>
        <v>3009.4</v>
      </c>
      <c r="D71" s="36">
        <f>C70/C71-1</f>
        <v>-4.0971622250282502E-2</v>
      </c>
      <c r="F71" s="34">
        <f>'Raw Data'!G67</f>
        <v>46198</v>
      </c>
      <c r="G71">
        <f>'Raw Data'!J67</f>
        <v>24056</v>
      </c>
      <c r="H71" s="36">
        <f>G70/G71-1</f>
        <v>-4.5622713668107551E-3</v>
      </c>
    </row>
    <row r="72" spans="2:8" x14ac:dyDescent="0.3">
      <c r="B72" s="34">
        <f>'Raw Data'!G68</f>
        <v>46197</v>
      </c>
      <c r="C72">
        <f>'Raw Data'!H68</f>
        <v>3028.8</v>
      </c>
      <c r="D72" s="36">
        <f>C71/C72-1</f>
        <v>-6.4051769677760939E-3</v>
      </c>
      <c r="F72" s="34">
        <f>'Raw Data'!G68</f>
        <v>46197</v>
      </c>
      <c r="G72">
        <f>'Raw Data'!J68</f>
        <v>24021.65</v>
      </c>
      <c r="H72" s="36">
        <f>G71/G72-1</f>
        <v>1.4299600568652426E-3</v>
      </c>
    </row>
    <row r="73" spans="2:8" x14ac:dyDescent="0.3">
      <c r="B73" s="34">
        <f>'Raw Data'!G69</f>
        <v>46196</v>
      </c>
      <c r="C73">
        <f>'Raw Data'!H69</f>
        <v>3033.8</v>
      </c>
      <c r="D73" s="36">
        <f>C72/C73-1</f>
        <v>-1.6480980947986001E-3</v>
      </c>
      <c r="F73" s="34">
        <f>'Raw Data'!G69</f>
        <v>46196</v>
      </c>
      <c r="G73">
        <f>'Raw Data'!J69</f>
        <v>23824.1</v>
      </c>
      <c r="H73" s="36">
        <f>G72/G73-1</f>
        <v>8.2920236231380784E-3</v>
      </c>
    </row>
    <row r="74" spans="2:8" x14ac:dyDescent="0.3">
      <c r="B74" s="34">
        <f>'Raw Data'!G70</f>
        <v>46195</v>
      </c>
      <c r="C74">
        <f>'Raw Data'!H70</f>
        <v>3061.3</v>
      </c>
      <c r="D74" s="36">
        <f>C73/C74-1</f>
        <v>-8.9831117499101776E-3</v>
      </c>
      <c r="F74" s="34">
        <f>'Raw Data'!G70</f>
        <v>46195</v>
      </c>
      <c r="G74">
        <f>'Raw Data'!J70</f>
        <v>24102.9</v>
      </c>
      <c r="H74" s="36">
        <f>G73/G74-1</f>
        <v>-1.1567072841857318E-2</v>
      </c>
    </row>
    <row r="75" spans="2:8" x14ac:dyDescent="0.3">
      <c r="B75" s="34">
        <f>'Raw Data'!G71</f>
        <v>46192</v>
      </c>
      <c r="C75">
        <f>'Raw Data'!H71</f>
        <v>3125.4</v>
      </c>
      <c r="D75" s="36">
        <f>C74/C75-1</f>
        <v>-2.050937480002557E-2</v>
      </c>
      <c r="F75" s="34">
        <f>'Raw Data'!G71</f>
        <v>46192</v>
      </c>
      <c r="G75">
        <f>'Raw Data'!J71</f>
        <v>24013.1</v>
      </c>
      <c r="H75" s="36">
        <f>G74/G75-1</f>
        <v>3.7396254544395102E-3</v>
      </c>
    </row>
    <row r="76" spans="2:8" x14ac:dyDescent="0.3">
      <c r="B76" s="34">
        <f>'Raw Data'!G72</f>
        <v>46191</v>
      </c>
      <c r="C76">
        <f>'Raw Data'!H72</f>
        <v>3065.9</v>
      </c>
      <c r="D76" s="36">
        <f>C75/C76-1</f>
        <v>1.9407025669460953E-2</v>
      </c>
      <c r="F76" s="34">
        <f>'Raw Data'!G72</f>
        <v>46191</v>
      </c>
      <c r="G76">
        <f>'Raw Data'!J72</f>
        <v>24168</v>
      </c>
      <c r="H76" s="36">
        <f>G75/G76-1</f>
        <v>-6.4093015557763477E-3</v>
      </c>
    </row>
    <row r="77" spans="2:8" x14ac:dyDescent="0.3">
      <c r="B77" s="34">
        <f>'Raw Data'!G73</f>
        <v>46190</v>
      </c>
      <c r="C77">
        <f>'Raw Data'!H73</f>
        <v>3078.6</v>
      </c>
      <c r="D77" s="36">
        <f>C76/C77-1</f>
        <v>-4.1252517378028708E-3</v>
      </c>
      <c r="F77" s="34">
        <f>'Raw Data'!G73</f>
        <v>46190</v>
      </c>
      <c r="G77">
        <f>'Raw Data'!J73</f>
        <v>24085.7</v>
      </c>
      <c r="H77" s="36">
        <f>G76/G77-1</f>
        <v>3.4169652532414219E-3</v>
      </c>
    </row>
    <row r="78" spans="2:8" x14ac:dyDescent="0.3">
      <c r="B78" s="34">
        <f>'Raw Data'!G74</f>
        <v>46189</v>
      </c>
      <c r="C78">
        <f>'Raw Data'!H74</f>
        <v>3064.6</v>
      </c>
      <c r="D78" s="36">
        <f>C77/C78-1</f>
        <v>4.5682960255823968E-3</v>
      </c>
      <c r="F78" s="34">
        <f>'Raw Data'!G74</f>
        <v>46189</v>
      </c>
      <c r="G78">
        <f>'Raw Data'!J74</f>
        <v>23989.15</v>
      </c>
      <c r="H78" s="36">
        <f>G77/G78-1</f>
        <v>4.0247361828158468E-3</v>
      </c>
    </row>
    <row r="79" spans="2:8" x14ac:dyDescent="0.3">
      <c r="B79" s="34">
        <f>'Raw Data'!G75</f>
        <v>46188</v>
      </c>
      <c r="C79">
        <f>'Raw Data'!H75</f>
        <v>3050.9</v>
      </c>
      <c r="D79" s="36">
        <f>C78/C79-1</f>
        <v>4.4904782195416271E-3</v>
      </c>
      <c r="F79" s="34">
        <f>'Raw Data'!G75</f>
        <v>46188</v>
      </c>
      <c r="G79">
        <f>'Raw Data'!J75</f>
        <v>23853.9</v>
      </c>
      <c r="H79" s="36">
        <f>G78/G79-1</f>
        <v>5.6699323800299961E-3</v>
      </c>
    </row>
    <row r="80" spans="2:8" x14ac:dyDescent="0.3">
      <c r="B80" s="34">
        <f>'Raw Data'!G76</f>
        <v>46185</v>
      </c>
      <c r="C80">
        <f>'Raw Data'!H76</f>
        <v>3031.4</v>
      </c>
      <c r="D80" s="36">
        <f>C79/C80-1</f>
        <v>6.4326713729629947E-3</v>
      </c>
      <c r="F80" s="34">
        <f>'Raw Data'!G76</f>
        <v>46185</v>
      </c>
      <c r="G80">
        <f>'Raw Data'!J76</f>
        <v>23622.9</v>
      </c>
      <c r="H80" s="36">
        <f>G79/G80-1</f>
        <v>9.7786469908436313E-3</v>
      </c>
    </row>
    <row r="81" spans="2:8" x14ac:dyDescent="0.3">
      <c r="B81" s="34">
        <f>'Raw Data'!G77</f>
        <v>46184</v>
      </c>
      <c r="C81">
        <f>'Raw Data'!H77</f>
        <v>3013.9</v>
      </c>
      <c r="D81" s="36">
        <f>C80/C81-1</f>
        <v>5.8064302067089013E-3</v>
      </c>
      <c r="F81" s="34">
        <f>'Raw Data'!G77</f>
        <v>46184</v>
      </c>
      <c r="G81">
        <f>'Raw Data'!J77</f>
        <v>23161.599999999999</v>
      </c>
      <c r="H81" s="36">
        <f>G80/G81-1</f>
        <v>1.9916586073501108E-2</v>
      </c>
    </row>
    <row r="82" spans="2:8" x14ac:dyDescent="0.3">
      <c r="B82" s="34">
        <f>'Raw Data'!G78</f>
        <v>46183</v>
      </c>
      <c r="C82">
        <f>'Raw Data'!H78</f>
        <v>3017.2</v>
      </c>
      <c r="D82" s="36">
        <f>C81/C82-1</f>
        <v>-1.0937292854300562E-3</v>
      </c>
      <c r="F82" s="34">
        <f>'Raw Data'!G78</f>
        <v>46183</v>
      </c>
      <c r="G82">
        <f>'Raw Data'!J78</f>
        <v>23214.95</v>
      </c>
      <c r="H82" s="36">
        <f>G81/G82-1</f>
        <v>-2.2980880854794883E-3</v>
      </c>
    </row>
    <row r="83" spans="2:8" x14ac:dyDescent="0.3">
      <c r="B83" s="34">
        <f>'Raw Data'!G79</f>
        <v>46182</v>
      </c>
      <c r="C83">
        <f>'Raw Data'!H79</f>
        <v>3040.8</v>
      </c>
      <c r="D83" s="36">
        <f>C82/C83-1</f>
        <v>-7.7611154959222883E-3</v>
      </c>
      <c r="F83" s="34">
        <f>'Raw Data'!G79</f>
        <v>46182</v>
      </c>
      <c r="G83">
        <f>'Raw Data'!J79</f>
        <v>23242.1</v>
      </c>
      <c r="H83" s="36">
        <f>G82/G83-1</f>
        <v>-1.1681388514805935E-3</v>
      </c>
    </row>
    <row r="84" spans="2:8" x14ac:dyDescent="0.3">
      <c r="B84" s="34">
        <f>'Raw Data'!G80</f>
        <v>46181</v>
      </c>
      <c r="C84">
        <f>'Raw Data'!H80</f>
        <v>3003.8</v>
      </c>
      <c r="D84" s="36">
        <f>C83/C84-1</f>
        <v>1.2317730874225941E-2</v>
      </c>
      <c r="F84" s="34">
        <f>'Raw Data'!G80</f>
        <v>46181</v>
      </c>
      <c r="G84">
        <f>'Raw Data'!J80</f>
        <v>23123</v>
      </c>
      <c r="H84" s="36">
        <f>G83/G84-1</f>
        <v>5.1507157375771939E-3</v>
      </c>
    </row>
    <row r="85" spans="2:8" x14ac:dyDescent="0.3">
      <c r="B85" s="34">
        <f>'Raw Data'!G81</f>
        <v>46178</v>
      </c>
      <c r="C85">
        <f>'Raw Data'!H81</f>
        <v>3053</v>
      </c>
      <c r="D85" s="36">
        <f>C84/C85-1</f>
        <v>-1.6115296429741188E-2</v>
      </c>
      <c r="F85" s="34">
        <f>'Raw Data'!G81</f>
        <v>46178</v>
      </c>
      <c r="G85">
        <f>'Raw Data'!J81</f>
        <v>23366.7</v>
      </c>
      <c r="H85" s="36">
        <f>G84/G85-1</f>
        <v>-1.0429371712736502E-2</v>
      </c>
    </row>
    <row r="86" spans="2:8" x14ac:dyDescent="0.3">
      <c r="B86" s="34">
        <f>'Raw Data'!G82</f>
        <v>46177</v>
      </c>
      <c r="C86">
        <f>'Raw Data'!H82</f>
        <v>3071.6</v>
      </c>
      <c r="D86" s="36">
        <f>C85/C86-1</f>
        <v>-6.0554759734340324E-3</v>
      </c>
      <c r="F86" s="34">
        <f>'Raw Data'!G82</f>
        <v>46177</v>
      </c>
      <c r="G86">
        <f>'Raw Data'!J82</f>
        <v>23416.55</v>
      </c>
      <c r="H86" s="36">
        <f>G85/G86-1</f>
        <v>-2.1288362290772245E-3</v>
      </c>
    </row>
    <row r="87" spans="2:8" x14ac:dyDescent="0.3">
      <c r="B87" s="34">
        <f>'Raw Data'!G83</f>
        <v>46176</v>
      </c>
      <c r="C87">
        <f>'Raw Data'!H83</f>
        <v>3084.5</v>
      </c>
      <c r="D87" s="36">
        <f>C86/C87-1</f>
        <v>-4.1822013292267535E-3</v>
      </c>
      <c r="F87" s="34">
        <f>'Raw Data'!G83</f>
        <v>46176</v>
      </c>
      <c r="G87">
        <f>'Raw Data'!J83</f>
        <v>23405.599999999999</v>
      </c>
      <c r="H87" s="36">
        <f>G86/G87-1</f>
        <v>4.6783675701544958E-4</v>
      </c>
    </row>
    <row r="88" spans="2:8" x14ac:dyDescent="0.3">
      <c r="B88" s="34">
        <f>'Raw Data'!G84</f>
        <v>46175</v>
      </c>
      <c r="C88">
        <f>'Raw Data'!H84</f>
        <v>3099.8</v>
      </c>
      <c r="D88" s="36">
        <f>C87/C88-1</f>
        <v>-4.9358023098264869E-3</v>
      </c>
      <c r="F88" s="34">
        <f>'Raw Data'!G84</f>
        <v>46175</v>
      </c>
      <c r="G88">
        <f>'Raw Data'!J84</f>
        <v>23483.55</v>
      </c>
      <c r="H88" s="36">
        <f>G87/G88-1</f>
        <v>-3.3193448179683616E-3</v>
      </c>
    </row>
    <row r="89" spans="2:8" x14ac:dyDescent="0.3">
      <c r="B89" s="34">
        <f>'Raw Data'!G85</f>
        <v>46174</v>
      </c>
      <c r="C89">
        <f>'Raw Data'!H85</f>
        <v>3096.1</v>
      </c>
      <c r="D89" s="36">
        <f>C88/C89-1</f>
        <v>1.1950518394110432E-3</v>
      </c>
      <c r="F89" s="34">
        <f>'Raw Data'!G85</f>
        <v>46174</v>
      </c>
      <c r="G89">
        <f>'Raw Data'!J85</f>
        <v>23382.6</v>
      </c>
      <c r="H89" s="36">
        <f>G88/G89-1</f>
        <v>4.3173128736753164E-3</v>
      </c>
    </row>
    <row r="90" spans="2:8" x14ac:dyDescent="0.3">
      <c r="B90" s="34">
        <f>'Raw Data'!G86</f>
        <v>46171</v>
      </c>
      <c r="C90">
        <f>'Raw Data'!H86</f>
        <v>3140.8</v>
      </c>
      <c r="D90" s="36">
        <f>C89/C90-1</f>
        <v>-1.4232042791645472E-2</v>
      </c>
      <c r="F90" s="34">
        <f>'Raw Data'!G86</f>
        <v>46171</v>
      </c>
      <c r="G90">
        <f>'Raw Data'!J86</f>
        <v>23547.75</v>
      </c>
      <c r="H90" s="36">
        <f>G89/G90-1</f>
        <v>-7.0134089244195952E-3</v>
      </c>
    </row>
    <row r="91" spans="2:8" x14ac:dyDescent="0.3">
      <c r="B91" s="34">
        <f>'Raw Data'!G87</f>
        <v>46169</v>
      </c>
      <c r="C91">
        <f>'Raw Data'!H87</f>
        <v>3129.1</v>
      </c>
      <c r="D91" s="36">
        <f>C90/C91-1</f>
        <v>3.7390943082675765E-3</v>
      </c>
      <c r="F91" s="34">
        <f>'Raw Data'!G87</f>
        <v>46169</v>
      </c>
      <c r="G91">
        <f>'Raw Data'!J87</f>
        <v>23907.15</v>
      </c>
      <c r="H91" s="36">
        <f>G90/G91-1</f>
        <v>-1.5033159535954743E-2</v>
      </c>
    </row>
    <row r="92" spans="2:8" x14ac:dyDescent="0.3">
      <c r="B92" s="34">
        <f>'Raw Data'!G88</f>
        <v>46168</v>
      </c>
      <c r="C92">
        <f>'Raw Data'!H88</f>
        <v>3088.1</v>
      </c>
      <c r="D92" s="36">
        <f>C91/C92-1</f>
        <v>1.327677212525491E-2</v>
      </c>
      <c r="F92" s="34">
        <f>'Raw Data'!G88</f>
        <v>46168</v>
      </c>
      <c r="G92">
        <f>'Raw Data'!J88</f>
        <v>23913.7</v>
      </c>
      <c r="H92" s="36">
        <f>G91/G92-1</f>
        <v>-2.7390157106588209E-4</v>
      </c>
    </row>
    <row r="93" spans="2:8" x14ac:dyDescent="0.3">
      <c r="B93" s="34">
        <f>'Raw Data'!G89</f>
        <v>46167</v>
      </c>
      <c r="C93">
        <f>'Raw Data'!H89</f>
        <v>2984.2</v>
      </c>
      <c r="D93" s="36">
        <f>C92/C93-1</f>
        <v>3.4816701293479024E-2</v>
      </c>
      <c r="F93" s="34">
        <f>'Raw Data'!G89</f>
        <v>46167</v>
      </c>
      <c r="G93">
        <f>'Raw Data'!J89</f>
        <v>24031.7</v>
      </c>
      <c r="H93" s="36">
        <f>G92/G93-1</f>
        <v>-4.9101811357498137E-3</v>
      </c>
    </row>
    <row r="94" spans="2:8" x14ac:dyDescent="0.3">
      <c r="B94" s="34">
        <f>'Raw Data'!G90</f>
        <v>46164</v>
      </c>
      <c r="C94">
        <f>'Raw Data'!H90</f>
        <v>2997.5</v>
      </c>
      <c r="D94" s="36">
        <f>C93/C94-1</f>
        <v>-4.4370308590492291E-3</v>
      </c>
      <c r="F94" s="34">
        <f>'Raw Data'!G90</f>
        <v>46164</v>
      </c>
      <c r="G94">
        <f>'Raw Data'!J90</f>
        <v>23719.3</v>
      </c>
      <c r="H94" s="36">
        <f>G93/G94-1</f>
        <v>1.3170709085006838E-2</v>
      </c>
    </row>
    <row r="95" spans="2:8" x14ac:dyDescent="0.3">
      <c r="B95" s="34">
        <f>'Raw Data'!G91</f>
        <v>46163</v>
      </c>
      <c r="C95">
        <f>'Raw Data'!H91</f>
        <v>3056.6</v>
      </c>
      <c r="D95" s="36">
        <f>C94/C95-1</f>
        <v>-1.9335209055813651E-2</v>
      </c>
      <c r="F95" s="34">
        <f>'Raw Data'!G91</f>
        <v>46163</v>
      </c>
      <c r="G95">
        <f>'Raw Data'!J91</f>
        <v>23654.7</v>
      </c>
      <c r="H95" s="36">
        <f>G94/G95-1</f>
        <v>2.7309583296342144E-3</v>
      </c>
    </row>
    <row r="96" spans="2:8" x14ac:dyDescent="0.3">
      <c r="B96" s="34">
        <f>'Raw Data'!G92</f>
        <v>46162</v>
      </c>
      <c r="C96">
        <f>'Raw Data'!H92</f>
        <v>3005.2</v>
      </c>
      <c r="D96" s="36">
        <f>C95/C96-1</f>
        <v>1.7103686942632867E-2</v>
      </c>
      <c r="F96" s="34">
        <f>'Raw Data'!G92</f>
        <v>46162</v>
      </c>
      <c r="G96">
        <f>'Raw Data'!J92</f>
        <v>23659</v>
      </c>
      <c r="H96" s="36">
        <f>G95/G96-1</f>
        <v>-1.8174901728729154E-4</v>
      </c>
    </row>
    <row r="97" spans="2:8" x14ac:dyDescent="0.3">
      <c r="B97" s="34">
        <f>'Raw Data'!G93</f>
        <v>46161</v>
      </c>
      <c r="C97">
        <f>'Raw Data'!H93</f>
        <v>2998.8</v>
      </c>
      <c r="D97" s="36">
        <f>C96/C97-1</f>
        <v>2.1341870081363901E-3</v>
      </c>
      <c r="F97" s="34">
        <f>'Raw Data'!G93</f>
        <v>46161</v>
      </c>
      <c r="G97">
        <f>'Raw Data'!J93</f>
        <v>23618</v>
      </c>
      <c r="H97" s="36">
        <f>G96/G97-1</f>
        <v>1.7359640951817301E-3</v>
      </c>
    </row>
    <row r="98" spans="2:8" x14ac:dyDescent="0.3">
      <c r="B98" s="34">
        <f>'Raw Data'!G94</f>
        <v>46160</v>
      </c>
      <c r="C98">
        <f>'Raw Data'!H94</f>
        <v>2997.5</v>
      </c>
      <c r="D98" s="36">
        <f>C97/C98-1</f>
        <v>4.3369474562138244E-4</v>
      </c>
      <c r="F98" s="34">
        <f>'Raw Data'!G94</f>
        <v>46160</v>
      </c>
      <c r="G98">
        <f>'Raw Data'!J94</f>
        <v>23649.95</v>
      </c>
      <c r="H98" s="36">
        <f>G97/G98-1</f>
        <v>-1.3509542303472566E-3</v>
      </c>
    </row>
    <row r="99" spans="2:8" x14ac:dyDescent="0.3">
      <c r="B99" s="34">
        <f>'Raw Data'!G95</f>
        <v>46157</v>
      </c>
      <c r="C99">
        <f>'Raw Data'!H95</f>
        <v>3022</v>
      </c>
      <c r="D99" s="36">
        <f>C98/C99-1</f>
        <v>-8.107213765718102E-3</v>
      </c>
      <c r="F99" s="34">
        <f>'Raw Data'!G95</f>
        <v>46157</v>
      </c>
      <c r="G99">
        <f>'Raw Data'!J95</f>
        <v>23643.5</v>
      </c>
      <c r="H99" s="36">
        <f>G98/G99-1</f>
        <v>2.7280225008996517E-4</v>
      </c>
    </row>
    <row r="100" spans="2:8" x14ac:dyDescent="0.3">
      <c r="B100" s="34">
        <f>'Raw Data'!G96</f>
        <v>46156</v>
      </c>
      <c r="C100">
        <f>'Raw Data'!H96</f>
        <v>3068.8</v>
      </c>
      <c r="D100" s="36">
        <f>C99/C100-1</f>
        <v>-1.5250260688216999E-2</v>
      </c>
      <c r="F100" s="34">
        <f>'Raw Data'!G96</f>
        <v>46156</v>
      </c>
      <c r="G100">
        <f>'Raw Data'!J96</f>
        <v>23689.599999999999</v>
      </c>
      <c r="H100" s="36">
        <f>G99/G100-1</f>
        <v>-1.946001620964366E-3</v>
      </c>
    </row>
    <row r="101" spans="2:8" x14ac:dyDescent="0.3">
      <c r="B101" s="34">
        <f>'Raw Data'!G97</f>
        <v>46155</v>
      </c>
      <c r="C101">
        <f>'Raw Data'!H97</f>
        <v>3085.3</v>
      </c>
      <c r="D101" s="36">
        <f>C100/C101-1</f>
        <v>-5.3479402327164527E-3</v>
      </c>
      <c r="F101" s="34">
        <f>'Raw Data'!G97</f>
        <v>46155</v>
      </c>
      <c r="G101">
        <f>'Raw Data'!J97</f>
        <v>23412.6</v>
      </c>
      <c r="H101" s="36">
        <f>G100/G101-1</f>
        <v>1.1831236171975679E-2</v>
      </c>
    </row>
    <row r="102" spans="2:8" x14ac:dyDescent="0.3">
      <c r="B102" s="34">
        <f>'Raw Data'!G98</f>
        <v>46154</v>
      </c>
      <c r="C102">
        <f>'Raw Data'!H98</f>
        <v>3125.2</v>
      </c>
      <c r="D102" s="36">
        <f>C101/C102-1</f>
        <v>-1.2767182900294216E-2</v>
      </c>
      <c r="F102" s="34">
        <f>'Raw Data'!G98</f>
        <v>46154</v>
      </c>
      <c r="G102">
        <f>'Raw Data'!J98</f>
        <v>23379.55</v>
      </c>
      <c r="H102" s="36">
        <f>G101/G102-1</f>
        <v>1.4136285771111368E-3</v>
      </c>
    </row>
    <row r="103" spans="2:8" x14ac:dyDescent="0.3">
      <c r="B103" s="34">
        <f>'Raw Data'!G99</f>
        <v>46153</v>
      </c>
      <c r="C103">
        <f>'Raw Data'!H99</f>
        <v>3208.8</v>
      </c>
      <c r="D103" s="36">
        <f>C102/C103-1</f>
        <v>-2.6053353278484237E-2</v>
      </c>
      <c r="F103" s="34">
        <f>'Raw Data'!G99</f>
        <v>46153</v>
      </c>
      <c r="G103">
        <f>'Raw Data'!J99</f>
        <v>23815.85</v>
      </c>
      <c r="H103" s="36">
        <f>G102/G103-1</f>
        <v>-1.8319732447088732E-2</v>
      </c>
    </row>
    <row r="104" spans="2:8" x14ac:dyDescent="0.3">
      <c r="B104" s="34">
        <f>'Raw Data'!G100</f>
        <v>46150</v>
      </c>
      <c r="C104">
        <f>'Raw Data'!H100</f>
        <v>3230.1</v>
      </c>
      <c r="D104" s="36">
        <f>C103/C104-1</f>
        <v>-6.5942230890683184E-3</v>
      </c>
      <c r="F104" s="34">
        <f>'Raw Data'!G100</f>
        <v>46150</v>
      </c>
      <c r="G104">
        <f>'Raw Data'!J100</f>
        <v>24176.15</v>
      </c>
      <c r="H104" s="36">
        <f>G103/G104-1</f>
        <v>-1.4903117328441629E-2</v>
      </c>
    </row>
    <row r="105" spans="2:8" x14ac:dyDescent="0.3">
      <c r="B105" s="34">
        <f>'Raw Data'!G101</f>
        <v>46149</v>
      </c>
      <c r="C105">
        <f>'Raw Data'!H101</f>
        <v>3226.6</v>
      </c>
      <c r="D105" s="36">
        <f>C104/C105-1</f>
        <v>1.0847331556436135E-3</v>
      </c>
      <c r="F105" s="34">
        <f>'Raw Data'!G101</f>
        <v>46149</v>
      </c>
      <c r="G105">
        <f>'Raw Data'!J101</f>
        <v>24326.65</v>
      </c>
      <c r="H105" s="36">
        <f>G104/G105-1</f>
        <v>-6.1866307115858721E-3</v>
      </c>
    </row>
    <row r="106" spans="2:8" x14ac:dyDescent="0.3">
      <c r="B106" s="34">
        <f>'Raw Data'!G102</f>
        <v>46148</v>
      </c>
      <c r="C106">
        <f>'Raw Data'!H102</f>
        <v>3225.1</v>
      </c>
      <c r="D106" s="36">
        <f>C105/C106-1</f>
        <v>4.6510185730674891E-4</v>
      </c>
      <c r="F106" s="34">
        <f>'Raw Data'!G102</f>
        <v>46148</v>
      </c>
      <c r="G106">
        <f>'Raw Data'!J102</f>
        <v>24330.95</v>
      </c>
      <c r="H106" s="36">
        <f>G105/G106-1</f>
        <v>-1.7672963858783586E-4</v>
      </c>
    </row>
    <row r="107" spans="2:8" x14ac:dyDescent="0.3">
      <c r="B107" s="34">
        <f>'Raw Data'!G103</f>
        <v>46147</v>
      </c>
      <c r="C107">
        <f>'Raw Data'!H103</f>
        <v>3181.7</v>
      </c>
      <c r="D107" s="36">
        <f>C106/C107-1</f>
        <v>1.3640506647389694E-2</v>
      </c>
      <c r="F107" s="34">
        <f>'Raw Data'!G103</f>
        <v>46147</v>
      </c>
      <c r="G107">
        <f>'Raw Data'!J103</f>
        <v>24032.799999999999</v>
      </c>
      <c r="H107" s="36">
        <f>G106/G107-1</f>
        <v>1.2405961852135494E-2</v>
      </c>
    </row>
    <row r="108" spans="2:8" x14ac:dyDescent="0.3">
      <c r="B108" s="34">
        <f>'Raw Data'!G104</f>
        <v>46146</v>
      </c>
      <c r="C108">
        <f>'Raw Data'!H104</f>
        <v>3136.3</v>
      </c>
      <c r="D108" s="36">
        <f>C107/C108-1</f>
        <v>1.447565602780343E-2</v>
      </c>
      <c r="F108" s="34">
        <f>'Raw Data'!G104</f>
        <v>46146</v>
      </c>
      <c r="G108">
        <f>'Raw Data'!J104</f>
        <v>24119.3</v>
      </c>
      <c r="H108" s="36">
        <f>G107/G108-1</f>
        <v>-3.5863395703855661E-3</v>
      </c>
    </row>
    <row r="109" spans="2:8" x14ac:dyDescent="0.3">
      <c r="B109" s="34">
        <f>'Raw Data'!G105</f>
        <v>46142</v>
      </c>
      <c r="C109">
        <f>'Raw Data'!H105</f>
        <v>3118.8</v>
      </c>
      <c r="D109" s="36">
        <f>C108/C109-1</f>
        <v>5.6111324868539647E-3</v>
      </c>
      <c r="F109" s="34">
        <f>'Raw Data'!G105</f>
        <v>46142</v>
      </c>
      <c r="G109">
        <f>'Raw Data'!J105</f>
        <v>23997.55</v>
      </c>
      <c r="H109" s="36">
        <f>G108/G109-1</f>
        <v>5.0734345797800451E-3</v>
      </c>
    </row>
    <row r="110" spans="2:8" x14ac:dyDescent="0.3">
      <c r="B110" s="34">
        <f>'Raw Data'!G106</f>
        <v>46141</v>
      </c>
      <c r="C110">
        <f>'Raw Data'!H106</f>
        <v>3502.9</v>
      </c>
      <c r="D110" s="36">
        <f>C109/C110-1</f>
        <v>-0.1096520026263953</v>
      </c>
      <c r="F110" s="34">
        <f>'Raw Data'!G106</f>
        <v>46141</v>
      </c>
      <c r="G110">
        <f>'Raw Data'!J106</f>
        <v>24177.65</v>
      </c>
      <c r="H110" s="36">
        <f>G109/G110-1</f>
        <v>-7.4490283381554168E-3</v>
      </c>
    </row>
    <row r="111" spans="2:8" x14ac:dyDescent="0.3">
      <c r="B111" s="34">
        <f>'Raw Data'!G107</f>
        <v>46140</v>
      </c>
      <c r="C111">
        <f>'Raw Data'!H107</f>
        <v>3453.6</v>
      </c>
      <c r="D111" s="36">
        <f>C110/C111-1</f>
        <v>1.427495946258972E-2</v>
      </c>
      <c r="F111" s="34">
        <f>'Raw Data'!G107</f>
        <v>46140</v>
      </c>
      <c r="G111">
        <f>'Raw Data'!J107</f>
        <v>23995.7</v>
      </c>
      <c r="H111" s="36">
        <f>G110/G111-1</f>
        <v>7.5826085506986995E-3</v>
      </c>
    </row>
    <row r="112" spans="2:8" x14ac:dyDescent="0.3">
      <c r="B112" s="34">
        <f>'Raw Data'!G108</f>
        <v>46139</v>
      </c>
      <c r="C112">
        <f>'Raw Data'!H108</f>
        <v>3358.3</v>
      </c>
      <c r="D112" s="36">
        <f>C111/C112-1</f>
        <v>2.8377452877944132E-2</v>
      </c>
      <c r="F112" s="34">
        <f>'Raw Data'!G108</f>
        <v>46139</v>
      </c>
      <c r="G112">
        <f>'Raw Data'!J108</f>
        <v>24092.7</v>
      </c>
      <c r="H112" s="36">
        <f>G111/G112-1</f>
        <v>-4.0261157944107007E-3</v>
      </c>
    </row>
    <row r="113" spans="2:8" x14ac:dyDescent="0.3">
      <c r="B113" s="34">
        <f>'Raw Data'!G109</f>
        <v>46136</v>
      </c>
      <c r="C113">
        <f>'Raw Data'!H109</f>
        <v>3305.7</v>
      </c>
      <c r="D113" s="36">
        <f>C112/C113-1</f>
        <v>1.5911909731675777E-2</v>
      </c>
      <c r="F113" s="34">
        <f>'Raw Data'!G109</f>
        <v>46136</v>
      </c>
      <c r="G113">
        <f>'Raw Data'!J109</f>
        <v>23897.95</v>
      </c>
      <c r="H113" s="36">
        <f>G112/G113-1</f>
        <v>8.1492345577758307E-3</v>
      </c>
    </row>
    <row r="114" spans="2:8" x14ac:dyDescent="0.3">
      <c r="B114" s="34">
        <f>'Raw Data'!G110</f>
        <v>46135</v>
      </c>
      <c r="C114">
        <f>'Raw Data'!H110</f>
        <v>3413</v>
      </c>
      <c r="D114" s="36">
        <f>C113/C114-1</f>
        <v>-3.1438617052446549E-2</v>
      </c>
      <c r="F114" s="34">
        <f>'Raw Data'!G110</f>
        <v>46135</v>
      </c>
      <c r="G114">
        <f>'Raw Data'!J110</f>
        <v>24173.05</v>
      </c>
      <c r="H114" s="36">
        <f>G113/G114-1</f>
        <v>-1.1380442269386726E-2</v>
      </c>
    </row>
    <row r="115" spans="2:8" x14ac:dyDescent="0.3">
      <c r="B115" s="34">
        <f>'Raw Data'!G111</f>
        <v>46134</v>
      </c>
      <c r="C115">
        <f>'Raw Data'!H111</f>
        <v>3427.8</v>
      </c>
      <c r="D115" s="36">
        <f>C114/C115-1</f>
        <v>-4.3176381352471038E-3</v>
      </c>
      <c r="F115" s="34">
        <f>'Raw Data'!G111</f>
        <v>46134</v>
      </c>
      <c r="G115">
        <f>'Raw Data'!J111</f>
        <v>24378.1</v>
      </c>
      <c r="H115" s="36">
        <f>G114/G115-1</f>
        <v>-8.4112379553779038E-3</v>
      </c>
    </row>
    <row r="116" spans="2:8" x14ac:dyDescent="0.3">
      <c r="B116" s="34">
        <f>'Raw Data'!G112</f>
        <v>46133</v>
      </c>
      <c r="C116">
        <f>'Raw Data'!H112</f>
        <v>3472.8</v>
      </c>
      <c r="D116" s="36">
        <f>C115/C116-1</f>
        <v>-1.2957843814789261E-2</v>
      </c>
      <c r="F116" s="34">
        <f>'Raw Data'!G112</f>
        <v>46133</v>
      </c>
      <c r="G116">
        <f>'Raw Data'!J112</f>
        <v>24576.6</v>
      </c>
      <c r="H116" s="36">
        <f>G115/G116-1</f>
        <v>-8.0767884898643727E-3</v>
      </c>
    </row>
    <row r="117" spans="2:8" x14ac:dyDescent="0.3">
      <c r="B117" s="34">
        <f>'Raw Data'!G113</f>
        <v>46132</v>
      </c>
      <c r="C117">
        <f>'Raw Data'!H113</f>
        <v>3489.1</v>
      </c>
      <c r="D117" s="36">
        <f>C116/C117-1</f>
        <v>-4.6716918403025831E-3</v>
      </c>
      <c r="F117" s="34">
        <f>'Raw Data'!G113</f>
        <v>46132</v>
      </c>
      <c r="G117">
        <f>'Raw Data'!J113</f>
        <v>24364.85</v>
      </c>
      <c r="H117" s="36">
        <f>G116/G117-1</f>
        <v>8.690798424779933E-3</v>
      </c>
    </row>
    <row r="118" spans="2:8" x14ac:dyDescent="0.3">
      <c r="B118" s="34">
        <f>'Raw Data'!G114</f>
        <v>46129</v>
      </c>
      <c r="C118">
        <f>'Raw Data'!H114</f>
        <v>3466.2</v>
      </c>
      <c r="D118" s="36">
        <f>C117/C118-1</f>
        <v>6.6066585886561668E-3</v>
      </c>
      <c r="F118" s="34">
        <f>'Raw Data'!G114</f>
        <v>46129</v>
      </c>
      <c r="G118">
        <f>'Raw Data'!J114</f>
        <v>24353.55</v>
      </c>
      <c r="H118" s="36">
        <f>G117/G118-1</f>
        <v>4.6399806188412995E-4</v>
      </c>
    </row>
    <row r="119" spans="2:8" x14ac:dyDescent="0.3">
      <c r="B119" s="34">
        <f>'Raw Data'!G115</f>
        <v>46128</v>
      </c>
      <c r="C119">
        <f>'Raw Data'!H115</f>
        <v>3438.8</v>
      </c>
      <c r="D119" s="36">
        <f>C118/C119-1</f>
        <v>7.9678957775968229E-3</v>
      </c>
      <c r="F119" s="34">
        <f>'Raw Data'!G115</f>
        <v>46128</v>
      </c>
      <c r="G119">
        <f>'Raw Data'!J115</f>
        <v>24196.75</v>
      </c>
      <c r="H119" s="36">
        <f>G118/G119-1</f>
        <v>6.4802091189932742E-3</v>
      </c>
    </row>
    <row r="120" spans="2:8" x14ac:dyDescent="0.3">
      <c r="B120" s="34">
        <f>'Raw Data'!G116</f>
        <v>46127</v>
      </c>
      <c r="C120">
        <f>'Raw Data'!H116</f>
        <v>3426.1</v>
      </c>
      <c r="D120" s="36">
        <f>C119/C120-1</f>
        <v>3.7068386795482411E-3</v>
      </c>
      <c r="F120" s="34">
        <f>'Raw Data'!G116</f>
        <v>46127</v>
      </c>
      <c r="G120">
        <f>'Raw Data'!J116</f>
        <v>24231.3</v>
      </c>
      <c r="H120" s="36">
        <f>G119/G120-1</f>
        <v>-1.4258417831481962E-3</v>
      </c>
    </row>
    <row r="121" spans="2:8" x14ac:dyDescent="0.3">
      <c r="B121" s="34">
        <f>'Raw Data'!G117</f>
        <v>46125</v>
      </c>
      <c r="C121">
        <f>'Raw Data'!H117</f>
        <v>3334.8</v>
      </c>
      <c r="D121" s="36">
        <f>C120/C121-1</f>
        <v>2.7377953700371771E-2</v>
      </c>
      <c r="F121" s="34">
        <f>'Raw Data'!G117</f>
        <v>46125</v>
      </c>
      <c r="G121">
        <f>'Raw Data'!J117</f>
        <v>23842.65</v>
      </c>
      <c r="H121" s="36">
        <f>G120/G121-1</f>
        <v>1.6300620946077649E-2</v>
      </c>
    </row>
    <row r="122" spans="2:8" x14ac:dyDescent="0.3">
      <c r="B122" s="34">
        <f>'Raw Data'!G118</f>
        <v>46122</v>
      </c>
      <c r="C122">
        <f>'Raw Data'!H118</f>
        <v>3281.4</v>
      </c>
      <c r="D122" s="36">
        <f>C121/C122-1</f>
        <v>1.6273541780947198E-2</v>
      </c>
      <c r="F122" s="34">
        <f>'Raw Data'!G118</f>
        <v>46122</v>
      </c>
      <c r="G122">
        <f>'Raw Data'!J118</f>
        <v>24050.6</v>
      </c>
      <c r="H122" s="36">
        <f>G121/G122-1</f>
        <v>-8.6463539371157694E-3</v>
      </c>
    </row>
    <row r="123" spans="2:8" x14ac:dyDescent="0.3">
      <c r="B123" s="34">
        <f>'Raw Data'!G119</f>
        <v>46121</v>
      </c>
      <c r="C123">
        <f>'Raw Data'!H119</f>
        <v>3232.3</v>
      </c>
      <c r="D123" s="36">
        <f>C122/C123-1</f>
        <v>1.5190421681155808E-2</v>
      </c>
      <c r="F123" s="34">
        <f>'Raw Data'!G119</f>
        <v>46121</v>
      </c>
      <c r="G123">
        <f>'Raw Data'!J119</f>
        <v>23775.1</v>
      </c>
      <c r="H123" s="36">
        <f>G122/G123-1</f>
        <v>1.1587753574117565E-2</v>
      </c>
    </row>
    <row r="124" spans="2:8" x14ac:dyDescent="0.3">
      <c r="B124" s="34">
        <f>'Raw Data'!G120</f>
        <v>46120</v>
      </c>
      <c r="C124">
        <f>'Raw Data'!H120</f>
        <v>3125</v>
      </c>
      <c r="D124" s="36">
        <f>C123/C124-1</f>
        <v>3.4336000000000144E-2</v>
      </c>
      <c r="F124" s="34">
        <f>'Raw Data'!G120</f>
        <v>46120</v>
      </c>
      <c r="G124">
        <f>'Raw Data'!J120</f>
        <v>23997.35</v>
      </c>
      <c r="H124" s="36">
        <f>G123/G124-1</f>
        <v>-9.2614392839209803E-3</v>
      </c>
    </row>
    <row r="125" spans="2:8" x14ac:dyDescent="0.3">
      <c r="B125" s="34">
        <f>'Raw Data'!G121</f>
        <v>46119</v>
      </c>
      <c r="C125">
        <f>'Raw Data'!H121</f>
        <v>3083.8</v>
      </c>
      <c r="D125" s="36">
        <f>C124/C125-1</f>
        <v>1.336014008690567E-2</v>
      </c>
      <c r="F125" s="34">
        <f>'Raw Data'!G121</f>
        <v>46119</v>
      </c>
      <c r="G125">
        <f>'Raw Data'!J121</f>
        <v>23123.65</v>
      </c>
      <c r="H125" s="36">
        <f>G124/G125-1</f>
        <v>3.7783827380192925E-2</v>
      </c>
    </row>
    <row r="126" spans="2:8" x14ac:dyDescent="0.3">
      <c r="B126" s="34">
        <f>'Raw Data'!G122</f>
        <v>46118</v>
      </c>
      <c r="C126">
        <f>'Raw Data'!H122</f>
        <v>3084.7</v>
      </c>
      <c r="D126" s="36">
        <f>C125/C126-1</f>
        <v>-2.9176257010399276E-4</v>
      </c>
      <c r="F126" s="34">
        <f>'Raw Data'!G122</f>
        <v>46118</v>
      </c>
      <c r="G126">
        <f>'Raw Data'!J122</f>
        <v>22968.25</v>
      </c>
      <c r="H126" s="36">
        <f>G125/G126-1</f>
        <v>6.7658615697756552E-3</v>
      </c>
    </row>
    <row r="127" spans="2:8" x14ac:dyDescent="0.3">
      <c r="B127" s="34">
        <f>'Raw Data'!G123</f>
        <v>46114</v>
      </c>
      <c r="C127">
        <f>'Raw Data'!H123</f>
        <v>3070.7</v>
      </c>
      <c r="D127" s="36">
        <f>C126/C127-1</f>
        <v>4.5592210245219977E-3</v>
      </c>
      <c r="F127" s="34">
        <f>'Raw Data'!G123</f>
        <v>46114</v>
      </c>
      <c r="G127">
        <f>'Raw Data'!J123</f>
        <v>22713.1</v>
      </c>
      <c r="H127" s="36">
        <f>G126/G127-1</f>
        <v>1.123360527625028E-2</v>
      </c>
    </row>
    <row r="128" spans="2:8" x14ac:dyDescent="0.3">
      <c r="B128" s="34">
        <f>'Raw Data'!G124</f>
        <v>46113</v>
      </c>
      <c r="C128">
        <f>'Raw Data'!H124</f>
        <v>3089.2</v>
      </c>
      <c r="D128" s="36">
        <f>C127/C128-1</f>
        <v>-5.9886054641978825E-3</v>
      </c>
      <c r="F128" s="34">
        <f>'Raw Data'!G124</f>
        <v>46113</v>
      </c>
      <c r="G128">
        <f>'Raw Data'!J124</f>
        <v>22679.4</v>
      </c>
      <c r="H128" s="36">
        <f>G127/G128-1</f>
        <v>1.4859299628737777E-3</v>
      </c>
    </row>
    <row r="129" spans="2:8" x14ac:dyDescent="0.3">
      <c r="B129" s="34">
        <f>'Raw Data'!G125</f>
        <v>46111</v>
      </c>
      <c r="C129">
        <f>'Raw Data'!H125</f>
        <v>3109.8</v>
      </c>
      <c r="D129" s="36">
        <f>C128/C129-1</f>
        <v>-6.6242202070874168E-3</v>
      </c>
      <c r="F129" s="34">
        <f>'Raw Data'!G125</f>
        <v>46111</v>
      </c>
      <c r="G129">
        <f>'Raw Data'!J125</f>
        <v>22331.4</v>
      </c>
      <c r="H129" s="36">
        <f>G128/G129-1</f>
        <v>1.5583438566323604E-2</v>
      </c>
    </row>
    <row r="130" spans="2:8" x14ac:dyDescent="0.3">
      <c r="B130" s="34">
        <f>'Raw Data'!G126</f>
        <v>46108</v>
      </c>
      <c r="C130">
        <f>'Raw Data'!H126</f>
        <v>3092.6</v>
      </c>
      <c r="D130" s="36">
        <f>C129/C130-1</f>
        <v>5.5616633253574577E-3</v>
      </c>
      <c r="F130" s="34">
        <f>'Raw Data'!G126</f>
        <v>46108</v>
      </c>
      <c r="G130">
        <f>'Raw Data'!J126</f>
        <v>22819.599999999999</v>
      </c>
      <c r="H130" s="36">
        <f>G129/G130-1</f>
        <v>-2.1393889463443561E-2</v>
      </c>
    </row>
    <row r="131" spans="2:8" x14ac:dyDescent="0.3">
      <c r="B131" s="34">
        <f>'Raw Data'!G127</f>
        <v>46106</v>
      </c>
      <c r="C131">
        <f>'Raw Data'!H127</f>
        <v>3177.9</v>
      </c>
      <c r="D131" s="36">
        <f>C130/C131-1</f>
        <v>-2.6841624972466116E-2</v>
      </c>
      <c r="F131" s="34">
        <f>'Raw Data'!G127</f>
        <v>46106</v>
      </c>
      <c r="G131">
        <f>'Raw Data'!J127</f>
        <v>23306.45</v>
      </c>
      <c r="H131" s="36">
        <f>G130/G131-1</f>
        <v>-2.0889067189554966E-2</v>
      </c>
    </row>
    <row r="132" spans="2:8" x14ac:dyDescent="0.3">
      <c r="B132" s="34">
        <f>'Raw Data'!G128</f>
        <v>46105</v>
      </c>
      <c r="C132">
        <f>'Raw Data'!H128</f>
        <v>3086.7</v>
      </c>
      <c r="D132" s="36">
        <f>C131/C132-1</f>
        <v>2.9546117212557288E-2</v>
      </c>
      <c r="F132" s="34">
        <f>'Raw Data'!G128</f>
        <v>46105</v>
      </c>
      <c r="G132">
        <f>'Raw Data'!J128</f>
        <v>22912.400000000001</v>
      </c>
      <c r="H132" s="36">
        <f>G131/G132-1</f>
        <v>1.7198111066496713E-2</v>
      </c>
    </row>
    <row r="133" spans="2:8" x14ac:dyDescent="0.3">
      <c r="B133" s="34">
        <f>'Raw Data'!G129</f>
        <v>46104</v>
      </c>
      <c r="C133">
        <f>'Raw Data'!H129</f>
        <v>3064.6</v>
      </c>
      <c r="D133" s="36">
        <f>C132/C133-1</f>
        <v>7.2113815832408612E-3</v>
      </c>
      <c r="F133" s="34">
        <f>'Raw Data'!G129</f>
        <v>46104</v>
      </c>
      <c r="G133">
        <f>'Raw Data'!J129</f>
        <v>22512.65</v>
      </c>
      <c r="H133" s="36">
        <f>G132/G133-1</f>
        <v>1.7756683464629885E-2</v>
      </c>
    </row>
    <row r="134" spans="2:8" x14ac:dyDescent="0.3">
      <c r="B134" s="34">
        <f>'Raw Data'!G130</f>
        <v>46101</v>
      </c>
      <c r="C134">
        <f>'Raw Data'!H130</f>
        <v>3165.9</v>
      </c>
      <c r="D134" s="36">
        <f>C133/C134-1</f>
        <v>-3.1997220379670899E-2</v>
      </c>
      <c r="F134" s="34">
        <f>'Raw Data'!G130</f>
        <v>46101</v>
      </c>
      <c r="G134">
        <f>'Raw Data'!J130</f>
        <v>23114.5</v>
      </c>
      <c r="H134" s="36">
        <f>G133/G134-1</f>
        <v>-2.6037768500291936E-2</v>
      </c>
    </row>
    <row r="135" spans="2:8" x14ac:dyDescent="0.3">
      <c r="B135" s="34">
        <f>'Raw Data'!G131</f>
        <v>46100</v>
      </c>
      <c r="C135">
        <f>'Raw Data'!H131</f>
        <v>3155.9</v>
      </c>
      <c r="D135" s="36">
        <f>C134/C135-1</f>
        <v>3.1686682087519458E-3</v>
      </c>
      <c r="F135" s="34">
        <f>'Raw Data'!G131</f>
        <v>46100</v>
      </c>
      <c r="G135">
        <f>'Raw Data'!J131</f>
        <v>23002.15</v>
      </c>
      <c r="H135" s="36">
        <f>G134/G135-1</f>
        <v>4.8843260303927938E-3</v>
      </c>
    </row>
    <row r="136" spans="2:8" x14ac:dyDescent="0.3">
      <c r="B136" s="34">
        <f>'Raw Data'!G132</f>
        <v>46099</v>
      </c>
      <c r="C136">
        <f>'Raw Data'!H132</f>
        <v>3184.8</v>
      </c>
      <c r="D136" s="36">
        <f>C135/C136-1</f>
        <v>-9.0743531775936415E-3</v>
      </c>
      <c r="F136" s="34">
        <f>'Raw Data'!G132</f>
        <v>46099</v>
      </c>
      <c r="G136">
        <f>'Raw Data'!J132</f>
        <v>23777.8</v>
      </c>
      <c r="H136" s="36">
        <f>G135/G136-1</f>
        <v>-3.2620763905828021E-2</v>
      </c>
    </row>
    <row r="137" spans="2:8" x14ac:dyDescent="0.3">
      <c r="B137" s="34">
        <f>'Raw Data'!G133</f>
        <v>46098</v>
      </c>
      <c r="C137">
        <f>'Raw Data'!H133</f>
        <v>2883.1</v>
      </c>
      <c r="D137" s="36">
        <f>C136/C137-1</f>
        <v>0.10464430647566858</v>
      </c>
      <c r="F137" s="34">
        <f>'Raw Data'!G133</f>
        <v>46098</v>
      </c>
      <c r="G137">
        <f>'Raw Data'!J133</f>
        <v>23581.15</v>
      </c>
      <c r="H137" s="36">
        <f>G136/G137-1</f>
        <v>8.3392879482127036E-3</v>
      </c>
    </row>
    <row r="138" spans="2:8" x14ac:dyDescent="0.3">
      <c r="B138" s="34">
        <f>'Raw Data'!G134</f>
        <v>46097</v>
      </c>
      <c r="C138">
        <f>'Raw Data'!H134</f>
        <v>2790.7</v>
      </c>
      <c r="D138" s="36">
        <f>C137/C138-1</f>
        <v>3.3109972408356336E-2</v>
      </c>
      <c r="F138" s="34">
        <f>'Raw Data'!G134</f>
        <v>46097</v>
      </c>
      <c r="G138">
        <f>'Raw Data'!J134</f>
        <v>23408.799999999999</v>
      </c>
      <c r="H138" s="36">
        <f>G137/G138-1</f>
        <v>7.3626157684290039E-3</v>
      </c>
    </row>
    <row r="139" spans="2:8" x14ac:dyDescent="0.3">
      <c r="B139" s="34">
        <f>'Raw Data'!G135</f>
        <v>46094</v>
      </c>
      <c r="C139">
        <f>'Raw Data'!H135</f>
        <v>2726.6</v>
      </c>
      <c r="D139" s="36">
        <f>C138/C139-1</f>
        <v>2.3509132252622189E-2</v>
      </c>
      <c r="F139" s="34">
        <f>'Raw Data'!G135</f>
        <v>46094</v>
      </c>
      <c r="G139">
        <f>'Raw Data'!J135</f>
        <v>23151.1</v>
      </c>
      <c r="H139" s="36">
        <f>G138/G139-1</f>
        <v>1.1131220546755971E-2</v>
      </c>
    </row>
    <row r="140" spans="2:8" x14ac:dyDescent="0.3">
      <c r="B140" s="34">
        <f>'Raw Data'!G136</f>
        <v>46093</v>
      </c>
      <c r="C140">
        <f>'Raw Data'!H136</f>
        <v>2739.4</v>
      </c>
      <c r="D140" s="36">
        <f>C139/C140-1</f>
        <v>-4.6725560341681627E-3</v>
      </c>
      <c r="F140" s="34">
        <f>'Raw Data'!G136</f>
        <v>46093</v>
      </c>
      <c r="G140">
        <f>'Raw Data'!J136</f>
        <v>23639.15</v>
      </c>
      <c r="H140" s="36">
        <f>G139/G140-1</f>
        <v>-2.0645835404403456E-2</v>
      </c>
    </row>
    <row r="141" spans="2:8" x14ac:dyDescent="0.3">
      <c r="B141" s="34">
        <f>'Raw Data'!G137</f>
        <v>46092</v>
      </c>
      <c r="C141">
        <f>'Raw Data'!H137</f>
        <v>2682.8</v>
      </c>
      <c r="D141" s="36">
        <f>C140/C141-1</f>
        <v>2.1097360966154666E-2</v>
      </c>
      <c r="F141" s="34">
        <f>'Raw Data'!G137</f>
        <v>46092</v>
      </c>
      <c r="G141">
        <f>'Raw Data'!J137</f>
        <v>23866.85</v>
      </c>
      <c r="H141" s="36">
        <f>G140/G141-1</f>
        <v>-9.5404295078738155E-3</v>
      </c>
    </row>
    <row r="142" spans="2:8" x14ac:dyDescent="0.3">
      <c r="B142" s="34">
        <f>'Raw Data'!G138</f>
        <v>46091</v>
      </c>
      <c r="C142">
        <f>'Raw Data'!H138</f>
        <v>2655.7</v>
      </c>
      <c r="D142" s="36">
        <f>C141/C142-1</f>
        <v>1.0204465865873535E-2</v>
      </c>
      <c r="F142" s="34">
        <f>'Raw Data'!G138</f>
        <v>46091</v>
      </c>
      <c r="G142">
        <f>'Raw Data'!J138</f>
        <v>24261.599999999999</v>
      </c>
      <c r="H142" s="36">
        <f>G141/G142-1</f>
        <v>-1.6270567481122433E-2</v>
      </c>
    </row>
    <row r="143" spans="2:8" x14ac:dyDescent="0.3">
      <c r="B143" s="34">
        <f>'Raw Data'!G139</f>
        <v>46090</v>
      </c>
      <c r="C143">
        <f>'Raw Data'!H139</f>
        <v>2599</v>
      </c>
      <c r="D143" s="36">
        <f>C142/C143-1</f>
        <v>2.1816083108888051E-2</v>
      </c>
      <c r="F143" s="34">
        <f>'Raw Data'!G139</f>
        <v>46090</v>
      </c>
      <c r="G143">
        <f>'Raw Data'!J139</f>
        <v>24028.05</v>
      </c>
      <c r="H143" s="36">
        <f>G142/G143-1</f>
        <v>9.7198898787043131E-3</v>
      </c>
    </row>
    <row r="144" spans="2:8" x14ac:dyDescent="0.3">
      <c r="B144" s="34">
        <f>'Raw Data'!G140</f>
        <v>46087</v>
      </c>
      <c r="C144">
        <f>'Raw Data'!H140</f>
        <v>2628.3</v>
      </c>
      <c r="D144" s="36">
        <f>C143/C144-1</f>
        <v>-1.1147890271278049E-2</v>
      </c>
      <c r="F144" s="34">
        <f>'Raw Data'!G140</f>
        <v>46087</v>
      </c>
      <c r="G144">
        <f>'Raw Data'!J140</f>
        <v>24450.45</v>
      </c>
      <c r="H144" s="36">
        <f>G143/G144-1</f>
        <v>-1.7275755660938863E-2</v>
      </c>
    </row>
    <row r="145" spans="2:8" x14ac:dyDescent="0.3">
      <c r="B145" s="34">
        <f>'Raw Data'!G141</f>
        <v>46086</v>
      </c>
      <c r="C145">
        <f>'Raw Data'!H141</f>
        <v>2646.2</v>
      </c>
      <c r="D145" s="36">
        <f>C144/C145-1</f>
        <v>-6.7644168997050835E-3</v>
      </c>
      <c r="F145" s="34">
        <f>'Raw Data'!G141</f>
        <v>46086</v>
      </c>
      <c r="G145">
        <f>'Raw Data'!J141</f>
        <v>24765.9</v>
      </c>
      <c r="H145" s="36">
        <f>G144/G145-1</f>
        <v>-1.2737271813259343E-2</v>
      </c>
    </row>
    <row r="146" spans="2:8" x14ac:dyDescent="0.3">
      <c r="B146" s="34">
        <f>'Raw Data'!G142</f>
        <v>46085</v>
      </c>
      <c r="C146">
        <f>'Raw Data'!H142</f>
        <v>2634</v>
      </c>
      <c r="D146" s="36">
        <f>C145/C146-1</f>
        <v>4.631738800303653E-3</v>
      </c>
      <c r="F146" s="34">
        <f>'Raw Data'!G142</f>
        <v>46085</v>
      </c>
      <c r="G146">
        <f>'Raw Data'!J142</f>
        <v>24480.5</v>
      </c>
      <c r="H146" s="36">
        <f>G145/G146-1</f>
        <v>1.1658258613999051E-2</v>
      </c>
    </row>
    <row r="147" spans="2:8" x14ac:dyDescent="0.3">
      <c r="B147" s="34">
        <f>'Raw Data'!G143</f>
        <v>46083</v>
      </c>
      <c r="C147">
        <f>'Raw Data'!H143</f>
        <v>2643.3</v>
      </c>
      <c r="D147" s="36">
        <f>C146/C147-1</f>
        <v>-3.5183293610260291E-3</v>
      </c>
      <c r="F147" s="34">
        <f>'Raw Data'!G143</f>
        <v>46083</v>
      </c>
      <c r="G147">
        <f>'Raw Data'!J143</f>
        <v>24865.7</v>
      </c>
      <c r="H147" s="36">
        <f>G146/G147-1</f>
        <v>-1.5491218827541564E-2</v>
      </c>
    </row>
    <row r="148" spans="2:8" x14ac:dyDescent="0.3">
      <c r="B148" s="34">
        <f>'Raw Data'!G144</f>
        <v>46080</v>
      </c>
      <c r="C148">
        <f>'Raw Data'!H144</f>
        <v>2709.3</v>
      </c>
      <c r="D148" s="36">
        <f>C147/C148-1</f>
        <v>-2.436053593179055E-2</v>
      </c>
      <c r="F148" s="34">
        <f>'Raw Data'!G144</f>
        <v>46080</v>
      </c>
      <c r="G148">
        <f>'Raw Data'!J144</f>
        <v>25178.65</v>
      </c>
      <c r="H148" s="36">
        <f>G147/G148-1</f>
        <v>-1.2429181072059148E-2</v>
      </c>
    </row>
    <row r="149" spans="2:8" x14ac:dyDescent="0.3">
      <c r="B149" s="34">
        <f>'Raw Data'!G145</f>
        <v>46079</v>
      </c>
      <c r="C149">
        <f>'Raw Data'!H145</f>
        <v>2717.7</v>
      </c>
      <c r="D149" s="36">
        <f>C148/C149-1</f>
        <v>-3.0908488795671207E-3</v>
      </c>
      <c r="F149" s="34">
        <f>'Raw Data'!G145</f>
        <v>46079</v>
      </c>
      <c r="G149">
        <f>'Raw Data'!J145</f>
        <v>25496.55</v>
      </c>
      <c r="H149" s="36">
        <f>G148/G149-1</f>
        <v>-1.2468353561560175E-2</v>
      </c>
    </row>
    <row r="150" spans="2:8" x14ac:dyDescent="0.3">
      <c r="B150" s="34">
        <f>'Raw Data'!G146</f>
        <v>46078</v>
      </c>
      <c r="C150">
        <f>'Raw Data'!H146</f>
        <v>2708.5</v>
      </c>
      <c r="D150" s="36">
        <f>C149/C150-1</f>
        <v>3.3967140483661673E-3</v>
      </c>
      <c r="F150" s="34">
        <f>'Raw Data'!G146</f>
        <v>46078</v>
      </c>
      <c r="G150">
        <f>'Raw Data'!J146</f>
        <v>25482.5</v>
      </c>
      <c r="H150" s="36">
        <f>G149/G150-1</f>
        <v>5.5135877563028401E-4</v>
      </c>
    </row>
    <row r="151" spans="2:8" x14ac:dyDescent="0.3">
      <c r="B151" s="34">
        <f>'Raw Data'!G147</f>
        <v>46077</v>
      </c>
      <c r="C151">
        <f>'Raw Data'!H147</f>
        <v>3023.5</v>
      </c>
      <c r="D151" s="36">
        <f>C150/C151-1</f>
        <v>-0.10418389283942453</v>
      </c>
      <c r="F151" s="34">
        <f>'Raw Data'!G147</f>
        <v>46077</v>
      </c>
      <c r="G151">
        <f>'Raw Data'!J147</f>
        <v>25424.65</v>
      </c>
      <c r="H151" s="36">
        <f>G150/G151-1</f>
        <v>2.275350889786143E-3</v>
      </c>
    </row>
    <row r="152" spans="2:8" x14ac:dyDescent="0.3">
      <c r="B152" s="34">
        <f>'Raw Data'!G148</f>
        <v>46076</v>
      </c>
      <c r="C152">
        <f>'Raw Data'!H148</f>
        <v>2915.8</v>
      </c>
      <c r="D152" s="36">
        <f>C151/C152-1</f>
        <v>3.6936689759242691E-2</v>
      </c>
      <c r="F152" s="34">
        <f>'Raw Data'!G148</f>
        <v>46076</v>
      </c>
      <c r="G152">
        <f>'Raw Data'!J148</f>
        <v>25713</v>
      </c>
      <c r="H152" s="36">
        <f>G151/G152-1</f>
        <v>-1.1214171819702079E-2</v>
      </c>
    </row>
    <row r="153" spans="2:8" x14ac:dyDescent="0.3">
      <c r="B153" s="34">
        <f>'Raw Data'!G149</f>
        <v>46073</v>
      </c>
      <c r="C153">
        <f>'Raw Data'!H149</f>
        <v>2897.6</v>
      </c>
      <c r="D153" s="36">
        <f>C152/C153-1</f>
        <v>6.2810601877416605E-3</v>
      </c>
      <c r="F153" s="34">
        <f>'Raw Data'!G149</f>
        <v>46073</v>
      </c>
      <c r="G153">
        <f>'Raw Data'!J149</f>
        <v>25571.25</v>
      </c>
      <c r="H153" s="36">
        <f>G152/G153-1</f>
        <v>5.5433347998239402E-3</v>
      </c>
    </row>
    <row r="154" spans="2:8" x14ac:dyDescent="0.3">
      <c r="B154" s="34">
        <f>'Raw Data'!G150</f>
        <v>46072</v>
      </c>
      <c r="C154">
        <f>'Raw Data'!H150</f>
        <v>2874.3</v>
      </c>
      <c r="D154" s="36">
        <f>C153/C154-1</f>
        <v>8.1063215391572463E-3</v>
      </c>
      <c r="F154" s="34">
        <f>'Raw Data'!G150</f>
        <v>46072</v>
      </c>
      <c r="G154">
        <f>'Raw Data'!J150</f>
        <v>25454.35</v>
      </c>
      <c r="H154" s="36">
        <f>G153/G154-1</f>
        <v>4.5925352641100758E-3</v>
      </c>
    </row>
    <row r="155" spans="2:8" x14ac:dyDescent="0.3">
      <c r="B155" s="34">
        <f>'Raw Data'!G151</f>
        <v>46071</v>
      </c>
      <c r="C155">
        <f>'Raw Data'!H151</f>
        <v>2963.6</v>
      </c>
      <c r="D155" s="36">
        <f>C154/C155-1</f>
        <v>-3.0132271561614132E-2</v>
      </c>
      <c r="F155" s="34">
        <f>'Raw Data'!G151</f>
        <v>46071</v>
      </c>
      <c r="G155">
        <f>'Raw Data'!J151</f>
        <v>25819.35</v>
      </c>
      <c r="H155" s="36">
        <f>G154/G155-1</f>
        <v>-1.4136684308474035E-2</v>
      </c>
    </row>
    <row r="156" spans="2:8" x14ac:dyDescent="0.3">
      <c r="B156" s="34">
        <f>'Raw Data'!G152</f>
        <v>46070</v>
      </c>
      <c r="C156">
        <f>'Raw Data'!H152</f>
        <v>3053.1</v>
      </c>
      <c r="D156" s="36">
        <f>C155/C156-1</f>
        <v>-2.9314467262782085E-2</v>
      </c>
      <c r="F156" s="34">
        <f>'Raw Data'!G152</f>
        <v>46070</v>
      </c>
      <c r="G156">
        <f>'Raw Data'!J152</f>
        <v>25725.4</v>
      </c>
      <c r="H156" s="36">
        <f>G155/G156-1</f>
        <v>3.6520326214557475E-3</v>
      </c>
    </row>
    <row r="157" spans="2:8" x14ac:dyDescent="0.3">
      <c r="B157" s="34">
        <f>'Raw Data'!G153</f>
        <v>46069</v>
      </c>
      <c r="C157">
        <f>'Raw Data'!H153</f>
        <v>3116.4</v>
      </c>
      <c r="D157" s="36">
        <f>C156/C157-1</f>
        <v>-2.0311898344243406E-2</v>
      </c>
      <c r="F157" s="34">
        <f>'Raw Data'!G153</f>
        <v>46069</v>
      </c>
      <c r="G157">
        <f>'Raw Data'!J153</f>
        <v>25682.75</v>
      </c>
      <c r="H157" s="36">
        <f>G156/G157-1</f>
        <v>1.6606477110123752E-3</v>
      </c>
    </row>
    <row r="158" spans="2:8" x14ac:dyDescent="0.3">
      <c r="B158" s="34">
        <f>'Raw Data'!G154</f>
        <v>46066</v>
      </c>
      <c r="C158">
        <f>'Raw Data'!H154</f>
        <v>3096.2</v>
      </c>
      <c r="D158" s="36">
        <f>C157/C158-1</f>
        <v>6.5241263484272505E-3</v>
      </c>
      <c r="F158" s="34">
        <f>'Raw Data'!G154</f>
        <v>46066</v>
      </c>
      <c r="G158">
        <f>'Raw Data'!J154</f>
        <v>25471.1</v>
      </c>
      <c r="H158" s="36">
        <f>G157/G158-1</f>
        <v>8.3094173396516258E-3</v>
      </c>
    </row>
    <row r="159" spans="2:8" x14ac:dyDescent="0.3">
      <c r="B159" s="34">
        <f>'Raw Data'!G155</f>
        <v>46065</v>
      </c>
      <c r="C159">
        <f>'Raw Data'!H155</f>
        <v>3171.2</v>
      </c>
      <c r="D159" s="36">
        <f>C158/C159-1</f>
        <v>-2.3650353178607419E-2</v>
      </c>
      <c r="F159" s="34">
        <f>'Raw Data'!G155</f>
        <v>46065</v>
      </c>
      <c r="G159">
        <f>'Raw Data'!J155</f>
        <v>25807.200000000001</v>
      </c>
      <c r="H159" s="36">
        <f>G158/G159-1</f>
        <v>-1.3023497318577881E-2</v>
      </c>
    </row>
    <row r="160" spans="2:8" x14ac:dyDescent="0.3">
      <c r="B160" s="34">
        <f>'Raw Data'!G156</f>
        <v>46064</v>
      </c>
      <c r="C160">
        <f>'Raw Data'!H156</f>
        <v>3177.6</v>
      </c>
      <c r="D160" s="36">
        <f>C159/C160-1</f>
        <v>-2.0140986908359082E-3</v>
      </c>
      <c r="F160" s="34">
        <f>'Raw Data'!G156</f>
        <v>46064</v>
      </c>
      <c r="G160">
        <f>'Raw Data'!J156</f>
        <v>25953.85</v>
      </c>
      <c r="H160" s="36">
        <f>G159/G160-1</f>
        <v>-5.6504141004127817E-3</v>
      </c>
    </row>
    <row r="161" spans="2:8" x14ac:dyDescent="0.3">
      <c r="B161" s="34">
        <f>'Raw Data'!G157</f>
        <v>46063</v>
      </c>
      <c r="C161">
        <f>'Raw Data'!H157</f>
        <v>3163.8</v>
      </c>
      <c r="D161" s="36">
        <f>C160/C161-1</f>
        <v>4.3618433529299949E-3</v>
      </c>
      <c r="F161" s="34">
        <f>'Raw Data'!G157</f>
        <v>46063</v>
      </c>
      <c r="G161">
        <f>'Raw Data'!J157</f>
        <v>25935.15</v>
      </c>
      <c r="H161" s="36">
        <f>G160/G161-1</f>
        <v>7.2102918240291025E-4</v>
      </c>
    </row>
    <row r="162" spans="2:8" x14ac:dyDescent="0.3">
      <c r="B162" s="34">
        <f>'Raw Data'!G158</f>
        <v>46062</v>
      </c>
      <c r="C162">
        <f>'Raw Data'!H158</f>
        <v>3122.2</v>
      </c>
      <c r="D162" s="36">
        <f>C161/C162-1</f>
        <v>1.3323938248670952E-2</v>
      </c>
      <c r="F162" s="34">
        <f>'Raw Data'!G158</f>
        <v>46062</v>
      </c>
      <c r="G162">
        <f>'Raw Data'!J158</f>
        <v>25867.3</v>
      </c>
      <c r="H162" s="36">
        <f>G161/G162-1</f>
        <v>2.6230027873028749E-3</v>
      </c>
    </row>
    <row r="163" spans="2:8" x14ac:dyDescent="0.3">
      <c r="B163" s="34">
        <f>'Raw Data'!G159</f>
        <v>46059</v>
      </c>
      <c r="C163">
        <f>'Raw Data'!H159</f>
        <v>3087.7</v>
      </c>
      <c r="D163" s="36">
        <f>C162/C163-1</f>
        <v>1.1173365288078552E-2</v>
      </c>
      <c r="F163" s="34">
        <f>'Raw Data'!G159</f>
        <v>46059</v>
      </c>
      <c r="G163">
        <f>'Raw Data'!J159</f>
        <v>25693.7</v>
      </c>
      <c r="H163" s="36">
        <f>G162/G163-1</f>
        <v>6.7565200807979675E-3</v>
      </c>
    </row>
    <row r="164" spans="2:8" x14ac:dyDescent="0.3">
      <c r="B164" s="34">
        <f>'Raw Data'!G160</f>
        <v>46058</v>
      </c>
      <c r="C164">
        <f>'Raw Data'!H160</f>
        <v>3071.6</v>
      </c>
      <c r="D164" s="36">
        <f>C163/C164-1</f>
        <v>5.2415679124886427E-3</v>
      </c>
      <c r="F164" s="34">
        <f>'Raw Data'!G160</f>
        <v>46058</v>
      </c>
      <c r="G164">
        <f>'Raw Data'!J160</f>
        <v>25642.799999999999</v>
      </c>
      <c r="H164" s="36">
        <f>G163/G164-1</f>
        <v>1.9849626405852305E-3</v>
      </c>
    </row>
    <row r="165" spans="2:8" x14ac:dyDescent="0.3">
      <c r="B165" s="34">
        <f>'Raw Data'!G161</f>
        <v>46057</v>
      </c>
      <c r="C165">
        <f>'Raw Data'!H161</f>
        <v>3105.6</v>
      </c>
      <c r="D165" s="36">
        <f>C164/C165-1</f>
        <v>-1.0947964966512069E-2</v>
      </c>
      <c r="F165" s="34">
        <f>'Raw Data'!G161</f>
        <v>46057</v>
      </c>
      <c r="G165">
        <f>'Raw Data'!J161</f>
        <v>25776</v>
      </c>
      <c r="H165" s="36">
        <f>G164/G165-1</f>
        <v>-5.16759776536313E-3</v>
      </c>
    </row>
    <row r="166" spans="2:8" x14ac:dyDescent="0.3">
      <c r="B166" s="34">
        <f>'Raw Data'!G162</f>
        <v>46056</v>
      </c>
      <c r="C166">
        <f>'Raw Data'!H162</f>
        <v>3102.4</v>
      </c>
      <c r="D166" s="36">
        <f>C165/C166-1</f>
        <v>1.0314595152138839E-3</v>
      </c>
      <c r="F166" s="34">
        <f>'Raw Data'!G162</f>
        <v>46056</v>
      </c>
      <c r="G166">
        <f>'Raw Data'!J162</f>
        <v>25727.55</v>
      </c>
      <c r="H166" s="36">
        <f>G165/G166-1</f>
        <v>1.8831952517825989E-3</v>
      </c>
    </row>
    <row r="167" spans="2:8" x14ac:dyDescent="0.3">
      <c r="B167" s="34">
        <f>'Raw Data'!G163</f>
        <v>46055</v>
      </c>
      <c r="C167">
        <f>'Raw Data'!H163</f>
        <v>2795.1</v>
      </c>
      <c r="D167" s="36">
        <f>C166/C167-1</f>
        <v>0.10994239919859772</v>
      </c>
      <c r="F167" s="34">
        <f>'Raw Data'!G163</f>
        <v>46055</v>
      </c>
      <c r="G167">
        <f>'Raw Data'!J163</f>
        <v>25088.400000000001</v>
      </c>
      <c r="H167" s="36">
        <f>G166/G167-1</f>
        <v>2.5475917156932981E-2</v>
      </c>
    </row>
    <row r="168" spans="2:8" x14ac:dyDescent="0.3">
      <c r="B168" s="34">
        <f>'Raw Data'!G164</f>
        <v>46054</v>
      </c>
      <c r="C168">
        <f>'Raw Data'!H164</f>
        <v>2647.4</v>
      </c>
      <c r="D168" s="36">
        <f>C167/C168-1</f>
        <v>5.5790586991010027E-2</v>
      </c>
      <c r="F168" s="34">
        <f>'Raw Data'!G164</f>
        <v>46054</v>
      </c>
      <c r="G168">
        <f>'Raw Data'!J164</f>
        <v>25320.65</v>
      </c>
      <c r="H168" s="36">
        <f>G167/G168-1</f>
        <v>-9.1723553700240323E-3</v>
      </c>
    </row>
    <row r="169" spans="2:8" x14ac:dyDescent="0.3">
      <c r="B169" s="34">
        <f>'Raw Data'!G165</f>
        <v>46052</v>
      </c>
      <c r="C169">
        <f>'Raw Data'!H165</f>
        <v>2787.5</v>
      </c>
      <c r="D169" s="36">
        <f>C168/C169-1</f>
        <v>-5.026008968609863E-2</v>
      </c>
      <c r="F169" s="34">
        <f>'Raw Data'!G165</f>
        <v>46052</v>
      </c>
      <c r="G169">
        <f>'Raw Data'!J165</f>
        <v>25320.65</v>
      </c>
      <c r="H169" s="36">
        <f>G168/G169-1</f>
        <v>0</v>
      </c>
    </row>
    <row r="170" spans="2:8" x14ac:dyDescent="0.3">
      <c r="B170" s="34">
        <f>'Raw Data'!G166</f>
        <v>46051</v>
      </c>
      <c r="C170">
        <f>'Raw Data'!H166</f>
        <v>2748.5</v>
      </c>
      <c r="D170" s="36">
        <f>C169/C170-1</f>
        <v>1.4189557940694986E-2</v>
      </c>
      <c r="F170" s="34">
        <f>'Raw Data'!G166</f>
        <v>46051</v>
      </c>
      <c r="G170">
        <f>'Raw Data'!J166</f>
        <v>25418.9</v>
      </c>
      <c r="H170" s="36">
        <f>G169/G170-1</f>
        <v>-3.8652341368037302E-3</v>
      </c>
    </row>
    <row r="171" spans="2:8" x14ac:dyDescent="0.3">
      <c r="B171" s="34">
        <f>'Raw Data'!G167</f>
        <v>46050</v>
      </c>
      <c r="C171">
        <f>'Raw Data'!H167</f>
        <v>2749.6</v>
      </c>
      <c r="D171" s="36">
        <f>C170/C171-1</f>
        <v>-4.0005819028221534E-4</v>
      </c>
      <c r="F171" s="34">
        <f>'Raw Data'!G167</f>
        <v>46050</v>
      </c>
      <c r="G171">
        <f>'Raw Data'!J167</f>
        <v>25342.75</v>
      </c>
      <c r="H171" s="36">
        <f>G170/G171-1</f>
        <v>3.004804135305017E-3</v>
      </c>
    </row>
    <row r="172" spans="2:8" x14ac:dyDescent="0.3">
      <c r="B172" s="34">
        <f>'Raw Data'!G168</f>
        <v>46049</v>
      </c>
      <c r="C172">
        <f>'Raw Data'!H168</f>
        <v>2695.2</v>
      </c>
      <c r="D172" s="36">
        <f>C171/C172-1</f>
        <v>2.0184030869694336E-2</v>
      </c>
      <c r="F172" s="34">
        <f>'Raw Data'!G168</f>
        <v>46049</v>
      </c>
      <c r="G172">
        <f>'Raw Data'!J168</f>
        <v>25175.4</v>
      </c>
      <c r="H172" s="36">
        <f>G171/G172-1</f>
        <v>6.6473621074540912E-3</v>
      </c>
    </row>
    <row r="173" spans="2:8" x14ac:dyDescent="0.3">
      <c r="B173" s="34">
        <f>'Raw Data'!G169</f>
        <v>46045</v>
      </c>
      <c r="C173">
        <f>'Raw Data'!H169</f>
        <v>2599.3000000000002</v>
      </c>
      <c r="D173" s="36">
        <f>C172/C173-1</f>
        <v>3.6894548532297122E-2</v>
      </c>
      <c r="F173" s="34">
        <f>'Raw Data'!G169</f>
        <v>46045</v>
      </c>
      <c r="G173">
        <f>'Raw Data'!J169</f>
        <v>25048.65</v>
      </c>
      <c r="H173" s="36">
        <f>G172/G173-1</f>
        <v>5.0601529423741631E-3</v>
      </c>
    </row>
    <row r="174" spans="2:8" x14ac:dyDescent="0.3">
      <c r="B174" s="34">
        <f>'Raw Data'!G170</f>
        <v>46044</v>
      </c>
      <c r="C174">
        <f>'Raw Data'!H170</f>
        <v>2641.7</v>
      </c>
      <c r="D174" s="36">
        <f>C173/C174-1</f>
        <v>-1.6050270659045185E-2</v>
      </c>
      <c r="F174" s="34">
        <f>'Raw Data'!G170</f>
        <v>46044</v>
      </c>
      <c r="G174">
        <f>'Raw Data'!J170</f>
        <v>25289.9</v>
      </c>
      <c r="H174" s="36">
        <f>G173/G174-1</f>
        <v>-9.5393813340503009E-3</v>
      </c>
    </row>
    <row r="175" spans="2:8" x14ac:dyDescent="0.3">
      <c r="B175" s="34">
        <f>'Raw Data'!G171</f>
        <v>46043</v>
      </c>
      <c r="C175">
        <f>'Raw Data'!H171</f>
        <v>2419</v>
      </c>
      <c r="D175" s="36">
        <f>C174/C175-1</f>
        <v>9.2062835882596117E-2</v>
      </c>
      <c r="F175" s="34">
        <f>'Raw Data'!G171</f>
        <v>46043</v>
      </c>
      <c r="G175">
        <f>'Raw Data'!J171</f>
        <v>25157.5</v>
      </c>
      <c r="H175" s="36">
        <f>G174/G175-1</f>
        <v>5.2628440822817257E-3</v>
      </c>
    </row>
    <row r="176" spans="2:8" x14ac:dyDescent="0.3">
      <c r="B176" s="34">
        <f>'Raw Data'!G172</f>
        <v>46042</v>
      </c>
      <c r="C176">
        <f>'Raw Data'!H172</f>
        <v>2506.5</v>
      </c>
      <c r="D176" s="36">
        <f>C175/C176-1</f>
        <v>-3.490923598643525E-2</v>
      </c>
      <c r="F176" s="34">
        <f>'Raw Data'!G172</f>
        <v>46042</v>
      </c>
      <c r="G176">
        <f>'Raw Data'!J172</f>
        <v>25232.5</v>
      </c>
      <c r="H176" s="36">
        <f>G175/G176-1</f>
        <v>-2.9723570791637677E-3</v>
      </c>
    </row>
    <row r="177" spans="2:8" x14ac:dyDescent="0.3">
      <c r="B177" s="34">
        <f>'Raw Data'!G173</f>
        <v>46041</v>
      </c>
      <c r="C177">
        <f>'Raw Data'!H173</f>
        <v>2560.1999999999998</v>
      </c>
      <c r="D177" s="36">
        <f>C176/C177-1</f>
        <v>-2.0974923834075399E-2</v>
      </c>
      <c r="F177" s="34">
        <f>'Raw Data'!G173</f>
        <v>46041</v>
      </c>
      <c r="G177">
        <f>'Raw Data'!J173</f>
        <v>25585.5</v>
      </c>
      <c r="H177" s="36">
        <f>G176/G177-1</f>
        <v>-1.3796877137441155E-2</v>
      </c>
    </row>
    <row r="178" spans="2:8" x14ac:dyDescent="0.3">
      <c r="B178" s="34">
        <f>'Raw Data'!G174</f>
        <v>46038</v>
      </c>
      <c r="C178">
        <f>'Raw Data'!H174</f>
        <v>2552.1999999999998</v>
      </c>
      <c r="D178" s="36">
        <f>C177/C178-1</f>
        <v>3.1345505838100696E-3</v>
      </c>
      <c r="F178" s="34">
        <f>'Raw Data'!G174</f>
        <v>46038</v>
      </c>
      <c r="G178">
        <f>'Raw Data'!J174</f>
        <v>25694.35</v>
      </c>
      <c r="H178" s="36">
        <f>G177/G178-1</f>
        <v>-4.2363398957357967E-3</v>
      </c>
    </row>
    <row r="179" spans="2:8" x14ac:dyDescent="0.3">
      <c r="B179" s="34">
        <f>'Raw Data'!G175</f>
        <v>46036</v>
      </c>
      <c r="C179">
        <f>'Raw Data'!H175</f>
        <v>2560</v>
      </c>
      <c r="D179" s="36">
        <f>C178/C179-1</f>
        <v>-3.0468750000001155E-3</v>
      </c>
      <c r="F179" s="34">
        <f>'Raw Data'!G175</f>
        <v>46036</v>
      </c>
      <c r="G179">
        <f>'Raw Data'!J175</f>
        <v>25665.599999999999</v>
      </c>
      <c r="H179" s="36">
        <f>G178/G179-1</f>
        <v>1.1201764229162858E-3</v>
      </c>
    </row>
    <row r="180" spans="2:8" x14ac:dyDescent="0.3">
      <c r="B180" s="34">
        <f>'Raw Data'!G176</f>
        <v>46035</v>
      </c>
      <c r="C180">
        <f>'Raw Data'!H176</f>
        <v>2600</v>
      </c>
      <c r="D180" s="36">
        <f>C179/C180-1</f>
        <v>-1.538461538461533E-2</v>
      </c>
      <c r="F180" s="34">
        <f>'Raw Data'!G176</f>
        <v>46035</v>
      </c>
      <c r="G180">
        <f>'Raw Data'!J176</f>
        <v>25732.3</v>
      </c>
      <c r="H180" s="36">
        <f>G179/G180-1</f>
        <v>-2.5920729977498835E-3</v>
      </c>
    </row>
    <row r="181" spans="2:8" x14ac:dyDescent="0.3">
      <c r="B181" s="34">
        <f>'Raw Data'!G177</f>
        <v>46034</v>
      </c>
      <c r="C181">
        <f>'Raw Data'!H177</f>
        <v>2576.9</v>
      </c>
      <c r="D181" s="36">
        <f>C180/C181-1</f>
        <v>8.9642593814271976E-3</v>
      </c>
      <c r="F181" s="34">
        <f>'Raw Data'!G177</f>
        <v>46034</v>
      </c>
      <c r="G181">
        <f>'Raw Data'!J177</f>
        <v>25790.25</v>
      </c>
      <c r="H181" s="36">
        <f>G180/G181-1</f>
        <v>-2.2469731778482771E-3</v>
      </c>
    </row>
    <row r="182" spans="2:8" x14ac:dyDescent="0.3">
      <c r="B182" s="34">
        <f>'Raw Data'!G178</f>
        <v>46031</v>
      </c>
      <c r="C182">
        <f>'Raw Data'!H178</f>
        <v>2544.6</v>
      </c>
      <c r="D182" s="36">
        <f>C181/C182-1</f>
        <v>1.2693547119390081E-2</v>
      </c>
      <c r="F182" s="34">
        <f>'Raw Data'!G178</f>
        <v>46031</v>
      </c>
      <c r="G182">
        <f>'Raw Data'!J178</f>
        <v>25683.3</v>
      </c>
      <c r="H182" s="36">
        <f>G181/G182-1</f>
        <v>4.164184509000135E-3</v>
      </c>
    </row>
    <row r="183" spans="2:8" x14ac:dyDescent="0.3">
      <c r="B183" s="34">
        <f>'Raw Data'!G179</f>
        <v>46030</v>
      </c>
      <c r="C183">
        <f>'Raw Data'!H179</f>
        <v>2612.3000000000002</v>
      </c>
      <c r="D183" s="36">
        <f>C182/C183-1</f>
        <v>-2.5915859587336887E-2</v>
      </c>
      <c r="F183" s="34">
        <f>'Raw Data'!G179</f>
        <v>46030</v>
      </c>
      <c r="G183">
        <f>'Raw Data'!J179</f>
        <v>25876.85</v>
      </c>
      <c r="H183" s="36">
        <f>G182/G183-1</f>
        <v>-7.4796584592019544E-3</v>
      </c>
    </row>
    <row r="184" spans="2:8" x14ac:dyDescent="0.3">
      <c r="B184" s="34">
        <f>'Raw Data'!G180</f>
        <v>46029</v>
      </c>
      <c r="C184">
        <f>'Raw Data'!H180</f>
        <v>2673.1</v>
      </c>
      <c r="D184" s="36">
        <f>C183/C184-1</f>
        <v>-2.2745127380195185E-2</v>
      </c>
      <c r="F184" s="34">
        <f>'Raw Data'!G180</f>
        <v>46029</v>
      </c>
      <c r="G184">
        <f>'Raw Data'!J180</f>
        <v>26140.75</v>
      </c>
      <c r="H184" s="36">
        <f>G183/G184-1</f>
        <v>-1.0095349215305638E-2</v>
      </c>
    </row>
    <row r="185" spans="2:8" x14ac:dyDescent="0.3">
      <c r="B185" s="34">
        <f>'Raw Data'!G181</f>
        <v>46028</v>
      </c>
      <c r="C185">
        <f>'Raw Data'!H181</f>
        <v>2634.4</v>
      </c>
      <c r="D185" s="36">
        <f>C184/C185-1</f>
        <v>1.4690252049802455E-2</v>
      </c>
      <c r="F185" s="34">
        <f>'Raw Data'!G181</f>
        <v>46028</v>
      </c>
      <c r="G185">
        <f>'Raw Data'!J181</f>
        <v>26178.7</v>
      </c>
      <c r="H185" s="36">
        <f>G184/G185-1</f>
        <v>-1.4496518161711824E-3</v>
      </c>
    </row>
    <row r="186" spans="2:8" x14ac:dyDescent="0.3">
      <c r="B186" s="34">
        <f>'Raw Data'!G182</f>
        <v>46027</v>
      </c>
      <c r="C186">
        <f>'Raw Data'!H182</f>
        <v>2714.3</v>
      </c>
      <c r="D186" s="36">
        <f>C185/C186-1</f>
        <v>-2.9436687175330656E-2</v>
      </c>
      <c r="F186" s="34">
        <f>'Raw Data'!G182</f>
        <v>46027</v>
      </c>
      <c r="G186">
        <f>'Raw Data'!J182</f>
        <v>26250.3</v>
      </c>
      <c r="H186" s="36">
        <f>G185/G186-1</f>
        <v>-2.7275878751861216E-3</v>
      </c>
    </row>
    <row r="187" spans="2:8" x14ac:dyDescent="0.3">
      <c r="B187" s="34">
        <f>'Raw Data'!G183</f>
        <v>46024</v>
      </c>
      <c r="C187">
        <f>'Raw Data'!H183</f>
        <v>2866.3</v>
      </c>
      <c r="D187" s="36">
        <f>C186/C187-1</f>
        <v>-5.3030038725883522E-2</v>
      </c>
      <c r="F187" s="34">
        <f>'Raw Data'!G183</f>
        <v>46024</v>
      </c>
      <c r="G187">
        <f>'Raw Data'!J183</f>
        <v>26328.55</v>
      </c>
      <c r="H187" s="36">
        <f>G186/G187-1</f>
        <v>-2.9720588486642496E-3</v>
      </c>
    </row>
    <row r="188" spans="2:8" x14ac:dyDescent="0.3">
      <c r="B188" s="34">
        <f>'Raw Data'!G184</f>
        <v>46023</v>
      </c>
      <c r="C188">
        <f>'Raw Data'!H184</f>
        <v>2955.3</v>
      </c>
      <c r="D188" s="36">
        <f>C187/C188-1</f>
        <v>-3.0115385916827386E-2</v>
      </c>
      <c r="F188" s="34">
        <f>'Raw Data'!G184</f>
        <v>46023</v>
      </c>
      <c r="G188">
        <f>'Raw Data'!J184</f>
        <v>26146.55</v>
      </c>
      <c r="H188" s="36">
        <f>G187/G188-1</f>
        <v>6.9607653782239876E-3</v>
      </c>
    </row>
    <row r="189" spans="2:8" x14ac:dyDescent="0.3">
      <c r="B189" s="34">
        <f>'Raw Data'!G185</f>
        <v>46022</v>
      </c>
      <c r="C189">
        <f>'Raw Data'!H185</f>
        <v>2968.1</v>
      </c>
      <c r="D189" s="36">
        <f>C188/C189-1</f>
        <v>-4.3125231629661531E-3</v>
      </c>
      <c r="F189" s="34">
        <f>'Raw Data'!G185</f>
        <v>46022</v>
      </c>
      <c r="G189">
        <f>'Raw Data'!J185</f>
        <v>26129.599999999999</v>
      </c>
      <c r="H189" s="36">
        <f>G188/G189-1</f>
        <v>6.4868960871966586E-4</v>
      </c>
    </row>
    <row r="190" spans="2:8" x14ac:dyDescent="0.3">
      <c r="B190" s="34">
        <f>'Raw Data'!G186</f>
        <v>46021</v>
      </c>
      <c r="C190">
        <f>'Raw Data'!H186</f>
        <v>2980.3</v>
      </c>
      <c r="D190" s="36">
        <f>C189/C190-1</f>
        <v>-4.0935476294333695E-3</v>
      </c>
      <c r="F190" s="34">
        <f>'Raw Data'!G186</f>
        <v>46021</v>
      </c>
      <c r="G190">
        <f>'Raw Data'!J186</f>
        <v>25938.85</v>
      </c>
      <c r="H190" s="36">
        <f>G189/G190-1</f>
        <v>7.3538341136942798E-3</v>
      </c>
    </row>
    <row r="191" spans="2:8" x14ac:dyDescent="0.3">
      <c r="B191" s="34">
        <f>'Raw Data'!G187</f>
        <v>46020</v>
      </c>
      <c r="C191">
        <f>'Raw Data'!H187</f>
        <v>2980.4</v>
      </c>
      <c r="D191" s="36">
        <f>C190/C191-1</f>
        <v>-3.3552543282744374E-5</v>
      </c>
      <c r="F191" s="34">
        <f>'Raw Data'!G187</f>
        <v>46020</v>
      </c>
      <c r="G191">
        <f>'Raw Data'!J187</f>
        <v>25942.1</v>
      </c>
      <c r="H191" s="36">
        <f>G190/G191-1</f>
        <v>-1.2527898666647719E-4</v>
      </c>
    </row>
    <row r="192" spans="2:8" x14ac:dyDescent="0.3">
      <c r="B192" s="34">
        <f>'Raw Data'!G188</f>
        <v>46017</v>
      </c>
      <c r="C192">
        <f>'Raw Data'!H188</f>
        <v>3046.7</v>
      </c>
      <c r="D192" s="36">
        <f>C191/C192-1</f>
        <v>-2.1761249876915967E-2</v>
      </c>
      <c r="F192" s="34">
        <f>'Raw Data'!G188</f>
        <v>46017</v>
      </c>
      <c r="G192">
        <f>'Raw Data'!J188</f>
        <v>26042.3</v>
      </c>
      <c r="H192" s="36">
        <f>G191/G192-1</f>
        <v>-3.8475864266981352E-3</v>
      </c>
    </row>
    <row r="193" spans="2:8" x14ac:dyDescent="0.3">
      <c r="B193" s="34">
        <f>'Raw Data'!G189</f>
        <v>46015</v>
      </c>
      <c r="C193">
        <f>'Raw Data'!H189</f>
        <v>3080.3</v>
      </c>
      <c r="D193" s="36">
        <f>C192/C193-1</f>
        <v>-1.0908028438788575E-2</v>
      </c>
      <c r="F193" s="34">
        <f>'Raw Data'!G189</f>
        <v>46015</v>
      </c>
      <c r="G193">
        <f>'Raw Data'!J189</f>
        <v>26142.1</v>
      </c>
      <c r="H193" s="36">
        <f>G192/G193-1</f>
        <v>-3.8175969030797008E-3</v>
      </c>
    </row>
    <row r="194" spans="2:8" x14ac:dyDescent="0.3">
      <c r="B194" s="34">
        <f>'Raw Data'!G190</f>
        <v>46014</v>
      </c>
      <c r="C194">
        <f>'Raw Data'!H190</f>
        <v>3096.6</v>
      </c>
      <c r="D194" s="36">
        <f>C193/C194-1</f>
        <v>-5.2638377575404682E-3</v>
      </c>
      <c r="F194" s="34">
        <f>'Raw Data'!G190</f>
        <v>46014</v>
      </c>
      <c r="G194">
        <f>'Raw Data'!J190</f>
        <v>26177.15</v>
      </c>
      <c r="H194" s="36">
        <f>G193/G194-1</f>
        <v>-1.3389540114184806E-3</v>
      </c>
    </row>
    <row r="195" spans="2:8" x14ac:dyDescent="0.3">
      <c r="B195" s="34">
        <f>'Raw Data'!G191</f>
        <v>46013</v>
      </c>
      <c r="C195">
        <f>'Raw Data'!H191</f>
        <v>3061.8</v>
      </c>
      <c r="D195" s="36">
        <f>C194/C195-1</f>
        <v>1.1365863217714933E-2</v>
      </c>
      <c r="F195" s="34">
        <f>'Raw Data'!G191</f>
        <v>46013</v>
      </c>
      <c r="G195">
        <f>'Raw Data'!J191</f>
        <v>26172.400000000001</v>
      </c>
      <c r="H195" s="36">
        <f>G194/G195-1</f>
        <v>1.8148889670044355E-4</v>
      </c>
    </row>
    <row r="196" spans="2:8" x14ac:dyDescent="0.3">
      <c r="B196" s="34">
        <f>'Raw Data'!G192</f>
        <v>46010</v>
      </c>
      <c r="C196">
        <f>'Raw Data'!H192</f>
        <v>3025.6</v>
      </c>
      <c r="D196" s="36">
        <f>C195/C196-1</f>
        <v>1.196456901110543E-2</v>
      </c>
      <c r="F196" s="34">
        <f>'Raw Data'!G192</f>
        <v>46010</v>
      </c>
      <c r="G196">
        <f>'Raw Data'!J192</f>
        <v>25966.400000000001</v>
      </c>
      <c r="H196" s="36">
        <f>G195/G196-1</f>
        <v>7.9333292254606391E-3</v>
      </c>
    </row>
    <row r="197" spans="2:8" x14ac:dyDescent="0.3">
      <c r="B197" s="34">
        <f>'Raw Data'!G193</f>
        <v>46009</v>
      </c>
      <c r="C197">
        <f>'Raw Data'!H193</f>
        <v>2878.5</v>
      </c>
      <c r="D197" s="36">
        <f>C196/C197-1</f>
        <v>5.1103005037345772E-2</v>
      </c>
      <c r="F197" s="34">
        <f>'Raw Data'!G193</f>
        <v>46009</v>
      </c>
      <c r="G197">
        <f>'Raw Data'!J193</f>
        <v>25815.55</v>
      </c>
      <c r="H197" s="36">
        <f>G196/G197-1</f>
        <v>5.8433773442752024E-3</v>
      </c>
    </row>
    <row r="198" spans="2:8" x14ac:dyDescent="0.3">
      <c r="B198" s="34">
        <f>'Raw Data'!G194</f>
        <v>46008</v>
      </c>
      <c r="C198">
        <f>'Raw Data'!H194</f>
        <v>2878.8</v>
      </c>
      <c r="D198" s="36">
        <f>C197/C198-1</f>
        <v>-1.0421008753658256E-4</v>
      </c>
      <c r="F198" s="34">
        <f>'Raw Data'!G194</f>
        <v>46008</v>
      </c>
      <c r="G198">
        <f>'Raw Data'!J194</f>
        <v>25818.55</v>
      </c>
      <c r="H198" s="36">
        <f>G197/G198-1</f>
        <v>-1.1619552608488348E-4</v>
      </c>
    </row>
    <row r="199" spans="2:8" x14ac:dyDescent="0.3">
      <c r="B199" s="34">
        <f>'Raw Data'!G195</f>
        <v>46007</v>
      </c>
      <c r="C199">
        <f>'Raw Data'!H195</f>
        <v>2919</v>
      </c>
      <c r="D199" s="36">
        <f>C198/C199-1</f>
        <v>-1.3771839671120167E-2</v>
      </c>
      <c r="F199" s="34">
        <f>'Raw Data'!G195</f>
        <v>46007</v>
      </c>
      <c r="G199">
        <f>'Raw Data'!J195</f>
        <v>25860.1</v>
      </c>
      <c r="H199" s="36">
        <f>G198/G199-1</f>
        <v>-1.6067223251263751E-3</v>
      </c>
    </row>
    <row r="200" spans="2:8" x14ac:dyDescent="0.3">
      <c r="B200" s="34">
        <f>'Raw Data'!G196</f>
        <v>46006</v>
      </c>
      <c r="C200">
        <f>'Raw Data'!H196</f>
        <v>2965</v>
      </c>
      <c r="D200" s="36">
        <f>C199/C200-1</f>
        <v>-1.5514333895446875E-2</v>
      </c>
      <c r="F200" s="34">
        <f>'Raw Data'!G196</f>
        <v>46006</v>
      </c>
      <c r="G200">
        <f>'Raw Data'!J196</f>
        <v>26027.3</v>
      </c>
      <c r="H200" s="36">
        <f>G199/G200-1</f>
        <v>-6.4240240055634112E-3</v>
      </c>
    </row>
    <row r="201" spans="2:8" x14ac:dyDescent="0.3">
      <c r="B201" s="34">
        <f>'Raw Data'!G197</f>
        <v>46003</v>
      </c>
      <c r="C201">
        <f>'Raw Data'!H197</f>
        <v>2980</v>
      </c>
      <c r="D201" s="36">
        <f>C200/C201-1</f>
        <v>-5.0335570469798308E-3</v>
      </c>
      <c r="F201" s="34">
        <f>'Raw Data'!G197</f>
        <v>46003</v>
      </c>
      <c r="G201">
        <f>'Raw Data'!J197</f>
        <v>26046.95</v>
      </c>
      <c r="H201" s="36">
        <f>G200/G201-1</f>
        <v>-7.5440694591888402E-4</v>
      </c>
    </row>
    <row r="202" spans="2:8" x14ac:dyDescent="0.3">
      <c r="B202" s="34">
        <f>'Raw Data'!G198</f>
        <v>46002</v>
      </c>
      <c r="C202">
        <f>'Raw Data'!H198</f>
        <v>2895.4</v>
      </c>
      <c r="D202" s="36">
        <f>C201/C202-1</f>
        <v>2.9218760792981913E-2</v>
      </c>
      <c r="F202" s="34">
        <f>'Raw Data'!G198</f>
        <v>46002</v>
      </c>
      <c r="G202">
        <f>'Raw Data'!J198</f>
        <v>25898.55</v>
      </c>
      <c r="H202" s="36">
        <f>G201/G202-1</f>
        <v>5.7300505240640565E-3</v>
      </c>
    </row>
    <row r="203" spans="2:8" x14ac:dyDescent="0.3">
      <c r="B203" s="34">
        <f>'Raw Data'!G199</f>
        <v>46001</v>
      </c>
      <c r="C203">
        <f>'Raw Data'!H199</f>
        <v>2887.3</v>
      </c>
      <c r="D203" s="36">
        <f>C202/C203-1</f>
        <v>2.8053891178609902E-3</v>
      </c>
      <c r="F203" s="34">
        <f>'Raw Data'!G199</f>
        <v>46001</v>
      </c>
      <c r="G203">
        <f>'Raw Data'!J199</f>
        <v>25758</v>
      </c>
      <c r="H203" s="36">
        <f>G202/G203-1</f>
        <v>5.4565571861169282E-3</v>
      </c>
    </row>
    <row r="204" spans="2:8" x14ac:dyDescent="0.3">
      <c r="B204" s="34">
        <f>'Raw Data'!G200</f>
        <v>46000</v>
      </c>
      <c r="C204">
        <f>'Raw Data'!H200</f>
        <v>2909.5</v>
      </c>
      <c r="D204" s="36">
        <f>C203/C204-1</f>
        <v>-7.630177006358374E-3</v>
      </c>
      <c r="F204" s="34">
        <f>'Raw Data'!G200</f>
        <v>46000</v>
      </c>
      <c r="G204">
        <f>'Raw Data'!J200</f>
        <v>25839.65</v>
      </c>
      <c r="H204" s="36">
        <f>G203/G204-1</f>
        <v>-3.15987252149319E-3</v>
      </c>
    </row>
    <row r="205" spans="2:8" x14ac:dyDescent="0.3">
      <c r="B205" s="34">
        <f>'Raw Data'!G201</f>
        <v>45999</v>
      </c>
      <c r="C205">
        <f>'Raw Data'!H201</f>
        <v>2884.1</v>
      </c>
      <c r="D205" s="36">
        <f>C204/C205-1</f>
        <v>8.8069068340210777E-3</v>
      </c>
      <c r="F205" s="34">
        <f>'Raw Data'!G201</f>
        <v>45999</v>
      </c>
      <c r="G205">
        <f>'Raw Data'!J201</f>
        <v>25960.55</v>
      </c>
      <c r="H205" s="36">
        <f>G204/G205-1</f>
        <v>-4.6570662023723841E-3</v>
      </c>
    </row>
    <row r="206" spans="2:8" x14ac:dyDescent="0.3">
      <c r="B206" s="34">
        <f>'Raw Data'!G202</f>
        <v>45996</v>
      </c>
      <c r="C206">
        <f>'Raw Data'!H202</f>
        <v>2871.4</v>
      </c>
      <c r="D206" s="36">
        <f>C205/C206-1</f>
        <v>4.4229295813889014E-3</v>
      </c>
      <c r="F206" s="34">
        <f>'Raw Data'!G202</f>
        <v>45996</v>
      </c>
      <c r="G206">
        <f>'Raw Data'!J202</f>
        <v>26186.45</v>
      </c>
      <c r="H206" s="36">
        <f>G205/G206-1</f>
        <v>-8.626598870790092E-3</v>
      </c>
    </row>
    <row r="207" spans="2:8" x14ac:dyDescent="0.3">
      <c r="B207" s="34">
        <f>'Raw Data'!G203</f>
        <v>45995</v>
      </c>
      <c r="C207">
        <f>'Raw Data'!H203</f>
        <v>2984.3</v>
      </c>
      <c r="D207" s="36">
        <f>C206/C207-1</f>
        <v>-3.7831317226820427E-2</v>
      </c>
      <c r="F207" s="34">
        <f>'Raw Data'!G203</f>
        <v>45995</v>
      </c>
      <c r="G207">
        <f>'Raw Data'!J203</f>
        <v>26033.75</v>
      </c>
      <c r="H207" s="36">
        <f>G206/G207-1</f>
        <v>5.8654631007826197E-3</v>
      </c>
    </row>
    <row r="208" spans="2:8" x14ac:dyDescent="0.3">
      <c r="B208" s="34">
        <f>'Raw Data'!G204</f>
        <v>45994</v>
      </c>
      <c r="C208">
        <f>'Raw Data'!H204</f>
        <v>3108.6</v>
      </c>
      <c r="D208" s="36">
        <f>C207/C208-1</f>
        <v>-3.9985845718329749E-2</v>
      </c>
      <c r="F208" s="34">
        <f>'Raw Data'!G204</f>
        <v>45994</v>
      </c>
      <c r="G208">
        <f>'Raw Data'!J204</f>
        <v>25986</v>
      </c>
      <c r="H208" s="36">
        <f>G207/G208-1</f>
        <v>1.8375278996383138E-3</v>
      </c>
    </row>
    <row r="209" spans="2:8" x14ac:dyDescent="0.3">
      <c r="B209" s="34">
        <f>'Raw Data'!G205</f>
        <v>45993</v>
      </c>
      <c r="C209">
        <f>'Raw Data'!H205</f>
        <v>3154.1</v>
      </c>
      <c r="D209" s="36">
        <f>C208/C209-1</f>
        <v>-1.442566817792712E-2</v>
      </c>
      <c r="F209" s="34">
        <f>'Raw Data'!G205</f>
        <v>45993</v>
      </c>
      <c r="G209">
        <f>'Raw Data'!J205</f>
        <v>26032.2</v>
      </c>
      <c r="H209" s="36">
        <f>G208/G209-1</f>
        <v>-1.7747251480858539E-3</v>
      </c>
    </row>
    <row r="210" spans="2:8" x14ac:dyDescent="0.3">
      <c r="B210" s="34">
        <f>'Raw Data'!G206</f>
        <v>45992</v>
      </c>
      <c r="C210">
        <f>'Raw Data'!H206</f>
        <v>3179.9</v>
      </c>
      <c r="D210" s="36">
        <f>C209/C210-1</f>
        <v>-8.1134626875059013E-3</v>
      </c>
      <c r="F210" s="34">
        <f>'Raw Data'!G206</f>
        <v>45992</v>
      </c>
      <c r="G210">
        <f>'Raw Data'!J206</f>
        <v>26175.75</v>
      </c>
      <c r="H210" s="36">
        <f>G209/G210-1</f>
        <v>-5.4840835506145824E-3</v>
      </c>
    </row>
    <row r="211" spans="2:8" x14ac:dyDescent="0.3">
      <c r="B211" s="34">
        <f>'Raw Data'!G207</f>
        <v>45989</v>
      </c>
      <c r="C211">
        <f>'Raw Data'!H207</f>
        <v>3172.5</v>
      </c>
      <c r="D211" s="36">
        <f>C210/C211-1</f>
        <v>2.3325453112688077E-3</v>
      </c>
      <c r="F211" s="34">
        <f>'Raw Data'!G207</f>
        <v>45989</v>
      </c>
      <c r="G211">
        <f>'Raw Data'!J207</f>
        <v>26202.95</v>
      </c>
      <c r="H211" s="36">
        <f>G210/G211-1</f>
        <v>-1.0380510591364578E-3</v>
      </c>
    </row>
    <row r="212" spans="2:8" x14ac:dyDescent="0.3">
      <c r="B212" s="34">
        <f>'Raw Data'!G208</f>
        <v>45988</v>
      </c>
      <c r="C212">
        <f>'Raw Data'!H208</f>
        <v>3217.1</v>
      </c>
      <c r="D212" s="36">
        <f>C211/C212-1</f>
        <v>-1.386341736346397E-2</v>
      </c>
      <c r="F212" s="34">
        <f>'Raw Data'!G208</f>
        <v>45988</v>
      </c>
      <c r="G212">
        <f>'Raw Data'!J208</f>
        <v>26215.55</v>
      </c>
      <c r="H212" s="36">
        <f>G211/G212-1</f>
        <v>-4.806307706685109E-4</v>
      </c>
    </row>
    <row r="213" spans="2:8" x14ac:dyDescent="0.3">
      <c r="B213" s="34">
        <f>'Raw Data'!G209</f>
        <v>45987</v>
      </c>
      <c r="C213">
        <f>'Raw Data'!H209</f>
        <v>3286.2</v>
      </c>
      <c r="D213" s="36">
        <f>C212/C213-1</f>
        <v>-2.1027326395228529E-2</v>
      </c>
      <c r="F213" s="34">
        <f>'Raw Data'!G209</f>
        <v>45987</v>
      </c>
      <c r="G213">
        <f>'Raw Data'!J209</f>
        <v>26205.3</v>
      </c>
      <c r="H213" s="36">
        <f>G212/G213-1</f>
        <v>3.9114224985015156E-4</v>
      </c>
    </row>
    <row r="214" spans="2:8" x14ac:dyDescent="0.3">
      <c r="B214" s="34">
        <f>'Raw Data'!G210</f>
        <v>45986</v>
      </c>
      <c r="C214">
        <f>'Raw Data'!H210</f>
        <v>3260.6</v>
      </c>
      <c r="D214" s="36">
        <f>C213/C214-1</f>
        <v>7.851315708765183E-3</v>
      </c>
      <c r="F214" s="34">
        <f>'Raw Data'!G210</f>
        <v>45986</v>
      </c>
      <c r="G214">
        <f>'Raw Data'!J210</f>
        <v>25884.799999999999</v>
      </c>
      <c r="H214" s="36">
        <f>G213/G214-1</f>
        <v>1.238178390406719E-2</v>
      </c>
    </row>
    <row r="215" spans="2:8" x14ac:dyDescent="0.3">
      <c r="B215" s="34">
        <f>'Raw Data'!G211</f>
        <v>45985</v>
      </c>
      <c r="C215">
        <f>'Raw Data'!H211</f>
        <v>3257.4</v>
      </c>
      <c r="D215" s="36">
        <f>C214/C215-1</f>
        <v>9.8237858414673696E-4</v>
      </c>
      <c r="F215" s="34">
        <f>'Raw Data'!G211</f>
        <v>45985</v>
      </c>
      <c r="G215">
        <f>'Raw Data'!J211</f>
        <v>25959.5</v>
      </c>
      <c r="H215" s="36">
        <f>G214/G215-1</f>
        <v>-2.8775592750245327E-3</v>
      </c>
    </row>
    <row r="216" spans="2:8" x14ac:dyDescent="0.3">
      <c r="B216" s="34">
        <f>'Raw Data'!G212</f>
        <v>45982</v>
      </c>
      <c r="C216">
        <f>'Raw Data'!H212</f>
        <v>3185.7</v>
      </c>
      <c r="D216" s="36">
        <f>C215/C216-1</f>
        <v>2.2506827384876305E-2</v>
      </c>
      <c r="F216" s="34">
        <f>'Raw Data'!G212</f>
        <v>45982</v>
      </c>
      <c r="G216">
        <f>'Raw Data'!J212</f>
        <v>26068.15</v>
      </c>
      <c r="H216" s="36">
        <f>G215/G216-1</f>
        <v>-4.1679213906625767E-3</v>
      </c>
    </row>
    <row r="217" spans="2:8" x14ac:dyDescent="0.3">
      <c r="B217" s="34">
        <f>'Raw Data'!G213</f>
        <v>45981</v>
      </c>
      <c r="C217">
        <f>'Raw Data'!H213</f>
        <v>3246.8</v>
      </c>
      <c r="D217" s="36">
        <f>C216/C217-1</f>
        <v>-1.8818529013182372E-2</v>
      </c>
      <c r="F217" s="34">
        <f>'Raw Data'!G213</f>
        <v>45981</v>
      </c>
      <c r="G217">
        <f>'Raw Data'!J213</f>
        <v>26192.15</v>
      </c>
      <c r="H217" s="36">
        <f>G216/G217-1</f>
        <v>-4.7342428933859759E-3</v>
      </c>
    </row>
    <row r="218" spans="2:8" x14ac:dyDescent="0.3">
      <c r="B218" s="34">
        <f>'Raw Data'!G214</f>
        <v>45980</v>
      </c>
      <c r="C218">
        <f>'Raw Data'!H214</f>
        <v>3174.4</v>
      </c>
      <c r="D218" s="36">
        <f>C217/C218-1</f>
        <v>2.2807459677419484E-2</v>
      </c>
      <c r="F218" s="34">
        <f>'Raw Data'!G214</f>
        <v>45980</v>
      </c>
      <c r="G218">
        <f>'Raw Data'!J214</f>
        <v>26052.65</v>
      </c>
      <c r="H218" s="36">
        <f>G217/G218-1</f>
        <v>5.3545416685059077E-3</v>
      </c>
    </row>
    <row r="219" spans="2:8" x14ac:dyDescent="0.3">
      <c r="B219" s="34">
        <f>'Raw Data'!G215</f>
        <v>45979</v>
      </c>
      <c r="C219">
        <f>'Raw Data'!H215</f>
        <v>3281.9</v>
      </c>
      <c r="D219" s="36">
        <f>C218/C219-1</f>
        <v>-3.2755416069959464E-2</v>
      </c>
      <c r="F219" s="34">
        <f>'Raw Data'!G215</f>
        <v>45979</v>
      </c>
      <c r="G219">
        <f>'Raw Data'!J215</f>
        <v>25910.05</v>
      </c>
      <c r="H219" s="36">
        <f>G218/G219-1</f>
        <v>5.5036559172985111E-3</v>
      </c>
    </row>
    <row r="220" spans="2:8" x14ac:dyDescent="0.3">
      <c r="B220" s="34">
        <f>'Raw Data'!G216</f>
        <v>45978</v>
      </c>
      <c r="C220">
        <f>'Raw Data'!H216</f>
        <v>3301.7</v>
      </c>
      <c r="D220" s="36">
        <f>C219/C220-1</f>
        <v>-5.9969106823756224E-3</v>
      </c>
      <c r="F220" s="34">
        <f>'Raw Data'!G216</f>
        <v>45978</v>
      </c>
      <c r="G220">
        <f>'Raw Data'!J216</f>
        <v>26013.45</v>
      </c>
      <c r="H220" s="36">
        <f>G219/G220-1</f>
        <v>-3.9748668477268545E-3</v>
      </c>
    </row>
    <row r="221" spans="2:8" x14ac:dyDescent="0.3">
      <c r="B221" s="34">
        <f>'Raw Data'!G217</f>
        <v>45975</v>
      </c>
      <c r="C221">
        <f>'Raw Data'!H217</f>
        <v>3348.7</v>
      </c>
      <c r="D221" s="36">
        <f>C220/C221-1</f>
        <v>-1.4035297279541337E-2</v>
      </c>
      <c r="F221" s="34">
        <f>'Raw Data'!G217</f>
        <v>45975</v>
      </c>
      <c r="G221">
        <f>'Raw Data'!J217</f>
        <v>25910.05</v>
      </c>
      <c r="H221" s="36">
        <f>G220/G221-1</f>
        <v>3.9907294659795589E-3</v>
      </c>
    </row>
    <row r="222" spans="2:8" x14ac:dyDescent="0.3">
      <c r="B222" s="34">
        <f>'Raw Data'!G218</f>
        <v>45974</v>
      </c>
      <c r="C222">
        <f>'Raw Data'!H218</f>
        <v>3335.5</v>
      </c>
      <c r="D222" s="36">
        <f>C221/C222-1</f>
        <v>3.9574276720131252E-3</v>
      </c>
      <c r="F222" s="34">
        <f>'Raw Data'!G218</f>
        <v>45974</v>
      </c>
      <c r="G222">
        <f>'Raw Data'!J218</f>
        <v>25879.15</v>
      </c>
      <c r="H222" s="36">
        <f>G221/G222-1</f>
        <v>1.194011395273753E-3</v>
      </c>
    </row>
    <row r="223" spans="2:8" x14ac:dyDescent="0.3">
      <c r="B223" s="34">
        <f>'Raw Data'!G219</f>
        <v>45973</v>
      </c>
      <c r="C223">
        <f>'Raw Data'!H219</f>
        <v>3357.1</v>
      </c>
      <c r="D223" s="36">
        <f>C222/C223-1</f>
        <v>-6.4341246909535021E-3</v>
      </c>
      <c r="F223" s="34">
        <f>'Raw Data'!G219</f>
        <v>45973</v>
      </c>
      <c r="G223">
        <f>'Raw Data'!J219</f>
        <v>25875.8</v>
      </c>
      <c r="H223" s="36">
        <f>G222/G223-1</f>
        <v>1.2946459626372864E-4</v>
      </c>
    </row>
    <row r="224" spans="2:8" x14ac:dyDescent="0.3">
      <c r="B224" s="34">
        <f>'Raw Data'!G220</f>
        <v>45972</v>
      </c>
      <c r="C224">
        <f>'Raw Data'!H220</f>
        <v>3318.6</v>
      </c>
      <c r="D224" s="36">
        <f>C223/C224-1</f>
        <v>1.1601277647200536E-2</v>
      </c>
      <c r="F224" s="34">
        <f>'Raw Data'!G220</f>
        <v>45972</v>
      </c>
      <c r="G224">
        <f>'Raw Data'!J220</f>
        <v>25694.95</v>
      </c>
      <c r="H224" s="36">
        <f>G223/G224-1</f>
        <v>7.0383480022337963E-3</v>
      </c>
    </row>
    <row r="225" spans="2:8" x14ac:dyDescent="0.3">
      <c r="B225" s="34">
        <f>'Raw Data'!G221</f>
        <v>45971</v>
      </c>
      <c r="C225">
        <f>'Raw Data'!H221</f>
        <v>3315.1</v>
      </c>
      <c r="D225" s="36">
        <f>C224/C225-1</f>
        <v>1.0557750897408624E-3</v>
      </c>
      <c r="F225" s="34">
        <f>'Raw Data'!G221</f>
        <v>45971</v>
      </c>
      <c r="G225">
        <f>'Raw Data'!J221</f>
        <v>25574.35</v>
      </c>
      <c r="H225" s="36">
        <f>G224/G225-1</f>
        <v>4.7156623726507529E-3</v>
      </c>
    </row>
    <row r="226" spans="2:8" x14ac:dyDescent="0.3">
      <c r="B226" s="34">
        <f>'Raw Data'!G222</f>
        <v>45968</v>
      </c>
      <c r="C226">
        <f>'Raw Data'!H222</f>
        <v>3276.2</v>
      </c>
      <c r="D226" s="36">
        <f>C225/C226-1</f>
        <v>1.1873511995604602E-2</v>
      </c>
      <c r="F226" s="34">
        <f>'Raw Data'!G222</f>
        <v>45968</v>
      </c>
      <c r="G226">
        <f>'Raw Data'!J222</f>
        <v>25492.3</v>
      </c>
      <c r="H226" s="36">
        <f>G225/G226-1</f>
        <v>3.2186189555276634E-3</v>
      </c>
    </row>
    <row r="227" spans="2:8" x14ac:dyDescent="0.3">
      <c r="B227" s="34">
        <f>'Raw Data'!G223</f>
        <v>45967</v>
      </c>
      <c r="C227">
        <f>'Raw Data'!H223</f>
        <v>3369</v>
      </c>
      <c r="D227" s="36">
        <f>C226/C227-1</f>
        <v>-2.7545265657465179E-2</v>
      </c>
      <c r="F227" s="34">
        <f>'Raw Data'!G223</f>
        <v>45967</v>
      </c>
      <c r="G227">
        <f>'Raw Data'!J223</f>
        <v>25509.7</v>
      </c>
      <c r="H227" s="36">
        <f>G226/G227-1</f>
        <v>-6.8209347816716726E-4</v>
      </c>
    </row>
    <row r="228" spans="2:8" x14ac:dyDescent="0.3">
      <c r="B228" s="34">
        <f>'Raw Data'!G224</f>
        <v>45965</v>
      </c>
      <c r="C228">
        <f>'Raw Data'!H224</f>
        <v>3369.6</v>
      </c>
      <c r="D228" s="36">
        <f>C227/C228-1</f>
        <v>-1.7806267806264042E-4</v>
      </c>
      <c r="F228" s="34">
        <f>'Raw Data'!G224</f>
        <v>45965</v>
      </c>
      <c r="G228">
        <f>'Raw Data'!J224</f>
        <v>25597.65</v>
      </c>
      <c r="H228" s="36">
        <f>G227/G228-1</f>
        <v>-3.4358622764198987E-3</v>
      </c>
    </row>
    <row r="229" spans="2:8" x14ac:dyDescent="0.3">
      <c r="B229" s="34">
        <f>'Raw Data'!G225</f>
        <v>45964</v>
      </c>
      <c r="C229">
        <f>'Raw Data'!H225</f>
        <v>3430</v>
      </c>
      <c r="D229" s="36">
        <f>C228/C229-1</f>
        <v>-1.7609329446064192E-2</v>
      </c>
      <c r="F229" s="34">
        <f>'Raw Data'!G225</f>
        <v>45964</v>
      </c>
      <c r="G229">
        <f>'Raw Data'!J225</f>
        <v>25763.35</v>
      </c>
      <c r="H229" s="36">
        <f>G228/G229-1</f>
        <v>-6.4316170063286604E-3</v>
      </c>
    </row>
    <row r="230" spans="2:8" x14ac:dyDescent="0.3">
      <c r="B230" s="34">
        <f>'Raw Data'!G226</f>
        <v>45961</v>
      </c>
      <c r="C230">
        <f>'Raw Data'!H226</f>
        <v>3427.4</v>
      </c>
      <c r="D230" s="36">
        <f>C229/C230-1</f>
        <v>7.5859251911070125E-4</v>
      </c>
      <c r="F230" s="34">
        <f>'Raw Data'!G226</f>
        <v>45961</v>
      </c>
      <c r="G230">
        <f>'Raw Data'!J226</f>
        <v>25722.1</v>
      </c>
      <c r="H230" s="36">
        <f>G229/G230-1</f>
        <v>1.6036793263380922E-3</v>
      </c>
    </row>
    <row r="231" spans="2:8" x14ac:dyDescent="0.3">
      <c r="B231" s="34">
        <f>'Raw Data'!G227</f>
        <v>45960</v>
      </c>
      <c r="C231">
        <f>'Raw Data'!H227</f>
        <v>3432.2</v>
      </c>
      <c r="D231" s="36">
        <f>C230/C231-1</f>
        <v>-1.3985198997726878E-3</v>
      </c>
      <c r="F231" s="34">
        <f>'Raw Data'!G227</f>
        <v>45960</v>
      </c>
      <c r="G231">
        <f>'Raw Data'!J227</f>
        <v>25877.85</v>
      </c>
      <c r="H231" s="36">
        <f>G230/G231-1</f>
        <v>-6.0186607465457787E-3</v>
      </c>
    </row>
    <row r="232" spans="2:8" x14ac:dyDescent="0.3">
      <c r="B232" s="34">
        <f>'Raw Data'!G228</f>
        <v>45959</v>
      </c>
      <c r="C232">
        <f>'Raw Data'!H228</f>
        <v>3477.6</v>
      </c>
      <c r="D232" s="36">
        <f>C231/C232-1</f>
        <v>-1.3054980446284836E-2</v>
      </c>
      <c r="F232" s="34">
        <f>'Raw Data'!G228</f>
        <v>45959</v>
      </c>
      <c r="G232">
        <f>'Raw Data'!J228</f>
        <v>26053.9</v>
      </c>
      <c r="H232" s="36">
        <f>G231/G232-1</f>
        <v>-6.7571457632064069E-3</v>
      </c>
    </row>
    <row r="233" spans="2:8" x14ac:dyDescent="0.3">
      <c r="B233" s="34">
        <f>'Raw Data'!G229</f>
        <v>45958</v>
      </c>
      <c r="C233">
        <f>'Raw Data'!H229</f>
        <v>3486.4</v>
      </c>
      <c r="D233" s="36">
        <f>C232/C233-1</f>
        <v>-2.5240936209270926E-3</v>
      </c>
      <c r="F233" s="34">
        <f>'Raw Data'!G229</f>
        <v>45958</v>
      </c>
      <c r="G233">
        <f>'Raw Data'!J229</f>
        <v>25936.2</v>
      </c>
      <c r="H233" s="36">
        <f>G232/G233-1</f>
        <v>4.5380587749941359E-3</v>
      </c>
    </row>
    <row r="234" spans="2:8" x14ac:dyDescent="0.3">
      <c r="B234" s="34">
        <f>'Raw Data'!G230</f>
        <v>45957</v>
      </c>
      <c r="C234">
        <f>'Raw Data'!H230</f>
        <v>3585.5</v>
      </c>
      <c r="D234" s="36">
        <f>C233/C234-1</f>
        <v>-2.7639101938362831E-2</v>
      </c>
      <c r="F234" s="34">
        <f>'Raw Data'!G230</f>
        <v>45957</v>
      </c>
      <c r="G234">
        <f>'Raw Data'!J230</f>
        <v>25966.05</v>
      </c>
      <c r="H234" s="36">
        <f>G233/G234-1</f>
        <v>-1.1495780066663741E-3</v>
      </c>
    </row>
    <row r="235" spans="2:8" x14ac:dyDescent="0.3">
      <c r="B235" s="34">
        <f>'Raw Data'!G231</f>
        <v>45954</v>
      </c>
      <c r="C235">
        <f>'Raw Data'!H231</f>
        <v>3529.5</v>
      </c>
      <c r="D235" s="36">
        <f>C234/C235-1</f>
        <v>1.5866270009916361E-2</v>
      </c>
      <c r="F235" s="34">
        <f>'Raw Data'!G231</f>
        <v>45954</v>
      </c>
      <c r="G235">
        <f>'Raw Data'!J231</f>
        <v>25795.15</v>
      </c>
      <c r="H235" s="36">
        <f>G234/G235-1</f>
        <v>6.6252764570082778E-3</v>
      </c>
    </row>
    <row r="236" spans="2:8" x14ac:dyDescent="0.3">
      <c r="B236" s="34">
        <f>'Raw Data'!G232</f>
        <v>45953</v>
      </c>
      <c r="C236">
        <f>'Raw Data'!H232</f>
        <v>3567.5</v>
      </c>
      <c r="D236" s="36">
        <f>C235/C236-1</f>
        <v>-1.0651716888577467E-2</v>
      </c>
      <c r="F236" s="34">
        <f>'Raw Data'!G232</f>
        <v>45953</v>
      </c>
      <c r="G236">
        <f>'Raw Data'!J232</f>
        <v>25891.4</v>
      </c>
      <c r="H236" s="36">
        <f>G235/G236-1</f>
        <v>-3.7174505820465331E-3</v>
      </c>
    </row>
    <row r="237" spans="2:8" x14ac:dyDescent="0.3">
      <c r="B237" s="34">
        <f>'Raw Data'!G233</f>
        <v>45951</v>
      </c>
      <c r="C237">
        <f>'Raw Data'!H233</f>
        <v>3514.3</v>
      </c>
      <c r="D237" s="36">
        <f>C236/C237-1</f>
        <v>1.5138149844919235E-2</v>
      </c>
      <c r="F237" s="34">
        <f>'Raw Data'!G233</f>
        <v>45951</v>
      </c>
      <c r="G237">
        <f>'Raw Data'!J233</f>
        <v>25868.6</v>
      </c>
      <c r="H237" s="36">
        <f>G236/G237-1</f>
        <v>8.8137742282157205E-4</v>
      </c>
    </row>
    <row r="238" spans="2:8" x14ac:dyDescent="0.3">
      <c r="B238" s="34">
        <f>'Raw Data'!G234</f>
        <v>45950</v>
      </c>
      <c r="C238">
        <f>'Raw Data'!H234</f>
        <v>3506.6</v>
      </c>
      <c r="D238" s="36">
        <f>C237/C238-1</f>
        <v>2.1958592368676033E-3</v>
      </c>
      <c r="F238" s="34">
        <f>'Raw Data'!G234</f>
        <v>45950</v>
      </c>
      <c r="G238">
        <f>'Raw Data'!J234</f>
        <v>25843.15</v>
      </c>
      <c r="H238" s="36">
        <f>G237/G238-1</f>
        <v>9.8478707123539344E-4</v>
      </c>
    </row>
    <row r="239" spans="2:8" x14ac:dyDescent="0.3">
      <c r="B239" s="34">
        <f>'Raw Data'!G235</f>
        <v>45947</v>
      </c>
      <c r="C239">
        <f>'Raw Data'!H235</f>
        <v>3535.3</v>
      </c>
      <c r="D239" s="36">
        <f>C238/C239-1</f>
        <v>-8.1181229315758774E-3</v>
      </c>
      <c r="F239" s="34">
        <f>'Raw Data'!G235</f>
        <v>45947</v>
      </c>
      <c r="G239">
        <f>'Raw Data'!J235</f>
        <v>25709.85</v>
      </c>
      <c r="H239" s="36">
        <f>G238/G239-1</f>
        <v>5.1847832640019575E-3</v>
      </c>
    </row>
    <row r="240" spans="2:8" x14ac:dyDescent="0.3">
      <c r="B240" s="34">
        <f>'Raw Data'!G236</f>
        <v>45946</v>
      </c>
      <c r="C240">
        <f>'Raw Data'!H236</f>
        <v>3627.4</v>
      </c>
      <c r="D240" s="36">
        <f>C239/C240-1</f>
        <v>-2.5390086563378711E-2</v>
      </c>
      <c r="F240" s="34">
        <f>'Raw Data'!G236</f>
        <v>45946</v>
      </c>
      <c r="G240">
        <f>'Raw Data'!J236</f>
        <v>25585.3</v>
      </c>
      <c r="H240" s="36">
        <f>G239/G240-1</f>
        <v>4.8680296889229702E-3</v>
      </c>
    </row>
    <row r="241" spans="2:8" x14ac:dyDescent="0.3">
      <c r="B241" s="34">
        <f>'Raw Data'!G237</f>
        <v>45945</v>
      </c>
      <c r="C241">
        <f>'Raw Data'!H237</f>
        <v>3518.4</v>
      </c>
      <c r="D241" s="36">
        <f>C240/C241-1</f>
        <v>3.0979990904956844E-2</v>
      </c>
      <c r="F241" s="34">
        <f>'Raw Data'!G237</f>
        <v>45945</v>
      </c>
      <c r="G241">
        <f>'Raw Data'!J237</f>
        <v>25323.55</v>
      </c>
      <c r="H241" s="36">
        <f>G240/G241-1</f>
        <v>1.0336228530360092E-2</v>
      </c>
    </row>
    <row r="242" spans="2:8" x14ac:dyDescent="0.3">
      <c r="B242" s="34">
        <f>'Raw Data'!G238</f>
        <v>45944</v>
      </c>
      <c r="C242">
        <f>'Raw Data'!H238</f>
        <v>3484.5</v>
      </c>
      <c r="D242" s="36">
        <f>C241/C242-1</f>
        <v>9.7287989668533026E-3</v>
      </c>
      <c r="F242" s="34">
        <f>'Raw Data'!G238</f>
        <v>45944</v>
      </c>
      <c r="G242">
        <f>'Raw Data'!J238</f>
        <v>25145.5</v>
      </c>
      <c r="H242" s="36">
        <f>G241/G242-1</f>
        <v>7.0807898033444783E-3</v>
      </c>
    </row>
    <row r="243" spans="2:8" x14ac:dyDescent="0.3">
      <c r="B243" s="34">
        <f>'Raw Data'!G239</f>
        <v>45943</v>
      </c>
      <c r="C243">
        <f>'Raw Data'!H239</f>
        <v>3404.6</v>
      </c>
      <c r="D243" s="36">
        <f>C242/C243-1</f>
        <v>2.3468248839805028E-2</v>
      </c>
      <c r="F243" s="34">
        <f>'Raw Data'!G239</f>
        <v>45943</v>
      </c>
      <c r="G243">
        <f>'Raw Data'!J239</f>
        <v>25227.35</v>
      </c>
      <c r="H243" s="36">
        <f>G242/G243-1</f>
        <v>-3.2444945664129587E-3</v>
      </c>
    </row>
    <row r="244" spans="2:8" x14ac:dyDescent="0.3">
      <c r="B244" s="34">
        <f>'Raw Data'!G240</f>
        <v>45940</v>
      </c>
      <c r="C244">
        <f>'Raw Data'!H240</f>
        <v>3333.4</v>
      </c>
      <c r="D244" s="36">
        <f>C243/C244-1</f>
        <v>2.1359572808543836E-2</v>
      </c>
      <c r="F244" s="34">
        <f>'Raw Data'!G240</f>
        <v>45940</v>
      </c>
      <c r="G244">
        <f>'Raw Data'!J240</f>
        <v>25285.35</v>
      </c>
      <c r="H244" s="36">
        <f>G243/G244-1</f>
        <v>-2.2938183572701609E-3</v>
      </c>
    </row>
    <row r="245" spans="2:8" x14ac:dyDescent="0.3">
      <c r="B245" s="34">
        <f>'Raw Data'!G241</f>
        <v>45939</v>
      </c>
      <c r="C245">
        <f>'Raw Data'!H241</f>
        <v>3344.7</v>
      </c>
      <c r="D245" s="36">
        <f>C244/C245-1</f>
        <v>-3.3784793852960071E-3</v>
      </c>
      <c r="F245" s="34">
        <f>'Raw Data'!G241</f>
        <v>45939</v>
      </c>
      <c r="G245">
        <f>'Raw Data'!J241</f>
        <v>25181.8</v>
      </c>
      <c r="H245" s="36">
        <f>G244/G245-1</f>
        <v>4.1120968318388851E-3</v>
      </c>
    </row>
    <row r="246" spans="2:8" x14ac:dyDescent="0.3">
      <c r="B246" s="34">
        <f>'Raw Data'!G242</f>
        <v>45938</v>
      </c>
      <c r="C246">
        <f>'Raw Data'!H242</f>
        <v>3323.4</v>
      </c>
      <c r="D246" s="36">
        <f>C245/C246-1</f>
        <v>6.4090991153638033E-3</v>
      </c>
      <c r="F246" s="34">
        <f>'Raw Data'!G242</f>
        <v>45938</v>
      </c>
      <c r="G246">
        <f>'Raw Data'!J242</f>
        <v>25046.15</v>
      </c>
      <c r="H246" s="36">
        <f>G245/G246-1</f>
        <v>5.4160020601967673E-3</v>
      </c>
    </row>
    <row r="247" spans="2:8" x14ac:dyDescent="0.3">
      <c r="B247" s="34">
        <f>'Raw Data'!G243</f>
        <v>45937</v>
      </c>
      <c r="C247">
        <f>'Raw Data'!H243</f>
        <v>3402.8</v>
      </c>
      <c r="D247" s="36">
        <f>C246/C247-1</f>
        <v>-2.333372516750909E-2</v>
      </c>
      <c r="F247" s="34">
        <f>'Raw Data'!G243</f>
        <v>45937</v>
      </c>
      <c r="G247">
        <f>'Raw Data'!J243</f>
        <v>25108.3</v>
      </c>
      <c r="H247" s="36">
        <f>G246/G247-1</f>
        <v>-2.4752770996043783E-3</v>
      </c>
    </row>
    <row r="248" spans="2:8" x14ac:dyDescent="0.3">
      <c r="B248" s="34">
        <f>'Raw Data'!G244</f>
        <v>45936</v>
      </c>
      <c r="C248">
        <f>'Raw Data'!H244</f>
        <v>3441.5</v>
      </c>
      <c r="D248" s="36">
        <f>C247/C248-1</f>
        <v>-1.1245096614848071E-2</v>
      </c>
      <c r="F248" s="34">
        <f>'Raw Data'!G244</f>
        <v>45936</v>
      </c>
      <c r="G248">
        <f>'Raw Data'!J244</f>
        <v>25077.65</v>
      </c>
      <c r="H248" s="36">
        <f>G247/G248-1</f>
        <v>1.222203834888802E-3</v>
      </c>
    </row>
    <row r="249" spans="2:8" x14ac:dyDescent="0.3">
      <c r="B249" s="34">
        <f>'Raw Data'!G245</f>
        <v>45933</v>
      </c>
      <c r="C249">
        <f>'Raw Data'!H245</f>
        <v>3438.9</v>
      </c>
      <c r="D249" s="36">
        <f>C248/C249-1</f>
        <v>7.5605571549042239E-4</v>
      </c>
      <c r="F249" s="34">
        <f>'Raw Data'!G245</f>
        <v>45933</v>
      </c>
      <c r="G249">
        <f>'Raw Data'!J245</f>
        <v>24894.25</v>
      </c>
      <c r="H249" s="36">
        <f>G248/G249-1</f>
        <v>7.3671630999125881E-3</v>
      </c>
    </row>
    <row r="250" spans="2:8" x14ac:dyDescent="0.3">
      <c r="B250" s="34">
        <f>'Raw Data'!G246</f>
        <v>45931</v>
      </c>
      <c r="C250">
        <f>'Raw Data'!H246</f>
        <v>3332</v>
      </c>
      <c r="D250" s="36">
        <f>C249/C250-1</f>
        <v>3.2082833133253219E-2</v>
      </c>
      <c r="F250" s="34">
        <f>'Raw Data'!G246</f>
        <v>45931</v>
      </c>
      <c r="G250">
        <f>'Raw Data'!J246</f>
        <v>24836.3</v>
      </c>
      <c r="H250" s="36">
        <f>G249/G250-1</f>
        <v>2.3332783063501061E-3</v>
      </c>
    </row>
    <row r="251" spans="2:8" x14ac:dyDescent="0.3">
      <c r="B251" s="34">
        <f>'Raw Data'!G247</f>
        <v>45930</v>
      </c>
      <c r="C251">
        <f>'Raw Data'!H247</f>
        <v>3328.4</v>
      </c>
      <c r="D251" s="36">
        <f>C250/C251-1</f>
        <v>1.0816007691383245E-3</v>
      </c>
      <c r="F251" s="34">
        <f>'Raw Data'!G247</f>
        <v>45930</v>
      </c>
      <c r="G251">
        <f>'Raw Data'!J247</f>
        <v>24611.1</v>
      </c>
      <c r="H251" s="36">
        <f>G250/G251-1</f>
        <v>9.1503427315318131E-3</v>
      </c>
    </row>
    <row r="252" spans="2:8" x14ac:dyDescent="0.3">
      <c r="B252" s="34">
        <f>'Raw Data'!G248</f>
        <v>45929</v>
      </c>
      <c r="C252">
        <f>'Raw Data'!H248</f>
        <v>3280.8</v>
      </c>
      <c r="D252" s="36">
        <f>C251/C252-1</f>
        <v>1.4508656425262112E-2</v>
      </c>
      <c r="F252" s="34">
        <f>'Raw Data'!G248</f>
        <v>45929</v>
      </c>
      <c r="G252">
        <f>'Raw Data'!J248</f>
        <v>24634.9</v>
      </c>
      <c r="H252" s="36">
        <f>G251/G252-1</f>
        <v>-9.6610905666361102E-4</v>
      </c>
    </row>
    <row r="253" spans="2:8" x14ac:dyDescent="0.3">
      <c r="B253" s="34">
        <f>'Raw Data'!G249</f>
        <v>45926</v>
      </c>
      <c r="C253">
        <f>'Raw Data'!H249</f>
        <v>3207.6</v>
      </c>
      <c r="D253">
        <f t="shared" ref="D253:D256" si="0">C252/C253-1</f>
        <v>2.2820800598578384E-2</v>
      </c>
      <c r="F253">
        <f>'Raw Data'!G249</f>
        <v>45926</v>
      </c>
      <c r="G253">
        <f>'Raw Data'!J249</f>
        <v>24654.7</v>
      </c>
      <c r="H253">
        <f t="shared" ref="H253:H256" si="1">G252/G253-1</f>
        <v>-8.0309231099950917E-4</v>
      </c>
    </row>
    <row r="254" spans="2:8" x14ac:dyDescent="0.3">
      <c r="B254" s="34">
        <f>'Raw Data'!G250</f>
        <v>45925</v>
      </c>
      <c r="C254">
        <f>'Raw Data'!H250</f>
        <v>3445.1</v>
      </c>
      <c r="D254">
        <f t="shared" si="0"/>
        <v>-6.893849235145566E-2</v>
      </c>
      <c r="F254">
        <f>'Raw Data'!G250</f>
        <v>45925</v>
      </c>
      <c r="G254">
        <f>'Raw Data'!J250</f>
        <v>24890.85</v>
      </c>
      <c r="H254">
        <f t="shared" si="1"/>
        <v>-9.4874220848222279E-3</v>
      </c>
    </row>
    <row r="255" spans="2:8" x14ac:dyDescent="0.3">
      <c r="B255" s="34">
        <f>'Raw Data'!G251</f>
        <v>45924</v>
      </c>
      <c r="C255">
        <f>'Raw Data'!H251</f>
        <v>3489.9</v>
      </c>
      <c r="D255">
        <f t="shared" si="0"/>
        <v>-1.2837044041376644E-2</v>
      </c>
      <c r="F255">
        <f>'Raw Data'!G251</f>
        <v>45924</v>
      </c>
      <c r="G255">
        <f>'Raw Data'!J251</f>
        <v>25056.9</v>
      </c>
      <c r="H255">
        <f t="shared" si="1"/>
        <v>-6.6269171365972435E-3</v>
      </c>
    </row>
    <row r="256" spans="2:8" x14ac:dyDescent="0.3">
      <c r="B256" s="34">
        <f>'Raw Data'!G252</f>
        <v>45923</v>
      </c>
      <c r="C256">
        <f>'Raw Data'!H252</f>
        <v>3435.1</v>
      </c>
      <c r="D256">
        <f t="shared" si="0"/>
        <v>1.5952956245815386E-2</v>
      </c>
      <c r="F256">
        <f>'Raw Data'!G252</f>
        <v>45923</v>
      </c>
      <c r="G256">
        <f>'Raw Data'!J252</f>
        <v>25169.5</v>
      </c>
      <c r="H256">
        <f t="shared" si="1"/>
        <v>-4.4736685273842891E-3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Apar Inds.</v>
      </c>
      <c r="C14" s="119"/>
      <c r="D14" s="119" t="str">
        <f>'Raw Data'!Q24</f>
        <v>India</v>
      </c>
      <c r="E14" s="124">
        <f>'Raw Data'!R24</f>
        <v>19966.349999999999</v>
      </c>
      <c r="F14" s="124">
        <f>'Raw Data'!S24</f>
        <v>79865.399999999994</v>
      </c>
      <c r="G14" s="120">
        <f>'Raw Data'!T24</f>
        <v>0.3</v>
      </c>
      <c r="H14" s="36">
        <f>E14/F14</f>
        <v>0.25</v>
      </c>
      <c r="I14" s="36">
        <f>E14/SUM(E14:F14)</f>
        <v>0.19999999999999998</v>
      </c>
      <c r="J14" s="47">
        <v>1</v>
      </c>
      <c r="K14" s="47">
        <f>J14/(1+(1-G14)*H14)</f>
        <v>0.85106382978723405</v>
      </c>
    </row>
    <row r="15" spans="1:12" x14ac:dyDescent="0.3">
      <c r="B15" s="119" t="str">
        <f>'Raw Data'!O25</f>
        <v>Waaree Energies Ltd</v>
      </c>
      <c r="C15" s="119"/>
      <c r="D15" s="119" t="str">
        <f>'Raw Data'!Q25</f>
        <v>India</v>
      </c>
      <c r="E15" s="124">
        <f>'Raw Data'!R25</f>
        <v>3213</v>
      </c>
      <c r="F15" s="124">
        <f>'Raw Data'!S25</f>
        <v>72247</v>
      </c>
      <c r="G15" s="120">
        <f>'Raw Data'!T25</f>
        <v>0.3</v>
      </c>
      <c r="H15" s="36">
        <f t="shared" ref="H15:H18" si="0">E15/F15</f>
        <v>4.4472434841585119E-2</v>
      </c>
      <c r="I15" s="36">
        <f t="shared" ref="I15:I18" si="1">E15/SUM(E15:F15)</f>
        <v>4.2578849721706863E-2</v>
      </c>
      <c r="J15" s="47">
        <f>'Beta-Regression'!L15</f>
        <v>0.87944063955570539</v>
      </c>
      <c r="K15" s="47">
        <f t="shared" ref="K15:K18" si="2">J15/(1+(1-G15)*H15)</f>
        <v>0.85288958597807196</v>
      </c>
    </row>
    <row r="16" spans="1:12" x14ac:dyDescent="0.3">
      <c r="B16" s="119" t="str">
        <f>'Raw Data'!O26</f>
        <v>Premier Energies</v>
      </c>
      <c r="C16" s="119"/>
      <c r="D16" s="119" t="str">
        <f>'Raw Data'!Q26</f>
        <v>India</v>
      </c>
      <c r="E16" s="124">
        <f>'Raw Data'!R26</f>
        <v>10271.219999999999</v>
      </c>
      <c r="F16" s="124">
        <f>'Raw Data'!S26</f>
        <v>41084.870000000003</v>
      </c>
      <c r="G16" s="120">
        <f>'Raw Data'!T26</f>
        <v>0.3</v>
      </c>
      <c r="H16" s="36">
        <f t="shared" si="0"/>
        <v>0.25000006084965093</v>
      </c>
      <c r="I16" s="36">
        <f t="shared" si="1"/>
        <v>0.20000003894377472</v>
      </c>
      <c r="J16">
        <v>1</v>
      </c>
      <c r="K16" s="47">
        <f t="shared" si="2"/>
        <v>0.85106379893544304</v>
      </c>
    </row>
    <row r="17" spans="2:11" x14ac:dyDescent="0.3">
      <c r="B17" s="119" t="str">
        <f>'Raw Data'!O27</f>
        <v>Emmvee Photovol.</v>
      </c>
      <c r="C17" s="119"/>
      <c r="D17" s="119" t="str">
        <f>'Raw Data'!Q27</f>
        <v>India</v>
      </c>
      <c r="E17" s="124">
        <f>'Raw Data'!R27</f>
        <v>5934.27</v>
      </c>
      <c r="F17" s="124">
        <f>'Raw Data'!S27</f>
        <v>23737.06</v>
      </c>
      <c r="G17" s="120">
        <f>'Raw Data'!T27</f>
        <v>0.3</v>
      </c>
      <c r="H17" s="36">
        <f t="shared" si="0"/>
        <v>0.25000021064108191</v>
      </c>
      <c r="I17" s="36">
        <f t="shared" si="1"/>
        <v>0.20000013481026971</v>
      </c>
      <c r="J17" s="47">
        <v>1</v>
      </c>
      <c r="K17" s="47">
        <f t="shared" si="2"/>
        <v>0.85106372298869082</v>
      </c>
    </row>
    <row r="18" spans="2:11" x14ac:dyDescent="0.3">
      <c r="B18" s="119" t="str">
        <f>'Raw Data'!O28</f>
        <v>Diamond Power</v>
      </c>
      <c r="C18" s="119"/>
      <c r="D18" s="119" t="str">
        <f>'Raw Data'!Q28</f>
        <v>India</v>
      </c>
      <c r="E18" s="124">
        <f>'Raw Data'!R28</f>
        <v>5550.1</v>
      </c>
      <c r="F18" s="124">
        <f>'Raw Data'!S28</f>
        <v>22200.38</v>
      </c>
      <c r="G18" s="120">
        <f>'Raw Data'!T28</f>
        <v>0.3</v>
      </c>
      <c r="H18" s="36">
        <f t="shared" si="0"/>
        <v>0.25000022522137011</v>
      </c>
      <c r="I18" s="36">
        <f t="shared" si="1"/>
        <v>0.20000014414165088</v>
      </c>
      <c r="J18">
        <v>1</v>
      </c>
      <c r="K18" s="47">
        <f t="shared" si="2"/>
        <v>0.85106371559624228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3">AVERAGE(H14:H18)</f>
        <v>0.20889458631073765</v>
      </c>
      <c r="I20" s="69">
        <f t="shared" si="3"/>
        <v>0.16851583352348043</v>
      </c>
      <c r="J20" s="69">
        <f t="shared" si="3"/>
        <v>0.97588812791114099</v>
      </c>
      <c r="K20" s="69">
        <f t="shared" si="3"/>
        <v>0.85142893065713654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0.25000006084965093</v>
      </c>
      <c r="I21" s="70">
        <f t="shared" si="4"/>
        <v>0.20000003894377472</v>
      </c>
      <c r="J21" s="70">
        <f t="shared" si="4"/>
        <v>1</v>
      </c>
      <c r="K21" s="70">
        <f t="shared" si="4"/>
        <v>0.85106379893544304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f>G15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5.6349999999999997E-2</v>
      </c>
      <c r="G28" t="s">
        <v>224</v>
      </c>
      <c r="K28" s="47">
        <f>K36</f>
        <v>0.97180260776557026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0.1331671695047621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0.85106379893544304</v>
      </c>
    </row>
    <row r="34" spans="2:11" x14ac:dyDescent="0.3">
      <c r="B34" t="s">
        <v>220</v>
      </c>
      <c r="C34" s="106">
        <f>E15</f>
        <v>3213</v>
      </c>
      <c r="D34" s="36">
        <f>C34/C$36</f>
        <v>4.2578849721706863E-2</v>
      </c>
      <c r="E34" s="46">
        <f>I20</f>
        <v>0.16851583352348043</v>
      </c>
      <c r="G34" t="s">
        <v>234</v>
      </c>
      <c r="K34" s="46">
        <f>E38</f>
        <v>0.20266872216891357</v>
      </c>
    </row>
    <row r="35" spans="2:11" x14ac:dyDescent="0.3">
      <c r="B35" t="s">
        <v>79</v>
      </c>
      <c r="C35" s="106">
        <f>F15</f>
        <v>72247</v>
      </c>
      <c r="D35" s="36">
        <f t="shared" ref="D35:D36" si="5">C35/C$36</f>
        <v>0.95742115027829311</v>
      </c>
      <c r="E35" s="46">
        <f>E36-E34</f>
        <v>0.83148416647651957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75460</v>
      </c>
      <c r="D36" s="63">
        <f t="shared" si="5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0.97180260776557026</v>
      </c>
    </row>
    <row r="38" spans="2:11" x14ac:dyDescent="0.3">
      <c r="B38" t="s">
        <v>222</v>
      </c>
      <c r="D38" s="65">
        <f>D34/D35</f>
        <v>4.4472434841585119E-2</v>
      </c>
      <c r="E38" s="65">
        <f>E34/E35</f>
        <v>0.20266872216891357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0.1331671695047621</v>
      </c>
    </row>
    <row r="41" spans="2:11" x14ac:dyDescent="0.3">
      <c r="G41" s="18" t="s">
        <v>239</v>
      </c>
      <c r="K41" s="46">
        <f>E35</f>
        <v>0.83148416647651957</v>
      </c>
    </row>
    <row r="43" spans="2:11" x14ac:dyDescent="0.3">
      <c r="G43" t="s">
        <v>226</v>
      </c>
      <c r="K43" s="46">
        <f>E28</f>
        <v>5.6349999999999997E-2</v>
      </c>
    </row>
    <row r="44" spans="2:11" x14ac:dyDescent="0.3">
      <c r="G44" t="s">
        <v>241</v>
      </c>
      <c r="K44" s="46">
        <f>E34</f>
        <v>0.16851583352348043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0.12022226015675262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5627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0.18540362438220759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5627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3938.8999999999996</v>
      </c>
      <c r="I49" s="130">
        <f t="shared" ref="I49:L49" si="8">I47*(1-I48)</f>
        <v>18195.099999999999</v>
      </c>
      <c r="J49" s="130">
        <f t="shared" si="8"/>
        <v>18900</v>
      </c>
      <c r="K49" s="130">
        <f t="shared" si="8"/>
        <v>29391.599999999999</v>
      </c>
      <c r="L49" s="130">
        <f t="shared" si="8"/>
        <v>19682.599999999999</v>
      </c>
    </row>
    <row r="51" spans="2:12" x14ac:dyDescent="0.3">
      <c r="B51" t="s">
        <v>292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0.17971871547834309</v>
      </c>
      <c r="J52" s="143">
        <f t="shared" ref="J52:L52" si="10">J51/J49</f>
        <v>0.15560846560846561</v>
      </c>
      <c r="K52" s="143">
        <f t="shared" si="10"/>
        <v>0.16433266647613604</v>
      </c>
      <c r="L52" s="143">
        <f t="shared" si="10"/>
        <v>0.16852448355400201</v>
      </c>
    </row>
    <row r="54" spans="2:12" x14ac:dyDescent="0.3">
      <c r="J54" s="37" t="s">
        <v>294</v>
      </c>
      <c r="K54" s="37"/>
      <c r="L54" s="114">
        <f>AVERAGE(I52:L52)</f>
        <v>0.16704608277923669</v>
      </c>
    </row>
    <row r="55" spans="2:12" x14ac:dyDescent="0.3">
      <c r="J55" s="37" t="s">
        <v>295</v>
      </c>
      <c r="K55" s="37"/>
      <c r="L55" s="114">
        <f>MEDIAN(I52:L52)</f>
        <v>0.16642857501506902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0.18540362438220759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0.17971871547834309</v>
      </c>
      <c r="J60" s="134">
        <f t="shared" ref="J60:L60" si="12">J52</f>
        <v>0.15560846560846561</v>
      </c>
      <c r="K60" s="134">
        <f t="shared" si="12"/>
        <v>0.16433266647613604</v>
      </c>
      <c r="L60" s="134">
        <f t="shared" si="12"/>
        <v>0.16852448355400201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0.14353310918172962</v>
      </c>
      <c r="J62" s="135">
        <f t="shared" ref="J62:L62" si="13">J59*J60</f>
        <v>0.12356779422453962</v>
      </c>
      <c r="K62" s="135">
        <f t="shared" si="13"/>
        <v>0.22358316321570912</v>
      </c>
      <c r="L62" s="135">
        <f t="shared" si="13"/>
        <v>0.1456587799265778</v>
      </c>
    </row>
    <row r="64" spans="2:12" x14ac:dyDescent="0.3">
      <c r="J64" s="37" t="s">
        <v>294</v>
      </c>
      <c r="K64" s="37"/>
      <c r="L64" s="114">
        <f>AVERAGE(I62:L62)</f>
        <v>0.15908571163713905</v>
      </c>
    </row>
    <row r="65" spans="10:12" x14ac:dyDescent="0.3">
      <c r="J65" s="37" t="s">
        <v>295</v>
      </c>
      <c r="K65" s="37"/>
      <c r="L65" s="114">
        <f>MEDIAN(I62:L62)</f>
        <v>0.1445959445541537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19682.599999999999</v>
      </c>
      <c r="I10" s="130">
        <f t="shared" ref="I10:M10" si="2">I8*(1-I9)</f>
        <v>20706.0952</v>
      </c>
      <c r="J10" s="130">
        <f t="shared" si="2"/>
        <v>21782.812150400001</v>
      </c>
      <c r="K10" s="130">
        <f t="shared" si="2"/>
        <v>22915.518382220802</v>
      </c>
      <c r="L10" s="130">
        <f t="shared" si="2"/>
        <v>24107.125338096284</v>
      </c>
      <c r="M10" s="130">
        <f t="shared" si="2"/>
        <v>25360.695855677292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0.16642857501506902</v>
      </c>
      <c r="I11" s="81">
        <f>MIN(0.85, MAX(0.15, 'Intrinsic Valuation'!$L$55))</f>
        <v>0.16642857501506902</v>
      </c>
      <c r="J11" s="81">
        <f>$I$11+($M$11-$I$11)/4*1</f>
        <v>0.20800070261222656</v>
      </c>
      <c r="K11" s="81">
        <f>$I$11+($M$11-$I$11)/4*2</f>
        <v>0.24957283020938409</v>
      </c>
      <c r="L11" s="81">
        <f>$I$11+($M$11-$I$11)/4*3</f>
        <v>0.29114495780654159</v>
      </c>
      <c r="M11" s="81">
        <f>D21</f>
        <v>0.33271708540369915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16406.8529294084</v>
      </c>
      <c r="I12" s="130">
        <f>I10*(1-MIN(0.85, I11))</f>
        <v>17260.009281737639</v>
      </c>
      <c r="J12" s="130">
        <f>J10*(1-MIN(0.85, J11))</f>
        <v>17251.971918246654</v>
      </c>
      <c r="K12" s="130">
        <f>K10*(1-MIN(0.85, K11))</f>
        <v>17196.427603854791</v>
      </c>
      <c r="L12" s="130">
        <f>L10*(1-MIN(0.85, L11))</f>
        <v>17088.45734869923</v>
      </c>
      <c r="M12" s="130">
        <f>M10*(1-MIN(0.85, M11))</f>
        <v>16922.759046766671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0.94481743928423723</v>
      </c>
      <c r="J14" s="72">
        <f t="shared" ref="J14:M14" si="4">1/(1+$D$20)^J13</f>
        <v>0.84341962563038964</v>
      </c>
      <c r="K14" s="72">
        <f t="shared" si="4"/>
        <v>0.75290382598929073</v>
      </c>
      <c r="L14" s="72">
        <f t="shared" si="4"/>
        <v>0.67210218254718213</v>
      </c>
      <c r="M14" s="72">
        <f t="shared" si="4"/>
        <v>0.59997217199838082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16307.557771593523</v>
      </c>
      <c r="J16" s="131">
        <f t="shared" ref="J16:M16" si="5">J12*J14</f>
        <v>14550.651696673589</v>
      </c>
      <c r="K16" s="131">
        <f t="shared" si="5"/>
        <v>12947.256136290123</v>
      </c>
      <c r="L16" s="131">
        <f t="shared" si="5"/>
        <v>11485.189480425186</v>
      </c>
      <c r="M16" s="131">
        <f t="shared" si="5"/>
        <v>10153.184501493848</v>
      </c>
    </row>
    <row r="18" spans="2:4" x14ac:dyDescent="0.3">
      <c r="B18" s="79" t="s">
        <v>305</v>
      </c>
      <c r="C18" s="79"/>
      <c r="D18" s="80">
        <v>5.1999999999999998E-2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0.12022226015675262</v>
      </c>
    </row>
    <row r="21" spans="2:4" x14ac:dyDescent="0.3">
      <c r="B21" s="79" t="s">
        <v>307</v>
      </c>
      <c r="C21" s="79"/>
      <c r="D21" s="80">
        <f>D19/D20</f>
        <v>0.33271708540369915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17599.669408637339</v>
      </c>
    </row>
    <row r="26" spans="2:4" x14ac:dyDescent="0.3">
      <c r="B26" t="s">
        <v>238</v>
      </c>
      <c r="D26" s="46">
        <f>D20</f>
        <v>0.12022226015675262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219386.35703167613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65443.839586476272</v>
      </c>
    </row>
    <row r="34" spans="2:4" x14ac:dyDescent="0.3">
      <c r="B34" t="s">
        <v>310</v>
      </c>
      <c r="D34" s="106">
        <f>D29*M14</f>
        <v>131625.70913510697</v>
      </c>
    </row>
    <row r="35" spans="2:4" x14ac:dyDescent="0.3">
      <c r="B35" s="37" t="s">
        <v>314</v>
      </c>
      <c r="C35" s="37"/>
      <c r="D35" s="129">
        <f>SUM(D33:D34)</f>
        <v>197069.54872158324</v>
      </c>
    </row>
    <row r="37" spans="2:4" x14ac:dyDescent="0.3">
      <c r="B37" t="s">
        <v>312</v>
      </c>
      <c r="D37" s="106">
        <f>'Data Sheet'!K69</f>
        <v>6728</v>
      </c>
    </row>
    <row r="38" spans="2:4" x14ac:dyDescent="0.3">
      <c r="B38" t="s">
        <v>313</v>
      </c>
      <c r="D38" s="106">
        <f>'Data Sheet'!K59</f>
        <v>3213</v>
      </c>
    </row>
    <row r="39" spans="2:4" x14ac:dyDescent="0.3">
      <c r="B39" s="37" t="s">
        <v>315</v>
      </c>
      <c r="C39" s="37"/>
      <c r="D39" s="129">
        <f>D35+D37-D38</f>
        <v>200584.54872158324</v>
      </c>
    </row>
    <row r="40" spans="2:4" x14ac:dyDescent="0.3">
      <c r="B40" t="s">
        <v>316</v>
      </c>
      <c r="D40">
        <f>'Data Sheet'!K70/10000000</f>
        <v>28.8</v>
      </c>
    </row>
    <row r="42" spans="2:4" ht="15" thickBot="1" x14ac:dyDescent="0.35">
      <c r="B42" s="127" t="s">
        <v>317</v>
      </c>
      <c r="C42" s="127"/>
      <c r="D42" s="128">
        <f>D39/D40</f>
        <v>6964.7412750549738</v>
      </c>
    </row>
    <row r="44" spans="2:4" x14ac:dyDescent="0.3">
      <c r="B44" t="s">
        <v>318</v>
      </c>
      <c r="D44" s="106">
        <f>'Data Sheet'!B8</f>
        <v>2512</v>
      </c>
    </row>
    <row r="45" spans="2:4" x14ac:dyDescent="0.3">
      <c r="B45" t="s">
        <v>319</v>
      </c>
      <c r="D45" s="83">
        <f>D44/D42</f>
        <v>0.36067384283132214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46287</v>
      </c>
      <c r="H6">
        <v>2520.8000000000002</v>
      </c>
      <c r="J6">
        <v>23414.3</v>
      </c>
    </row>
    <row r="7" spans="2:24" x14ac:dyDescent="0.3">
      <c r="B7">
        <v>2024</v>
      </c>
      <c r="C7" s="46">
        <v>8.7499999999999994E-2</v>
      </c>
      <c r="G7" s="34">
        <v>46286</v>
      </c>
      <c r="H7">
        <v>2499</v>
      </c>
      <c r="J7">
        <v>23414.3</v>
      </c>
    </row>
    <row r="8" spans="2:24" x14ac:dyDescent="0.3">
      <c r="B8">
        <v>2023</v>
      </c>
      <c r="C8" s="46">
        <v>0.19420000000000001</v>
      </c>
      <c r="G8" s="34">
        <v>46283</v>
      </c>
      <c r="H8">
        <v>2560.6999999999998</v>
      </c>
      <c r="J8">
        <v>23346.400000000001</v>
      </c>
    </row>
    <row r="9" spans="2:24" x14ac:dyDescent="0.3">
      <c r="B9">
        <v>2022</v>
      </c>
      <c r="C9" s="46">
        <v>4.3200000000000002E-2</v>
      </c>
      <c r="G9" s="34">
        <v>46282</v>
      </c>
      <c r="H9">
        <v>2473</v>
      </c>
      <c r="J9">
        <v>23270.6</v>
      </c>
    </row>
    <row r="10" spans="2:24" x14ac:dyDescent="0.3">
      <c r="B10">
        <v>2021</v>
      </c>
      <c r="C10" s="46">
        <v>0.2412</v>
      </c>
      <c r="G10" s="34">
        <v>46281</v>
      </c>
      <c r="H10">
        <v>2501</v>
      </c>
      <c r="J10">
        <v>23217.599999999999</v>
      </c>
    </row>
    <row r="11" spans="2:24" x14ac:dyDescent="0.3">
      <c r="B11">
        <v>2020</v>
      </c>
      <c r="C11" s="46">
        <v>0.14899999999999999</v>
      </c>
      <c r="G11" s="34">
        <v>46280</v>
      </c>
      <c r="H11">
        <v>2555</v>
      </c>
      <c r="J11">
        <v>23118.6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46276</v>
      </c>
      <c r="H12">
        <v>2625</v>
      </c>
      <c r="J12">
        <v>23398.1</v>
      </c>
      <c r="N12">
        <v>1</v>
      </c>
      <c r="O12" t="s">
        <v>8612</v>
      </c>
      <c r="P12">
        <v>19073.55</v>
      </c>
      <c r="Q12">
        <v>4.1900000000000004</v>
      </c>
      <c r="R12">
        <v>79865.399999999994</v>
      </c>
      <c r="S12">
        <v>19966.349999999999</v>
      </c>
      <c r="T12">
        <v>3993.27</v>
      </c>
      <c r="U12">
        <v>95838.48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46275</v>
      </c>
      <c r="H13">
        <v>2548</v>
      </c>
      <c r="J13">
        <v>23477.8</v>
      </c>
      <c r="N13">
        <v>2</v>
      </c>
      <c r="O13" t="s">
        <v>8611</v>
      </c>
      <c r="P13">
        <v>0</v>
      </c>
      <c r="Q13">
        <v>45.4</v>
      </c>
      <c r="R13">
        <v>72247</v>
      </c>
      <c r="S13">
        <v>3213</v>
      </c>
      <c r="T13">
        <v>2054.2399999999998</v>
      </c>
      <c r="U13">
        <v>49301.85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46274</v>
      </c>
      <c r="H14">
        <v>2568</v>
      </c>
      <c r="J14">
        <v>23431.5</v>
      </c>
      <c r="N14">
        <v>3</v>
      </c>
      <c r="O14" t="s">
        <v>8613</v>
      </c>
      <c r="P14">
        <v>905.05</v>
      </c>
      <c r="Q14">
        <v>69.23</v>
      </c>
      <c r="R14">
        <v>41084.870000000003</v>
      </c>
      <c r="S14">
        <v>10271.219999999999</v>
      </c>
      <c r="T14">
        <v>1186.8499999999999</v>
      </c>
      <c r="U14">
        <v>28484.48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46273</v>
      </c>
      <c r="H15">
        <v>2571</v>
      </c>
      <c r="J15">
        <v>23635.1</v>
      </c>
      <c r="N15">
        <v>4</v>
      </c>
      <c r="O15" t="s">
        <v>8614</v>
      </c>
      <c r="P15">
        <v>342.85</v>
      </c>
      <c r="Q15">
        <v>59.81</v>
      </c>
      <c r="R15">
        <v>23737.06</v>
      </c>
      <c r="S15">
        <v>5934.27</v>
      </c>
      <c r="T15">
        <v>1110.02</v>
      </c>
      <c r="U15">
        <v>26640.46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46272</v>
      </c>
      <c r="H16">
        <v>2593</v>
      </c>
      <c r="J16">
        <v>23779.15</v>
      </c>
      <c r="N16">
        <v>5</v>
      </c>
      <c r="O16" t="s">
        <v>8615</v>
      </c>
      <c r="P16">
        <v>371.2</v>
      </c>
      <c r="Q16">
        <v>3.08</v>
      </c>
      <c r="R16">
        <v>22200.38</v>
      </c>
      <c r="S16">
        <v>5550.1</v>
      </c>
      <c r="T16">
        <v>1105.96</v>
      </c>
      <c r="U16">
        <v>26543.08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46269</v>
      </c>
      <c r="H17">
        <v>2635</v>
      </c>
      <c r="J17">
        <v>23897.7</v>
      </c>
      <c r="N17">
        <v>6</v>
      </c>
      <c r="O17" t="s">
        <v>8617</v>
      </c>
      <c r="P17">
        <v>2510.4</v>
      </c>
      <c r="Q17">
        <v>6.69</v>
      </c>
      <c r="R17">
        <v>16790.11</v>
      </c>
      <c r="S17">
        <v>4197.53</v>
      </c>
      <c r="T17">
        <v>839.51</v>
      </c>
      <c r="U17">
        <v>20148.13</v>
      </c>
    </row>
    <row r="18" spans="2:21" x14ac:dyDescent="0.3">
      <c r="B18">
        <v>2013</v>
      </c>
      <c r="C18" s="46">
        <v>6.7599999999999993E-2</v>
      </c>
      <c r="G18" s="34">
        <v>46268</v>
      </c>
      <c r="H18">
        <v>2579.9</v>
      </c>
      <c r="J18">
        <v>23873.45</v>
      </c>
    </row>
    <row r="19" spans="2:21" x14ac:dyDescent="0.3">
      <c r="B19">
        <v>2012</v>
      </c>
      <c r="C19" s="46">
        <v>0.27700000000000002</v>
      </c>
      <c r="G19" s="34">
        <v>46267</v>
      </c>
      <c r="H19">
        <v>2581.1</v>
      </c>
      <c r="J19">
        <v>23914.45</v>
      </c>
    </row>
    <row r="20" spans="2:21" x14ac:dyDescent="0.3">
      <c r="B20">
        <v>2011</v>
      </c>
      <c r="C20" s="46">
        <v>-0.2462</v>
      </c>
      <c r="G20" s="34">
        <v>46266</v>
      </c>
      <c r="H20">
        <v>2588</v>
      </c>
      <c r="J20">
        <v>24055.8</v>
      </c>
    </row>
    <row r="21" spans="2:21" x14ac:dyDescent="0.3">
      <c r="B21">
        <v>2010</v>
      </c>
      <c r="C21" s="46">
        <v>0.17949999999999999</v>
      </c>
      <c r="G21" s="34">
        <v>46265</v>
      </c>
      <c r="H21">
        <v>2605</v>
      </c>
      <c r="J21">
        <v>24080.400000000001</v>
      </c>
    </row>
    <row r="22" spans="2:21" x14ac:dyDescent="0.3">
      <c r="B22">
        <v>2009</v>
      </c>
      <c r="C22" s="46">
        <v>0.75760000000000005</v>
      </c>
      <c r="G22" s="34">
        <v>46262</v>
      </c>
      <c r="H22">
        <v>2640</v>
      </c>
      <c r="J22">
        <v>24175.65</v>
      </c>
    </row>
    <row r="23" spans="2:21" x14ac:dyDescent="0.3">
      <c r="B23">
        <v>2008</v>
      </c>
      <c r="C23" s="46">
        <v>-0.51790000000000003</v>
      </c>
      <c r="G23" s="34">
        <v>46261</v>
      </c>
      <c r="H23">
        <v>2624</v>
      </c>
      <c r="J23">
        <v>24090.85</v>
      </c>
    </row>
    <row r="24" spans="2:21" x14ac:dyDescent="0.3">
      <c r="B24">
        <v>2007</v>
      </c>
      <c r="C24" s="46">
        <v>0.54769999999999996</v>
      </c>
      <c r="G24" s="34">
        <v>46260</v>
      </c>
      <c r="H24">
        <v>2635</v>
      </c>
      <c r="J24">
        <v>24207.75</v>
      </c>
      <c r="O24" t="s">
        <v>8612</v>
      </c>
      <c r="Q24" t="s">
        <v>214</v>
      </c>
      <c r="R24">
        <v>19966.349999999999</v>
      </c>
      <c r="S24">
        <v>79865.399999999994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46259</v>
      </c>
      <c r="H25">
        <v>2655</v>
      </c>
      <c r="J25">
        <v>24334.55</v>
      </c>
      <c r="O25" t="s">
        <v>8611</v>
      </c>
      <c r="Q25" t="str">
        <f>Q24</f>
        <v>India</v>
      </c>
      <c r="R25">
        <v>3213</v>
      </c>
      <c r="S25">
        <v>72247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46258</v>
      </c>
      <c r="H26">
        <v>2674.8</v>
      </c>
      <c r="J26">
        <v>24219.05</v>
      </c>
      <c r="O26" t="s">
        <v>8613</v>
      </c>
      <c r="Q26" t="str">
        <f>Q25</f>
        <v>India</v>
      </c>
      <c r="R26">
        <v>10271.219999999999</v>
      </c>
      <c r="S26">
        <v>41084.870000000003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46255</v>
      </c>
      <c r="H27">
        <v>2678.2</v>
      </c>
      <c r="J27">
        <v>24252</v>
      </c>
      <c r="O27" t="s">
        <v>8614</v>
      </c>
      <c r="Q27" t="str">
        <f>Q26</f>
        <v>India</v>
      </c>
      <c r="R27">
        <v>5934.27</v>
      </c>
      <c r="S27">
        <v>23737.06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46254</v>
      </c>
      <c r="H28">
        <v>2675</v>
      </c>
      <c r="J28">
        <v>24231.85</v>
      </c>
      <c r="O28" t="s">
        <v>8615</v>
      </c>
      <c r="Q28" t="str">
        <f>Q27</f>
        <v>India</v>
      </c>
      <c r="R28">
        <v>5550.1</v>
      </c>
      <c r="S28">
        <v>22200.38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46253</v>
      </c>
      <c r="H29">
        <v>2679</v>
      </c>
      <c r="J29">
        <v>24078.3</v>
      </c>
    </row>
    <row r="30" spans="2:21" x14ac:dyDescent="0.3">
      <c r="G30" s="34">
        <v>46252</v>
      </c>
      <c r="H30">
        <v>2709.1</v>
      </c>
      <c r="J30">
        <v>24154.9</v>
      </c>
    </row>
    <row r="31" spans="2:21" x14ac:dyDescent="0.3">
      <c r="G31" s="34">
        <v>46251</v>
      </c>
      <c r="H31">
        <v>2707</v>
      </c>
      <c r="J31">
        <v>24287.65</v>
      </c>
    </row>
    <row r="32" spans="2:21" x14ac:dyDescent="0.3">
      <c r="G32" s="34">
        <v>46248</v>
      </c>
      <c r="H32">
        <v>2682</v>
      </c>
      <c r="J32">
        <v>24366</v>
      </c>
    </row>
    <row r="33" spans="7:10" x14ac:dyDescent="0.3">
      <c r="G33" s="34">
        <v>46247</v>
      </c>
      <c r="H33">
        <v>2687</v>
      </c>
      <c r="J33">
        <v>24395.85</v>
      </c>
    </row>
    <row r="34" spans="7:10" x14ac:dyDescent="0.3">
      <c r="G34" s="34">
        <v>46246</v>
      </c>
      <c r="H34">
        <v>2668</v>
      </c>
      <c r="J34">
        <v>24435.95</v>
      </c>
    </row>
    <row r="35" spans="7:10" x14ac:dyDescent="0.3">
      <c r="G35" s="34">
        <v>46245</v>
      </c>
      <c r="H35">
        <v>2704</v>
      </c>
      <c r="J35">
        <v>24471.7</v>
      </c>
    </row>
    <row r="36" spans="7:10" x14ac:dyDescent="0.3">
      <c r="G36" s="34">
        <v>46244</v>
      </c>
      <c r="H36">
        <v>2701</v>
      </c>
      <c r="J36">
        <v>24583.8</v>
      </c>
    </row>
    <row r="37" spans="7:10" x14ac:dyDescent="0.3">
      <c r="G37" s="34">
        <v>46241</v>
      </c>
      <c r="H37">
        <v>2717</v>
      </c>
      <c r="J37">
        <v>24570.65</v>
      </c>
    </row>
    <row r="38" spans="7:10" x14ac:dyDescent="0.3">
      <c r="G38" s="34">
        <v>46240</v>
      </c>
      <c r="H38">
        <v>2660.9</v>
      </c>
      <c r="J38">
        <v>24636</v>
      </c>
    </row>
    <row r="39" spans="7:10" x14ac:dyDescent="0.3">
      <c r="G39" s="34">
        <v>46239</v>
      </c>
      <c r="H39">
        <v>2697</v>
      </c>
      <c r="J39">
        <v>24624.65</v>
      </c>
    </row>
    <row r="40" spans="7:10" x14ac:dyDescent="0.3">
      <c r="G40" s="34">
        <v>46238</v>
      </c>
      <c r="H40">
        <v>2670</v>
      </c>
      <c r="J40">
        <v>24614.9</v>
      </c>
    </row>
    <row r="41" spans="7:10" x14ac:dyDescent="0.3">
      <c r="G41" s="34">
        <v>46237</v>
      </c>
      <c r="H41">
        <v>2676</v>
      </c>
      <c r="J41">
        <v>24774.3</v>
      </c>
    </row>
    <row r="42" spans="7:10" x14ac:dyDescent="0.3">
      <c r="G42" s="34">
        <v>46234</v>
      </c>
      <c r="H42">
        <v>2680.2</v>
      </c>
      <c r="J42">
        <v>24383.599999999999</v>
      </c>
    </row>
    <row r="43" spans="7:10" x14ac:dyDescent="0.3">
      <c r="G43" s="34">
        <v>46233</v>
      </c>
      <c r="H43">
        <v>2624.9</v>
      </c>
      <c r="J43">
        <v>24317.15</v>
      </c>
    </row>
    <row r="44" spans="7:10" x14ac:dyDescent="0.3">
      <c r="G44" s="34">
        <v>46232</v>
      </c>
      <c r="H44">
        <v>2736.2</v>
      </c>
      <c r="J44">
        <v>24250.2</v>
      </c>
    </row>
    <row r="45" spans="7:10" x14ac:dyDescent="0.3">
      <c r="G45" s="34">
        <v>46231</v>
      </c>
      <c r="H45">
        <v>2694.3</v>
      </c>
      <c r="J45">
        <v>23985.35</v>
      </c>
    </row>
    <row r="46" spans="7:10" x14ac:dyDescent="0.3">
      <c r="G46" s="34">
        <v>46230</v>
      </c>
      <c r="H46">
        <v>2741.4</v>
      </c>
      <c r="J46">
        <v>23995.95</v>
      </c>
    </row>
    <row r="47" spans="7:10" x14ac:dyDescent="0.3">
      <c r="G47" s="34">
        <v>46227</v>
      </c>
      <c r="H47">
        <v>2702</v>
      </c>
      <c r="J47">
        <v>23767.45</v>
      </c>
    </row>
    <row r="48" spans="7:10" x14ac:dyDescent="0.3">
      <c r="G48" s="34">
        <v>46226</v>
      </c>
      <c r="H48">
        <v>2711.8</v>
      </c>
      <c r="J48">
        <v>23869.599999999999</v>
      </c>
    </row>
    <row r="49" spans="7:10" x14ac:dyDescent="0.3">
      <c r="G49" s="34">
        <v>46225</v>
      </c>
      <c r="H49">
        <v>2697.2</v>
      </c>
      <c r="J49">
        <v>23996.25</v>
      </c>
    </row>
    <row r="50" spans="7:10" x14ac:dyDescent="0.3">
      <c r="G50" s="34">
        <v>46224</v>
      </c>
      <c r="H50">
        <v>2732.1</v>
      </c>
      <c r="J50">
        <v>24187.7</v>
      </c>
    </row>
    <row r="51" spans="7:10" x14ac:dyDescent="0.3">
      <c r="G51" s="34">
        <v>46223</v>
      </c>
      <c r="H51">
        <v>2826.2</v>
      </c>
      <c r="J51">
        <v>24238.5</v>
      </c>
    </row>
    <row r="52" spans="7:10" x14ac:dyDescent="0.3">
      <c r="G52" s="34">
        <v>46220</v>
      </c>
      <c r="H52">
        <v>2840.7</v>
      </c>
      <c r="J52">
        <v>24334.3</v>
      </c>
    </row>
    <row r="53" spans="7:10" x14ac:dyDescent="0.3">
      <c r="G53" s="34">
        <v>46219</v>
      </c>
      <c r="H53">
        <v>2830.3</v>
      </c>
      <c r="J53">
        <v>24072.75</v>
      </c>
    </row>
    <row r="54" spans="7:10" x14ac:dyDescent="0.3">
      <c r="G54" s="34">
        <v>46218</v>
      </c>
      <c r="H54">
        <v>2812.8</v>
      </c>
      <c r="J54">
        <v>24078.5</v>
      </c>
    </row>
    <row r="55" spans="7:10" x14ac:dyDescent="0.3">
      <c r="G55" s="34">
        <v>46217</v>
      </c>
      <c r="H55">
        <v>2820.1</v>
      </c>
      <c r="J55">
        <v>24052.05</v>
      </c>
    </row>
    <row r="56" spans="7:10" x14ac:dyDescent="0.3">
      <c r="G56" s="34">
        <v>46216</v>
      </c>
      <c r="H56">
        <v>2880.2</v>
      </c>
      <c r="J56">
        <v>24211</v>
      </c>
    </row>
    <row r="57" spans="7:10" x14ac:dyDescent="0.3">
      <c r="G57" s="34">
        <v>46213</v>
      </c>
      <c r="H57">
        <v>2922.9</v>
      </c>
      <c r="J57">
        <v>24206.9</v>
      </c>
    </row>
    <row r="58" spans="7:10" x14ac:dyDescent="0.3">
      <c r="G58" s="34">
        <v>46212</v>
      </c>
      <c r="H58">
        <v>2863.4</v>
      </c>
      <c r="J58">
        <v>23962.799999999999</v>
      </c>
    </row>
    <row r="59" spans="7:10" x14ac:dyDescent="0.3">
      <c r="G59" s="34">
        <v>46211</v>
      </c>
      <c r="H59">
        <v>2823.3</v>
      </c>
      <c r="J59">
        <v>23882.05</v>
      </c>
    </row>
    <row r="60" spans="7:10" x14ac:dyDescent="0.3">
      <c r="G60" s="34">
        <v>46210</v>
      </c>
      <c r="H60">
        <v>2841.2</v>
      </c>
      <c r="J60">
        <v>24398.7</v>
      </c>
    </row>
    <row r="61" spans="7:10" x14ac:dyDescent="0.3">
      <c r="G61" s="34">
        <v>46209</v>
      </c>
      <c r="H61">
        <v>2876.2</v>
      </c>
      <c r="J61">
        <v>24430.35</v>
      </c>
    </row>
    <row r="62" spans="7:10" x14ac:dyDescent="0.3">
      <c r="G62" s="34">
        <v>46206</v>
      </c>
      <c r="H62">
        <v>2859.2</v>
      </c>
      <c r="J62">
        <v>24270.85</v>
      </c>
    </row>
    <row r="63" spans="7:10" x14ac:dyDescent="0.3">
      <c r="G63" s="34">
        <v>46205</v>
      </c>
      <c r="H63">
        <v>2879.6</v>
      </c>
      <c r="J63">
        <v>24175.7</v>
      </c>
    </row>
    <row r="64" spans="7:10" x14ac:dyDescent="0.3">
      <c r="G64" s="34">
        <v>46204</v>
      </c>
      <c r="H64">
        <v>2877.7</v>
      </c>
      <c r="J64">
        <v>24005.85</v>
      </c>
    </row>
    <row r="65" spans="7:10" x14ac:dyDescent="0.3">
      <c r="G65" s="34">
        <v>46203</v>
      </c>
      <c r="H65">
        <v>2947</v>
      </c>
      <c r="J65">
        <v>23865.75</v>
      </c>
    </row>
    <row r="66" spans="7:10" x14ac:dyDescent="0.3">
      <c r="G66" s="34">
        <v>46202</v>
      </c>
      <c r="H66">
        <v>2886.1</v>
      </c>
      <c r="J66">
        <v>23946.25</v>
      </c>
    </row>
    <row r="67" spans="7:10" x14ac:dyDescent="0.3">
      <c r="G67" s="34">
        <v>46198</v>
      </c>
      <c r="H67">
        <v>3009.4</v>
      </c>
      <c r="J67">
        <v>24056</v>
      </c>
    </row>
    <row r="68" spans="7:10" x14ac:dyDescent="0.3">
      <c r="G68" s="34">
        <v>46197</v>
      </c>
      <c r="H68">
        <v>3028.8</v>
      </c>
      <c r="J68">
        <v>24021.65</v>
      </c>
    </row>
    <row r="69" spans="7:10" x14ac:dyDescent="0.3">
      <c r="G69" s="34">
        <v>46196</v>
      </c>
      <c r="H69">
        <v>3033.8</v>
      </c>
      <c r="J69">
        <v>23824.1</v>
      </c>
    </row>
    <row r="70" spans="7:10" x14ac:dyDescent="0.3">
      <c r="G70" s="34">
        <v>46195</v>
      </c>
      <c r="H70">
        <v>3061.3</v>
      </c>
      <c r="J70">
        <v>24102.9</v>
      </c>
    </row>
    <row r="71" spans="7:10" x14ac:dyDescent="0.3">
      <c r="G71" s="34">
        <v>46192</v>
      </c>
      <c r="H71">
        <v>3125.4</v>
      </c>
      <c r="J71">
        <v>24013.1</v>
      </c>
    </row>
    <row r="72" spans="7:10" x14ac:dyDescent="0.3">
      <c r="G72" s="34">
        <v>46191</v>
      </c>
      <c r="H72">
        <v>3065.9</v>
      </c>
      <c r="J72">
        <v>24168</v>
      </c>
    </row>
    <row r="73" spans="7:10" x14ac:dyDescent="0.3">
      <c r="G73" s="34">
        <v>46190</v>
      </c>
      <c r="H73">
        <v>3078.6</v>
      </c>
      <c r="J73">
        <v>24085.7</v>
      </c>
    </row>
    <row r="74" spans="7:10" x14ac:dyDescent="0.3">
      <c r="G74" s="34">
        <v>46189</v>
      </c>
      <c r="H74">
        <v>3064.6</v>
      </c>
      <c r="J74">
        <v>23989.15</v>
      </c>
    </row>
    <row r="75" spans="7:10" x14ac:dyDescent="0.3">
      <c r="G75" s="34">
        <v>46188</v>
      </c>
      <c r="H75">
        <v>3050.9</v>
      </c>
      <c r="J75">
        <v>23853.9</v>
      </c>
    </row>
    <row r="76" spans="7:10" x14ac:dyDescent="0.3">
      <c r="G76" s="34">
        <v>46185</v>
      </c>
      <c r="H76">
        <v>3031.4</v>
      </c>
      <c r="J76">
        <v>23622.9</v>
      </c>
    </row>
    <row r="77" spans="7:10" x14ac:dyDescent="0.3">
      <c r="G77" s="34">
        <v>46184</v>
      </c>
      <c r="H77">
        <v>3013.9</v>
      </c>
      <c r="J77">
        <v>23161.599999999999</v>
      </c>
    </row>
    <row r="78" spans="7:10" x14ac:dyDescent="0.3">
      <c r="G78" s="34">
        <v>46183</v>
      </c>
      <c r="H78">
        <v>3017.2</v>
      </c>
      <c r="J78">
        <v>23214.95</v>
      </c>
    </row>
    <row r="79" spans="7:10" x14ac:dyDescent="0.3">
      <c r="G79" s="34">
        <v>46182</v>
      </c>
      <c r="H79">
        <v>3040.8</v>
      </c>
      <c r="J79">
        <v>23242.1</v>
      </c>
    </row>
    <row r="80" spans="7:10" x14ac:dyDescent="0.3">
      <c r="G80" s="34">
        <v>46181</v>
      </c>
      <c r="H80">
        <v>3003.8</v>
      </c>
      <c r="J80">
        <v>23123</v>
      </c>
    </row>
    <row r="81" spans="7:10" x14ac:dyDescent="0.3">
      <c r="G81" s="34">
        <v>46178</v>
      </c>
      <c r="H81">
        <v>3053</v>
      </c>
      <c r="J81">
        <v>23366.7</v>
      </c>
    </row>
    <row r="82" spans="7:10" x14ac:dyDescent="0.3">
      <c r="G82" s="34">
        <v>46177</v>
      </c>
      <c r="H82">
        <v>3071.6</v>
      </c>
      <c r="J82">
        <v>23416.55</v>
      </c>
    </row>
    <row r="83" spans="7:10" x14ac:dyDescent="0.3">
      <c r="G83" s="34">
        <v>46176</v>
      </c>
      <c r="H83">
        <v>3084.5</v>
      </c>
      <c r="J83">
        <v>23405.599999999999</v>
      </c>
    </row>
    <row r="84" spans="7:10" x14ac:dyDescent="0.3">
      <c r="G84" s="34">
        <v>46175</v>
      </c>
      <c r="H84">
        <v>3099.8</v>
      </c>
      <c r="J84">
        <v>23483.55</v>
      </c>
    </row>
    <row r="85" spans="7:10" x14ac:dyDescent="0.3">
      <c r="G85" s="34">
        <v>46174</v>
      </c>
      <c r="H85">
        <v>3096.1</v>
      </c>
      <c r="J85">
        <v>23382.6</v>
      </c>
    </row>
    <row r="86" spans="7:10" x14ac:dyDescent="0.3">
      <c r="G86" s="34">
        <v>46171</v>
      </c>
      <c r="H86">
        <v>3140.8</v>
      </c>
      <c r="J86">
        <v>23547.75</v>
      </c>
    </row>
    <row r="87" spans="7:10" x14ac:dyDescent="0.3">
      <c r="G87" s="34">
        <v>46169</v>
      </c>
      <c r="H87">
        <v>3129.1</v>
      </c>
      <c r="J87">
        <v>23907.15</v>
      </c>
    </row>
    <row r="88" spans="7:10" x14ac:dyDescent="0.3">
      <c r="G88" s="34">
        <v>46168</v>
      </c>
      <c r="H88">
        <v>3088.1</v>
      </c>
      <c r="J88">
        <v>23913.7</v>
      </c>
    </row>
    <row r="89" spans="7:10" x14ac:dyDescent="0.3">
      <c r="G89" s="34">
        <v>46167</v>
      </c>
      <c r="H89">
        <v>2984.2</v>
      </c>
      <c r="J89">
        <v>24031.7</v>
      </c>
    </row>
    <row r="90" spans="7:10" x14ac:dyDescent="0.3">
      <c r="G90" s="34">
        <v>46164</v>
      </c>
      <c r="H90">
        <v>2997.5</v>
      </c>
      <c r="J90">
        <v>23719.3</v>
      </c>
    </row>
    <row r="91" spans="7:10" x14ac:dyDescent="0.3">
      <c r="G91" s="34">
        <v>46163</v>
      </c>
      <c r="H91">
        <v>3056.6</v>
      </c>
      <c r="J91">
        <v>23654.7</v>
      </c>
    </row>
    <row r="92" spans="7:10" x14ac:dyDescent="0.3">
      <c r="G92" s="34">
        <v>46162</v>
      </c>
      <c r="H92">
        <v>3005.2</v>
      </c>
      <c r="J92">
        <v>23659</v>
      </c>
    </row>
    <row r="93" spans="7:10" x14ac:dyDescent="0.3">
      <c r="G93" s="34">
        <v>46161</v>
      </c>
      <c r="H93">
        <v>2998.8</v>
      </c>
      <c r="J93">
        <v>23618</v>
      </c>
    </row>
    <row r="94" spans="7:10" x14ac:dyDescent="0.3">
      <c r="G94" s="34">
        <v>46160</v>
      </c>
      <c r="H94">
        <v>2997.5</v>
      </c>
      <c r="J94">
        <v>23649.95</v>
      </c>
    </row>
    <row r="95" spans="7:10" x14ac:dyDescent="0.3">
      <c r="G95" s="34">
        <v>46157</v>
      </c>
      <c r="H95">
        <v>3022</v>
      </c>
      <c r="J95">
        <v>23643.5</v>
      </c>
    </row>
    <row r="96" spans="7:10" x14ac:dyDescent="0.3">
      <c r="G96" s="34">
        <v>46156</v>
      </c>
      <c r="H96">
        <v>3068.8</v>
      </c>
      <c r="J96">
        <v>23689.599999999999</v>
      </c>
    </row>
    <row r="97" spans="7:10" x14ac:dyDescent="0.3">
      <c r="G97" s="34">
        <v>46155</v>
      </c>
      <c r="H97">
        <v>3085.3</v>
      </c>
      <c r="J97">
        <v>23412.6</v>
      </c>
    </row>
    <row r="98" spans="7:10" x14ac:dyDescent="0.3">
      <c r="G98" s="34">
        <v>46154</v>
      </c>
      <c r="H98">
        <v>3125.2</v>
      </c>
      <c r="J98">
        <v>23379.55</v>
      </c>
    </row>
    <row r="99" spans="7:10" x14ac:dyDescent="0.3">
      <c r="G99" s="34">
        <v>46153</v>
      </c>
      <c r="H99">
        <v>3208.8</v>
      </c>
      <c r="J99">
        <v>23815.85</v>
      </c>
    </row>
    <row r="100" spans="7:10" x14ac:dyDescent="0.3">
      <c r="G100" s="34">
        <v>46150</v>
      </c>
      <c r="H100">
        <v>3230.1</v>
      </c>
      <c r="J100">
        <v>24176.15</v>
      </c>
    </row>
    <row r="101" spans="7:10" x14ac:dyDescent="0.3">
      <c r="G101" s="34">
        <v>46149</v>
      </c>
      <c r="H101">
        <v>3226.6</v>
      </c>
      <c r="J101">
        <v>24326.65</v>
      </c>
    </row>
    <row r="102" spans="7:10" x14ac:dyDescent="0.3">
      <c r="G102" s="34">
        <v>46148</v>
      </c>
      <c r="H102">
        <v>3225.1</v>
      </c>
      <c r="J102">
        <v>24330.95</v>
      </c>
    </row>
    <row r="103" spans="7:10" x14ac:dyDescent="0.3">
      <c r="G103" s="34">
        <v>46147</v>
      </c>
      <c r="H103">
        <v>3181.7</v>
      </c>
      <c r="J103">
        <v>24032.799999999999</v>
      </c>
    </row>
    <row r="104" spans="7:10" x14ac:dyDescent="0.3">
      <c r="G104" s="34">
        <v>46146</v>
      </c>
      <c r="H104">
        <v>3136.3</v>
      </c>
      <c r="J104">
        <v>24119.3</v>
      </c>
    </row>
    <row r="105" spans="7:10" x14ac:dyDescent="0.3">
      <c r="G105" s="34">
        <v>46142</v>
      </c>
      <c r="H105">
        <v>3118.8</v>
      </c>
      <c r="J105">
        <v>23997.55</v>
      </c>
    </row>
    <row r="106" spans="7:10" x14ac:dyDescent="0.3">
      <c r="G106" s="34">
        <v>46141</v>
      </c>
      <c r="H106">
        <v>3502.9</v>
      </c>
      <c r="J106">
        <v>24177.65</v>
      </c>
    </row>
    <row r="107" spans="7:10" x14ac:dyDescent="0.3">
      <c r="G107" s="34">
        <v>46140</v>
      </c>
      <c r="H107">
        <v>3453.6</v>
      </c>
      <c r="J107">
        <v>23995.7</v>
      </c>
    </row>
    <row r="108" spans="7:10" x14ac:dyDescent="0.3">
      <c r="G108" s="34">
        <v>46139</v>
      </c>
      <c r="H108">
        <v>3358.3</v>
      </c>
      <c r="J108">
        <v>24092.7</v>
      </c>
    </row>
    <row r="109" spans="7:10" x14ac:dyDescent="0.3">
      <c r="G109" s="34">
        <v>46136</v>
      </c>
      <c r="H109">
        <v>3305.7</v>
      </c>
      <c r="J109">
        <v>23897.95</v>
      </c>
    </row>
    <row r="110" spans="7:10" x14ac:dyDescent="0.3">
      <c r="G110" s="34">
        <v>46135</v>
      </c>
      <c r="H110">
        <v>3413</v>
      </c>
      <c r="J110">
        <v>24173.05</v>
      </c>
    </row>
    <row r="111" spans="7:10" x14ac:dyDescent="0.3">
      <c r="G111" s="34">
        <v>46134</v>
      </c>
      <c r="H111">
        <v>3427.8</v>
      </c>
      <c r="J111">
        <v>24378.1</v>
      </c>
    </row>
    <row r="112" spans="7:10" x14ac:dyDescent="0.3">
      <c r="G112" s="34">
        <v>46133</v>
      </c>
      <c r="H112">
        <v>3472.8</v>
      </c>
      <c r="J112">
        <v>24576.6</v>
      </c>
    </row>
    <row r="113" spans="7:10" x14ac:dyDescent="0.3">
      <c r="G113" s="34">
        <v>46132</v>
      </c>
      <c r="H113">
        <v>3489.1</v>
      </c>
      <c r="J113">
        <v>24364.85</v>
      </c>
    </row>
    <row r="114" spans="7:10" x14ac:dyDescent="0.3">
      <c r="G114" s="34">
        <v>46129</v>
      </c>
      <c r="H114">
        <v>3466.2</v>
      </c>
      <c r="J114">
        <v>24353.55</v>
      </c>
    </row>
    <row r="115" spans="7:10" x14ac:dyDescent="0.3">
      <c r="G115" s="34">
        <v>46128</v>
      </c>
      <c r="H115">
        <v>3438.8</v>
      </c>
      <c r="J115">
        <v>24196.75</v>
      </c>
    </row>
    <row r="116" spans="7:10" x14ac:dyDescent="0.3">
      <c r="G116" s="34">
        <v>46127</v>
      </c>
      <c r="H116">
        <v>3426.1</v>
      </c>
      <c r="J116">
        <v>24231.3</v>
      </c>
    </row>
    <row r="117" spans="7:10" x14ac:dyDescent="0.3">
      <c r="G117" s="34">
        <v>46125</v>
      </c>
      <c r="H117">
        <v>3334.8</v>
      </c>
      <c r="J117">
        <v>23842.65</v>
      </c>
    </row>
    <row r="118" spans="7:10" x14ac:dyDescent="0.3">
      <c r="G118" s="34">
        <v>46122</v>
      </c>
      <c r="H118">
        <v>3281.4</v>
      </c>
      <c r="J118">
        <v>24050.6</v>
      </c>
    </row>
    <row r="119" spans="7:10" x14ac:dyDescent="0.3">
      <c r="G119" s="34">
        <v>46121</v>
      </c>
      <c r="H119">
        <v>3232.3</v>
      </c>
      <c r="J119">
        <v>23775.1</v>
      </c>
    </row>
    <row r="120" spans="7:10" x14ac:dyDescent="0.3">
      <c r="G120" s="34">
        <v>46120</v>
      </c>
      <c r="H120">
        <v>3125</v>
      </c>
      <c r="J120">
        <v>23997.35</v>
      </c>
    </row>
    <row r="121" spans="7:10" x14ac:dyDescent="0.3">
      <c r="G121" s="34">
        <v>46119</v>
      </c>
      <c r="H121">
        <v>3083.8</v>
      </c>
      <c r="J121">
        <v>23123.65</v>
      </c>
    </row>
    <row r="122" spans="7:10" x14ac:dyDescent="0.3">
      <c r="G122" s="34">
        <v>46118</v>
      </c>
      <c r="H122">
        <v>3084.7</v>
      </c>
      <c r="J122">
        <v>22968.25</v>
      </c>
    </row>
    <row r="123" spans="7:10" x14ac:dyDescent="0.3">
      <c r="G123" s="34">
        <v>46114</v>
      </c>
      <c r="H123">
        <v>3070.7</v>
      </c>
      <c r="J123">
        <v>22713.1</v>
      </c>
    </row>
    <row r="124" spans="7:10" x14ac:dyDescent="0.3">
      <c r="G124" s="34">
        <v>46113</v>
      </c>
      <c r="H124">
        <v>3089.2</v>
      </c>
      <c r="J124">
        <v>22679.4</v>
      </c>
    </row>
    <row r="125" spans="7:10" x14ac:dyDescent="0.3">
      <c r="G125" s="34">
        <v>46111</v>
      </c>
      <c r="H125">
        <v>3109.8</v>
      </c>
      <c r="J125">
        <v>22331.4</v>
      </c>
    </row>
    <row r="126" spans="7:10" x14ac:dyDescent="0.3">
      <c r="G126" s="34">
        <v>46108</v>
      </c>
      <c r="H126">
        <v>3092.6</v>
      </c>
      <c r="J126">
        <v>22819.599999999999</v>
      </c>
    </row>
    <row r="127" spans="7:10" x14ac:dyDescent="0.3">
      <c r="G127" s="34">
        <v>46106</v>
      </c>
      <c r="H127">
        <v>3177.9</v>
      </c>
      <c r="J127">
        <v>23306.45</v>
      </c>
    </row>
    <row r="128" spans="7:10" x14ac:dyDescent="0.3">
      <c r="G128" s="34">
        <v>46105</v>
      </c>
      <c r="H128">
        <v>3086.7</v>
      </c>
      <c r="J128">
        <v>22912.400000000001</v>
      </c>
    </row>
    <row r="129" spans="7:10" x14ac:dyDescent="0.3">
      <c r="G129" s="34">
        <v>46104</v>
      </c>
      <c r="H129">
        <v>3064.6</v>
      </c>
      <c r="J129">
        <v>22512.65</v>
      </c>
    </row>
    <row r="130" spans="7:10" x14ac:dyDescent="0.3">
      <c r="G130" s="34">
        <v>46101</v>
      </c>
      <c r="H130">
        <v>3165.9</v>
      </c>
      <c r="J130">
        <v>23114.5</v>
      </c>
    </row>
    <row r="131" spans="7:10" x14ac:dyDescent="0.3">
      <c r="G131" s="34">
        <v>46100</v>
      </c>
      <c r="H131">
        <v>3155.9</v>
      </c>
      <c r="J131">
        <v>23002.15</v>
      </c>
    </row>
    <row r="132" spans="7:10" x14ac:dyDescent="0.3">
      <c r="G132" s="34">
        <v>46099</v>
      </c>
      <c r="H132">
        <v>3184.8</v>
      </c>
      <c r="J132">
        <v>23777.8</v>
      </c>
    </row>
    <row r="133" spans="7:10" x14ac:dyDescent="0.3">
      <c r="G133" s="34">
        <v>46098</v>
      </c>
      <c r="H133">
        <v>2883.1</v>
      </c>
      <c r="J133">
        <v>23581.15</v>
      </c>
    </row>
    <row r="134" spans="7:10" x14ac:dyDescent="0.3">
      <c r="G134" s="34">
        <v>46097</v>
      </c>
      <c r="H134">
        <v>2790.7</v>
      </c>
      <c r="J134">
        <v>23408.799999999999</v>
      </c>
    </row>
    <row r="135" spans="7:10" x14ac:dyDescent="0.3">
      <c r="G135" s="34">
        <v>46094</v>
      </c>
      <c r="H135">
        <v>2726.6</v>
      </c>
      <c r="J135">
        <v>23151.1</v>
      </c>
    </row>
    <row r="136" spans="7:10" x14ac:dyDescent="0.3">
      <c r="G136" s="34">
        <v>46093</v>
      </c>
      <c r="H136">
        <v>2739.4</v>
      </c>
      <c r="J136">
        <v>23639.15</v>
      </c>
    </row>
    <row r="137" spans="7:10" x14ac:dyDescent="0.3">
      <c r="G137" s="34">
        <v>46092</v>
      </c>
      <c r="H137">
        <v>2682.8</v>
      </c>
      <c r="J137">
        <v>23866.85</v>
      </c>
    </row>
    <row r="138" spans="7:10" x14ac:dyDescent="0.3">
      <c r="G138" s="34">
        <v>46091</v>
      </c>
      <c r="H138">
        <v>2655.7</v>
      </c>
      <c r="J138">
        <v>24261.599999999999</v>
      </c>
    </row>
    <row r="139" spans="7:10" x14ac:dyDescent="0.3">
      <c r="G139" s="34">
        <v>46090</v>
      </c>
      <c r="H139">
        <v>2599</v>
      </c>
      <c r="J139">
        <v>24028.05</v>
      </c>
    </row>
    <row r="140" spans="7:10" x14ac:dyDescent="0.3">
      <c r="G140" s="34">
        <v>46087</v>
      </c>
      <c r="H140">
        <v>2628.3</v>
      </c>
      <c r="J140">
        <v>24450.45</v>
      </c>
    </row>
    <row r="141" spans="7:10" x14ac:dyDescent="0.3">
      <c r="G141" s="34">
        <v>46086</v>
      </c>
      <c r="H141">
        <v>2646.2</v>
      </c>
      <c r="J141">
        <v>24765.9</v>
      </c>
    </row>
    <row r="142" spans="7:10" x14ac:dyDescent="0.3">
      <c r="G142" s="34">
        <v>46085</v>
      </c>
      <c r="H142">
        <v>2634</v>
      </c>
      <c r="J142">
        <v>24480.5</v>
      </c>
    </row>
    <row r="143" spans="7:10" x14ac:dyDescent="0.3">
      <c r="G143" s="34">
        <v>46083</v>
      </c>
      <c r="H143">
        <v>2643.3</v>
      </c>
      <c r="J143">
        <v>24865.7</v>
      </c>
    </row>
    <row r="144" spans="7:10" x14ac:dyDescent="0.3">
      <c r="G144" s="34">
        <v>46080</v>
      </c>
      <c r="H144">
        <v>2709.3</v>
      </c>
      <c r="J144">
        <v>25178.65</v>
      </c>
    </row>
    <row r="145" spans="7:10" x14ac:dyDescent="0.3">
      <c r="G145" s="34">
        <v>46079</v>
      </c>
      <c r="H145">
        <v>2717.7</v>
      </c>
      <c r="J145">
        <v>25496.55</v>
      </c>
    </row>
    <row r="146" spans="7:10" x14ac:dyDescent="0.3">
      <c r="G146" s="34">
        <v>46078</v>
      </c>
      <c r="H146">
        <v>2708.5</v>
      </c>
      <c r="J146">
        <v>25482.5</v>
      </c>
    </row>
    <row r="147" spans="7:10" x14ac:dyDescent="0.3">
      <c r="G147" s="34">
        <v>46077</v>
      </c>
      <c r="H147">
        <v>3023.5</v>
      </c>
      <c r="J147">
        <v>25424.65</v>
      </c>
    </row>
    <row r="148" spans="7:10" x14ac:dyDescent="0.3">
      <c r="G148" s="34">
        <v>46076</v>
      </c>
      <c r="H148">
        <v>2915.8</v>
      </c>
      <c r="J148">
        <v>25713</v>
      </c>
    </row>
    <row r="149" spans="7:10" x14ac:dyDescent="0.3">
      <c r="G149" s="34">
        <v>46073</v>
      </c>
      <c r="H149">
        <v>2897.6</v>
      </c>
      <c r="J149">
        <v>25571.25</v>
      </c>
    </row>
    <row r="150" spans="7:10" x14ac:dyDescent="0.3">
      <c r="G150" s="34">
        <v>46072</v>
      </c>
      <c r="H150">
        <v>2874.3</v>
      </c>
      <c r="J150">
        <v>25454.35</v>
      </c>
    </row>
    <row r="151" spans="7:10" x14ac:dyDescent="0.3">
      <c r="G151" s="34">
        <v>46071</v>
      </c>
      <c r="H151">
        <v>2963.6</v>
      </c>
      <c r="J151">
        <v>25819.35</v>
      </c>
    </row>
    <row r="152" spans="7:10" x14ac:dyDescent="0.3">
      <c r="G152" s="34">
        <v>46070</v>
      </c>
      <c r="H152">
        <v>3053.1</v>
      </c>
      <c r="J152">
        <v>25725.4</v>
      </c>
    </row>
    <row r="153" spans="7:10" x14ac:dyDescent="0.3">
      <c r="G153" s="34">
        <v>46069</v>
      </c>
      <c r="H153">
        <v>3116.4</v>
      </c>
      <c r="J153">
        <v>25682.75</v>
      </c>
    </row>
    <row r="154" spans="7:10" x14ac:dyDescent="0.3">
      <c r="G154" s="34">
        <v>46066</v>
      </c>
      <c r="H154">
        <v>3096.2</v>
      </c>
      <c r="J154">
        <v>25471.1</v>
      </c>
    </row>
    <row r="155" spans="7:10" x14ac:dyDescent="0.3">
      <c r="G155" s="34">
        <v>46065</v>
      </c>
      <c r="H155">
        <v>3171.2</v>
      </c>
      <c r="J155">
        <v>25807.200000000001</v>
      </c>
    </row>
    <row r="156" spans="7:10" x14ac:dyDescent="0.3">
      <c r="G156" s="34">
        <v>46064</v>
      </c>
      <c r="H156">
        <v>3177.6</v>
      </c>
      <c r="J156">
        <v>25953.85</v>
      </c>
    </row>
    <row r="157" spans="7:10" x14ac:dyDescent="0.3">
      <c r="G157" s="34">
        <v>46063</v>
      </c>
      <c r="H157">
        <v>3163.8</v>
      </c>
      <c r="J157">
        <v>25935.15</v>
      </c>
    </row>
    <row r="158" spans="7:10" x14ac:dyDescent="0.3">
      <c r="G158" s="34">
        <v>46062</v>
      </c>
      <c r="H158">
        <v>3122.2</v>
      </c>
      <c r="J158">
        <v>25867.3</v>
      </c>
    </row>
    <row r="159" spans="7:10" x14ac:dyDescent="0.3">
      <c r="G159" s="34">
        <v>46059</v>
      </c>
      <c r="H159">
        <v>3087.7</v>
      </c>
      <c r="J159">
        <v>25693.7</v>
      </c>
    </row>
    <row r="160" spans="7:10" x14ac:dyDescent="0.3">
      <c r="G160" s="34">
        <v>46058</v>
      </c>
      <c r="H160">
        <v>3071.6</v>
      </c>
      <c r="J160">
        <v>25642.799999999999</v>
      </c>
    </row>
    <row r="161" spans="7:10" x14ac:dyDescent="0.3">
      <c r="G161" s="34">
        <v>46057</v>
      </c>
      <c r="H161">
        <v>3105.6</v>
      </c>
      <c r="J161">
        <v>25776</v>
      </c>
    </row>
    <row r="162" spans="7:10" x14ac:dyDescent="0.3">
      <c r="G162" s="34">
        <v>46056</v>
      </c>
      <c r="H162">
        <v>3102.4</v>
      </c>
      <c r="J162">
        <v>25727.55</v>
      </c>
    </row>
    <row r="163" spans="7:10" x14ac:dyDescent="0.3">
      <c r="G163" s="34">
        <v>46055</v>
      </c>
      <c r="H163">
        <v>2795.1</v>
      </c>
      <c r="J163">
        <v>25088.400000000001</v>
      </c>
    </row>
    <row r="164" spans="7:10" x14ac:dyDescent="0.3">
      <c r="G164" s="34">
        <v>46054</v>
      </c>
      <c r="H164">
        <v>2647.4</v>
      </c>
      <c r="J164">
        <v>25320.65</v>
      </c>
    </row>
    <row r="165" spans="7:10" x14ac:dyDescent="0.3">
      <c r="G165" s="34">
        <v>46052</v>
      </c>
      <c r="H165">
        <v>2787.5</v>
      </c>
      <c r="J165">
        <v>25320.65</v>
      </c>
    </row>
    <row r="166" spans="7:10" x14ac:dyDescent="0.3">
      <c r="G166" s="34">
        <v>46051</v>
      </c>
      <c r="H166">
        <v>2748.5</v>
      </c>
      <c r="J166">
        <v>25418.9</v>
      </c>
    </row>
    <row r="167" spans="7:10" x14ac:dyDescent="0.3">
      <c r="G167" s="34">
        <v>46050</v>
      </c>
      <c r="H167">
        <v>2749.6</v>
      </c>
      <c r="J167">
        <v>25342.75</v>
      </c>
    </row>
    <row r="168" spans="7:10" x14ac:dyDescent="0.3">
      <c r="G168" s="34">
        <v>46049</v>
      </c>
      <c r="H168">
        <v>2695.2</v>
      </c>
      <c r="J168">
        <v>25175.4</v>
      </c>
    </row>
    <row r="169" spans="7:10" x14ac:dyDescent="0.3">
      <c r="G169" s="34">
        <v>46045</v>
      </c>
      <c r="H169">
        <v>2599.3000000000002</v>
      </c>
      <c r="J169">
        <v>25048.65</v>
      </c>
    </row>
    <row r="170" spans="7:10" x14ac:dyDescent="0.3">
      <c r="G170" s="34">
        <v>46044</v>
      </c>
      <c r="H170">
        <v>2641.7</v>
      </c>
      <c r="J170">
        <v>25289.9</v>
      </c>
    </row>
    <row r="171" spans="7:10" x14ac:dyDescent="0.3">
      <c r="G171" s="34">
        <v>46043</v>
      </c>
      <c r="H171">
        <v>2419</v>
      </c>
      <c r="J171">
        <v>25157.5</v>
      </c>
    </row>
    <row r="172" spans="7:10" x14ac:dyDescent="0.3">
      <c r="G172" s="34">
        <v>46042</v>
      </c>
      <c r="H172">
        <v>2506.5</v>
      </c>
      <c r="J172">
        <v>25232.5</v>
      </c>
    </row>
    <row r="173" spans="7:10" x14ac:dyDescent="0.3">
      <c r="G173" s="34">
        <v>46041</v>
      </c>
      <c r="H173">
        <v>2560.1999999999998</v>
      </c>
      <c r="J173">
        <v>25585.5</v>
      </c>
    </row>
    <row r="174" spans="7:10" x14ac:dyDescent="0.3">
      <c r="G174" s="34">
        <v>46038</v>
      </c>
      <c r="H174">
        <v>2552.1999999999998</v>
      </c>
      <c r="J174">
        <v>25694.35</v>
      </c>
    </row>
    <row r="175" spans="7:10" x14ac:dyDescent="0.3">
      <c r="G175" s="34">
        <v>46036</v>
      </c>
      <c r="H175">
        <v>2560</v>
      </c>
      <c r="J175">
        <v>25665.599999999999</v>
      </c>
    </row>
    <row r="176" spans="7:10" x14ac:dyDescent="0.3">
      <c r="G176" s="34">
        <v>46035</v>
      </c>
      <c r="H176">
        <v>2600</v>
      </c>
      <c r="J176">
        <v>25732.3</v>
      </c>
    </row>
    <row r="177" spans="7:10" x14ac:dyDescent="0.3">
      <c r="G177" s="34">
        <v>46034</v>
      </c>
      <c r="H177">
        <v>2576.9</v>
      </c>
      <c r="J177">
        <v>25790.25</v>
      </c>
    </row>
    <row r="178" spans="7:10" x14ac:dyDescent="0.3">
      <c r="G178" s="34">
        <v>46031</v>
      </c>
      <c r="H178">
        <v>2544.6</v>
      </c>
      <c r="J178">
        <v>25683.3</v>
      </c>
    </row>
    <row r="179" spans="7:10" x14ac:dyDescent="0.3">
      <c r="G179" s="34">
        <v>46030</v>
      </c>
      <c r="H179">
        <v>2612.3000000000002</v>
      </c>
      <c r="J179">
        <v>25876.85</v>
      </c>
    </row>
    <row r="180" spans="7:10" x14ac:dyDescent="0.3">
      <c r="G180" s="34">
        <v>46029</v>
      </c>
      <c r="H180">
        <v>2673.1</v>
      </c>
      <c r="J180">
        <v>26140.75</v>
      </c>
    </row>
    <row r="181" spans="7:10" x14ac:dyDescent="0.3">
      <c r="G181" s="34">
        <v>46028</v>
      </c>
      <c r="H181">
        <v>2634.4</v>
      </c>
      <c r="J181">
        <v>26178.7</v>
      </c>
    </row>
    <row r="182" spans="7:10" x14ac:dyDescent="0.3">
      <c r="G182" s="34">
        <v>46027</v>
      </c>
      <c r="H182">
        <v>2714.3</v>
      </c>
      <c r="J182">
        <v>26250.3</v>
      </c>
    </row>
    <row r="183" spans="7:10" x14ac:dyDescent="0.3">
      <c r="G183" s="34">
        <v>46024</v>
      </c>
      <c r="H183">
        <v>2866.3</v>
      </c>
      <c r="J183">
        <v>26328.55</v>
      </c>
    </row>
    <row r="184" spans="7:10" x14ac:dyDescent="0.3">
      <c r="G184" s="34">
        <v>46023</v>
      </c>
      <c r="H184">
        <v>2955.3</v>
      </c>
      <c r="J184">
        <v>26146.55</v>
      </c>
    </row>
    <row r="185" spans="7:10" x14ac:dyDescent="0.3">
      <c r="G185" s="34">
        <v>46022</v>
      </c>
      <c r="H185">
        <v>2968.1</v>
      </c>
      <c r="J185">
        <v>26129.599999999999</v>
      </c>
    </row>
    <row r="186" spans="7:10" x14ac:dyDescent="0.3">
      <c r="G186" s="34">
        <v>46021</v>
      </c>
      <c r="H186">
        <v>2980.3</v>
      </c>
      <c r="J186">
        <v>25938.85</v>
      </c>
    </row>
    <row r="187" spans="7:10" x14ac:dyDescent="0.3">
      <c r="G187" s="34">
        <v>46020</v>
      </c>
      <c r="H187">
        <v>2980.4</v>
      </c>
      <c r="J187">
        <v>25942.1</v>
      </c>
    </row>
    <row r="188" spans="7:10" x14ac:dyDescent="0.3">
      <c r="G188" s="34">
        <v>46017</v>
      </c>
      <c r="H188">
        <v>3046.7</v>
      </c>
      <c r="J188">
        <v>26042.3</v>
      </c>
    </row>
    <row r="189" spans="7:10" x14ac:dyDescent="0.3">
      <c r="G189" s="34">
        <v>46015</v>
      </c>
      <c r="H189">
        <v>3080.3</v>
      </c>
      <c r="J189">
        <v>26142.1</v>
      </c>
    </row>
    <row r="190" spans="7:10" x14ac:dyDescent="0.3">
      <c r="G190" s="34">
        <v>46014</v>
      </c>
      <c r="H190">
        <v>3096.6</v>
      </c>
      <c r="J190">
        <v>26177.15</v>
      </c>
    </row>
    <row r="191" spans="7:10" x14ac:dyDescent="0.3">
      <c r="G191" s="34">
        <v>46013</v>
      </c>
      <c r="H191">
        <v>3061.8</v>
      </c>
      <c r="J191">
        <v>26172.400000000001</v>
      </c>
    </row>
    <row r="192" spans="7:10" x14ac:dyDescent="0.3">
      <c r="G192" s="34">
        <v>46010</v>
      </c>
      <c r="H192">
        <v>3025.6</v>
      </c>
      <c r="J192">
        <v>25966.400000000001</v>
      </c>
    </row>
    <row r="193" spans="7:10" x14ac:dyDescent="0.3">
      <c r="G193" s="34">
        <v>46009</v>
      </c>
      <c r="H193">
        <v>2878.5</v>
      </c>
      <c r="J193">
        <v>25815.55</v>
      </c>
    </row>
    <row r="194" spans="7:10" x14ac:dyDescent="0.3">
      <c r="G194" s="34">
        <v>46008</v>
      </c>
      <c r="H194">
        <v>2878.8</v>
      </c>
      <c r="J194">
        <v>25818.55</v>
      </c>
    </row>
    <row r="195" spans="7:10" x14ac:dyDescent="0.3">
      <c r="G195" s="34">
        <v>46007</v>
      </c>
      <c r="H195">
        <v>2919</v>
      </c>
      <c r="J195">
        <v>25860.1</v>
      </c>
    </row>
    <row r="196" spans="7:10" x14ac:dyDescent="0.3">
      <c r="G196" s="34">
        <v>46006</v>
      </c>
      <c r="H196">
        <v>2965</v>
      </c>
      <c r="J196">
        <v>26027.3</v>
      </c>
    </row>
    <row r="197" spans="7:10" x14ac:dyDescent="0.3">
      <c r="G197" s="34">
        <v>46003</v>
      </c>
      <c r="H197">
        <v>2980</v>
      </c>
      <c r="J197">
        <v>26046.95</v>
      </c>
    </row>
    <row r="198" spans="7:10" x14ac:dyDescent="0.3">
      <c r="G198" s="34">
        <v>46002</v>
      </c>
      <c r="H198">
        <v>2895.4</v>
      </c>
      <c r="J198">
        <v>25898.55</v>
      </c>
    </row>
    <row r="199" spans="7:10" x14ac:dyDescent="0.3">
      <c r="G199" s="34">
        <v>46001</v>
      </c>
      <c r="H199">
        <v>2887.3</v>
      </c>
      <c r="J199">
        <v>25758</v>
      </c>
    </row>
    <row r="200" spans="7:10" x14ac:dyDescent="0.3">
      <c r="G200" s="34">
        <v>46000</v>
      </c>
      <c r="H200">
        <v>2909.5</v>
      </c>
      <c r="J200">
        <v>25839.65</v>
      </c>
    </row>
    <row r="201" spans="7:10" x14ac:dyDescent="0.3">
      <c r="G201" s="34">
        <v>45999</v>
      </c>
      <c r="H201">
        <v>2884.1</v>
      </c>
      <c r="J201">
        <v>25960.55</v>
      </c>
    </row>
    <row r="202" spans="7:10" x14ac:dyDescent="0.3">
      <c r="G202" s="34">
        <v>45996</v>
      </c>
      <c r="H202">
        <v>2871.4</v>
      </c>
      <c r="J202">
        <v>26186.45</v>
      </c>
    </row>
    <row r="203" spans="7:10" x14ac:dyDescent="0.3">
      <c r="G203" s="34">
        <v>45995</v>
      </c>
      <c r="H203">
        <v>2984.3</v>
      </c>
      <c r="J203">
        <v>26033.75</v>
      </c>
    </row>
    <row r="204" spans="7:10" x14ac:dyDescent="0.3">
      <c r="G204" s="34">
        <v>45994</v>
      </c>
      <c r="H204">
        <v>3108.6</v>
      </c>
      <c r="J204">
        <v>25986</v>
      </c>
    </row>
    <row r="205" spans="7:10" x14ac:dyDescent="0.3">
      <c r="G205" s="34">
        <v>45993</v>
      </c>
      <c r="H205">
        <v>3154.1</v>
      </c>
      <c r="J205">
        <v>26032.2</v>
      </c>
    </row>
    <row r="206" spans="7:10" x14ac:dyDescent="0.3">
      <c r="G206" s="34">
        <v>45992</v>
      </c>
      <c r="H206">
        <v>3179.9</v>
      </c>
      <c r="J206">
        <v>26175.75</v>
      </c>
    </row>
    <row r="207" spans="7:10" x14ac:dyDescent="0.3">
      <c r="G207" s="34">
        <v>45989</v>
      </c>
      <c r="H207">
        <v>3172.5</v>
      </c>
      <c r="J207">
        <v>26202.95</v>
      </c>
    </row>
    <row r="208" spans="7:10" x14ac:dyDescent="0.3">
      <c r="G208" s="34">
        <v>45988</v>
      </c>
      <c r="H208">
        <v>3217.1</v>
      </c>
      <c r="J208">
        <v>26215.55</v>
      </c>
    </row>
    <row r="209" spans="7:10" x14ac:dyDescent="0.3">
      <c r="G209" s="34">
        <v>45987</v>
      </c>
      <c r="H209">
        <v>3286.2</v>
      </c>
      <c r="J209">
        <v>26205.3</v>
      </c>
    </row>
    <row r="210" spans="7:10" x14ac:dyDescent="0.3">
      <c r="G210" s="34">
        <v>45986</v>
      </c>
      <c r="H210">
        <v>3260.6</v>
      </c>
      <c r="J210">
        <v>25884.799999999999</v>
      </c>
    </row>
    <row r="211" spans="7:10" x14ac:dyDescent="0.3">
      <c r="G211" s="34">
        <v>45985</v>
      </c>
      <c r="H211">
        <v>3257.4</v>
      </c>
      <c r="J211">
        <v>25959.5</v>
      </c>
    </row>
    <row r="212" spans="7:10" x14ac:dyDescent="0.3">
      <c r="G212" s="34">
        <v>45982</v>
      </c>
      <c r="H212">
        <v>3185.7</v>
      </c>
      <c r="J212">
        <v>26068.15</v>
      </c>
    </row>
    <row r="213" spans="7:10" x14ac:dyDescent="0.3">
      <c r="G213" s="34">
        <v>45981</v>
      </c>
      <c r="H213">
        <v>3246.8</v>
      </c>
      <c r="J213">
        <v>26192.15</v>
      </c>
    </row>
    <row r="214" spans="7:10" x14ac:dyDescent="0.3">
      <c r="G214" s="34">
        <v>45980</v>
      </c>
      <c r="H214">
        <v>3174.4</v>
      </c>
      <c r="J214">
        <v>26052.65</v>
      </c>
    </row>
    <row r="215" spans="7:10" x14ac:dyDescent="0.3">
      <c r="G215" s="34">
        <v>45979</v>
      </c>
      <c r="H215">
        <v>3281.9</v>
      </c>
      <c r="J215">
        <v>25910.05</v>
      </c>
    </row>
    <row r="216" spans="7:10" x14ac:dyDescent="0.3">
      <c r="G216" s="34">
        <v>45978</v>
      </c>
      <c r="H216">
        <v>3301.7</v>
      </c>
      <c r="J216">
        <v>26013.45</v>
      </c>
    </row>
    <row r="217" spans="7:10" x14ac:dyDescent="0.3">
      <c r="G217" s="34">
        <v>45975</v>
      </c>
      <c r="H217">
        <v>3348.7</v>
      </c>
      <c r="J217">
        <v>25910.05</v>
      </c>
    </row>
    <row r="218" spans="7:10" x14ac:dyDescent="0.3">
      <c r="G218" s="34">
        <v>45974</v>
      </c>
      <c r="H218">
        <v>3335.5</v>
      </c>
      <c r="J218">
        <v>25879.15</v>
      </c>
    </row>
    <row r="219" spans="7:10" x14ac:dyDescent="0.3">
      <c r="G219" s="34">
        <v>45973</v>
      </c>
      <c r="H219">
        <v>3357.1</v>
      </c>
      <c r="J219">
        <v>25875.8</v>
      </c>
    </row>
    <row r="220" spans="7:10" x14ac:dyDescent="0.3">
      <c r="G220" s="34">
        <v>45972</v>
      </c>
      <c r="H220">
        <v>3318.6</v>
      </c>
      <c r="J220">
        <v>25694.95</v>
      </c>
    </row>
    <row r="221" spans="7:10" x14ac:dyDescent="0.3">
      <c r="G221" s="34">
        <v>45971</v>
      </c>
      <c r="H221">
        <v>3315.1</v>
      </c>
      <c r="J221">
        <v>25574.35</v>
      </c>
    </row>
    <row r="222" spans="7:10" x14ac:dyDescent="0.3">
      <c r="G222" s="34">
        <v>45968</v>
      </c>
      <c r="H222">
        <v>3276.2</v>
      </c>
      <c r="J222">
        <v>25492.3</v>
      </c>
    </row>
    <row r="223" spans="7:10" x14ac:dyDescent="0.3">
      <c r="G223" s="34">
        <v>45967</v>
      </c>
      <c r="H223">
        <v>3369</v>
      </c>
      <c r="J223">
        <v>25509.7</v>
      </c>
    </row>
    <row r="224" spans="7:10" x14ac:dyDescent="0.3">
      <c r="G224" s="34">
        <v>45965</v>
      </c>
      <c r="H224">
        <v>3369.6</v>
      </c>
      <c r="J224">
        <v>25597.65</v>
      </c>
    </row>
    <row r="225" spans="7:10" x14ac:dyDescent="0.3">
      <c r="G225" s="34">
        <v>45964</v>
      </c>
      <c r="H225">
        <v>3430</v>
      </c>
      <c r="J225">
        <v>25763.35</v>
      </c>
    </row>
    <row r="226" spans="7:10" x14ac:dyDescent="0.3">
      <c r="G226" s="34">
        <v>45961</v>
      </c>
      <c r="H226">
        <v>3427.4</v>
      </c>
      <c r="J226">
        <v>25722.1</v>
      </c>
    </row>
    <row r="227" spans="7:10" x14ac:dyDescent="0.3">
      <c r="G227" s="34">
        <v>45960</v>
      </c>
      <c r="H227">
        <v>3432.2</v>
      </c>
      <c r="J227">
        <v>25877.85</v>
      </c>
    </row>
    <row r="228" spans="7:10" x14ac:dyDescent="0.3">
      <c r="G228" s="34">
        <v>45959</v>
      </c>
      <c r="H228">
        <v>3477.6</v>
      </c>
      <c r="J228">
        <v>26053.9</v>
      </c>
    </row>
    <row r="229" spans="7:10" x14ac:dyDescent="0.3">
      <c r="G229" s="34">
        <v>45958</v>
      </c>
      <c r="H229">
        <v>3486.4</v>
      </c>
      <c r="J229">
        <v>25936.2</v>
      </c>
    </row>
    <row r="230" spans="7:10" x14ac:dyDescent="0.3">
      <c r="G230" s="34">
        <v>45957</v>
      </c>
      <c r="H230">
        <v>3585.5</v>
      </c>
      <c r="J230">
        <v>25966.05</v>
      </c>
    </row>
    <row r="231" spans="7:10" x14ac:dyDescent="0.3">
      <c r="G231" s="34">
        <v>45954</v>
      </c>
      <c r="H231">
        <v>3529.5</v>
      </c>
      <c r="J231">
        <v>25795.15</v>
      </c>
    </row>
    <row r="232" spans="7:10" x14ac:dyDescent="0.3">
      <c r="G232" s="34">
        <v>45953</v>
      </c>
      <c r="H232">
        <v>3567.5</v>
      </c>
      <c r="J232">
        <v>25891.4</v>
      </c>
    </row>
    <row r="233" spans="7:10" x14ac:dyDescent="0.3">
      <c r="G233" s="34">
        <v>45951</v>
      </c>
      <c r="H233">
        <v>3514.3</v>
      </c>
      <c r="J233">
        <v>25868.6</v>
      </c>
    </row>
    <row r="234" spans="7:10" x14ac:dyDescent="0.3">
      <c r="G234" s="34">
        <v>45950</v>
      </c>
      <c r="H234">
        <v>3506.6</v>
      </c>
      <c r="J234">
        <v>25843.15</v>
      </c>
    </row>
    <row r="235" spans="7:10" x14ac:dyDescent="0.3">
      <c r="G235" s="34">
        <v>45947</v>
      </c>
      <c r="H235">
        <v>3535.3</v>
      </c>
      <c r="J235">
        <v>25709.85</v>
      </c>
    </row>
    <row r="236" spans="7:10" x14ac:dyDescent="0.3">
      <c r="G236" s="34">
        <v>45946</v>
      </c>
      <c r="H236">
        <v>3627.4</v>
      </c>
      <c r="J236">
        <v>25585.3</v>
      </c>
    </row>
    <row r="237" spans="7:10" x14ac:dyDescent="0.3">
      <c r="G237" s="34">
        <v>45945</v>
      </c>
      <c r="H237">
        <v>3518.4</v>
      </c>
      <c r="J237">
        <v>25323.55</v>
      </c>
    </row>
    <row r="238" spans="7:10" x14ac:dyDescent="0.3">
      <c r="G238" s="34">
        <v>45944</v>
      </c>
      <c r="H238">
        <v>3484.5</v>
      </c>
      <c r="J238">
        <v>25145.5</v>
      </c>
    </row>
    <row r="239" spans="7:10" x14ac:dyDescent="0.3">
      <c r="G239" s="34">
        <v>45943</v>
      </c>
      <c r="H239">
        <v>3404.6</v>
      </c>
      <c r="J239">
        <v>25227.35</v>
      </c>
    </row>
    <row r="240" spans="7:10" x14ac:dyDescent="0.3">
      <c r="G240" s="34">
        <v>45940</v>
      </c>
      <c r="H240">
        <v>3333.4</v>
      </c>
      <c r="J240">
        <v>25285.35</v>
      </c>
    </row>
    <row r="241" spans="7:10" x14ac:dyDescent="0.3">
      <c r="G241" s="34">
        <v>45939</v>
      </c>
      <c r="H241">
        <v>3344.7</v>
      </c>
      <c r="J241">
        <v>25181.8</v>
      </c>
    </row>
    <row r="242" spans="7:10" x14ac:dyDescent="0.3">
      <c r="G242" s="34">
        <v>45938</v>
      </c>
      <c r="H242">
        <v>3323.4</v>
      </c>
      <c r="J242">
        <v>25046.15</v>
      </c>
    </row>
    <row r="243" spans="7:10" x14ac:dyDescent="0.3">
      <c r="G243" s="34">
        <v>45937</v>
      </c>
      <c r="H243">
        <v>3402.8</v>
      </c>
      <c r="J243">
        <v>25108.3</v>
      </c>
    </row>
    <row r="244" spans="7:10" x14ac:dyDescent="0.3">
      <c r="G244" s="34">
        <v>45936</v>
      </c>
      <c r="H244">
        <v>3441.5</v>
      </c>
      <c r="J244">
        <v>25077.65</v>
      </c>
    </row>
    <row r="245" spans="7:10" x14ac:dyDescent="0.3">
      <c r="G245" s="34">
        <v>45933</v>
      </c>
      <c r="H245">
        <v>3438.9</v>
      </c>
      <c r="J245">
        <v>24894.25</v>
      </c>
    </row>
    <row r="246" spans="7:10" x14ac:dyDescent="0.3">
      <c r="G246" s="34">
        <v>45931</v>
      </c>
      <c r="H246">
        <v>3332</v>
      </c>
      <c r="J246">
        <v>24836.3</v>
      </c>
    </row>
    <row r="247" spans="7:10" x14ac:dyDescent="0.3">
      <c r="G247" s="34">
        <v>45930</v>
      </c>
      <c r="H247">
        <v>3328.4</v>
      </c>
      <c r="J247">
        <v>24611.1</v>
      </c>
    </row>
    <row r="248" spans="7:10" x14ac:dyDescent="0.3">
      <c r="G248" s="34">
        <v>45929</v>
      </c>
      <c r="H248">
        <v>3280.8</v>
      </c>
      <c r="J248">
        <v>24634.9</v>
      </c>
    </row>
    <row r="249" spans="7:10" x14ac:dyDescent="0.3">
      <c r="G249" s="171">
        <v>45926</v>
      </c>
      <c r="H249">
        <v>3207.6</v>
      </c>
      <c r="J249">
        <v>24654.7</v>
      </c>
    </row>
    <row r="250" spans="7:10" x14ac:dyDescent="0.3">
      <c r="G250" s="171">
        <v>45925</v>
      </c>
      <c r="H250">
        <v>3445.1</v>
      </c>
      <c r="J250">
        <v>24890.85</v>
      </c>
    </row>
    <row r="251" spans="7:10" x14ac:dyDescent="0.3">
      <c r="G251" s="171">
        <v>45924</v>
      </c>
      <c r="H251">
        <v>3489.9</v>
      </c>
      <c r="J251">
        <v>25056.9</v>
      </c>
    </row>
    <row r="252" spans="7:10" x14ac:dyDescent="0.3">
      <c r="G252" s="171">
        <v>45923</v>
      </c>
      <c r="H252">
        <v>3435.1</v>
      </c>
      <c r="J252">
        <v>25169.5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67" t="s">
        <v>332</v>
      </c>
      <c r="E9" s="167"/>
      <c r="F9" s="167"/>
      <c r="G9" s="167"/>
      <c r="H9" s="167"/>
      <c r="I9" s="167"/>
      <c r="J9" s="32"/>
      <c r="K9" s="167" t="s">
        <v>333</v>
      </c>
      <c r="L9" s="167"/>
      <c r="M9" s="167"/>
      <c r="N9" s="32"/>
      <c r="O9" s="167" t="s">
        <v>334</v>
      </c>
      <c r="P9" s="167"/>
      <c r="Q9" s="167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Apar Inds.</v>
      </c>
      <c r="C12" s="150" t="s">
        <v>835</v>
      </c>
      <c r="D12" s="155">
        <f>'Raw FS'!M57</f>
        <v>19073.55</v>
      </c>
      <c r="E12" s="155">
        <f>'Raw FS'!N57</f>
        <v>4.1900000000000004</v>
      </c>
      <c r="F12" s="155">
        <f>D12*E12</f>
        <v>79918.174500000008</v>
      </c>
      <c r="G12" s="155">
        <f>'Raw FS'!AS57</f>
        <v>15973.079999999998</v>
      </c>
      <c r="H12" s="155">
        <f>'Raw FS'!AT57</f>
        <v>95838.48</v>
      </c>
      <c r="I12" s="150">
        <f>IF(G12&gt;0, F12/G12, "N/A")</f>
        <v>5.0033039651714022</v>
      </c>
      <c r="J12" s="150">
        <f>IF(H12&gt;0, F12/H12, "N/A")</f>
        <v>0.83388399419523362</v>
      </c>
      <c r="K12" s="155">
        <f>'Raw FS'!AU57</f>
        <v>26364.240000000002</v>
      </c>
      <c r="L12" s="155">
        <f>'Raw FS'!AV57</f>
        <v>3954.64</v>
      </c>
      <c r="M12" s="155">
        <f>'Raw FS'!AW57</f>
        <v>1869.8</v>
      </c>
      <c r="N12" s="150"/>
      <c r="O12" s="151">
        <f>IFERROR($H12/K12, "N/A")</f>
        <v>3.6351694568096784</v>
      </c>
      <c r="P12" s="151">
        <f>IFERROR($H12/L12, "N/A")</f>
        <v>24.234438532963811</v>
      </c>
      <c r="Q12" s="151">
        <f>IFERROR(F12/M12, "N/A")</f>
        <v>42.741563001390531</v>
      </c>
    </row>
    <row r="13" spans="1:17" x14ac:dyDescent="0.3">
      <c r="B13" s="150" t="str">
        <f>'Raw FS'!L58</f>
        <v>Premier Energies</v>
      </c>
      <c r="C13" s="150" t="s">
        <v>8620</v>
      </c>
      <c r="D13" s="155">
        <f>'Raw FS'!M58</f>
        <v>905.05</v>
      </c>
      <c r="E13" s="155">
        <f>'Raw FS'!N58</f>
        <v>45.4</v>
      </c>
      <c r="F13" s="155">
        <f>D13*E13</f>
        <v>41089.269999999997</v>
      </c>
      <c r="G13" s="155">
        <f>'Raw FS'!AS58</f>
        <v>8216.98</v>
      </c>
      <c r="H13" s="155">
        <f>'Raw FS'!AT58</f>
        <v>49301.850000000006</v>
      </c>
      <c r="I13" s="150">
        <f>IF(G13&gt;0, F13/G13, "N/A")</f>
        <v>5.0005318255612154</v>
      </c>
      <c r="J13" s="150">
        <f>IF(H13&gt;0, F13/H13, "N/A")</f>
        <v>0.83342247806116798</v>
      </c>
      <c r="K13" s="155">
        <f>'Raw FS'!AU58</f>
        <v>9850.36</v>
      </c>
      <c r="L13" s="155">
        <f>'Raw FS'!AV58</f>
        <v>1477.55</v>
      </c>
      <c r="M13" s="155">
        <f>'Raw FS'!AW58</f>
        <v>1887.68</v>
      </c>
      <c r="N13" s="150"/>
      <c r="O13" s="151">
        <f>IFERROR($H13/K13, "N/A")</f>
        <v>5.0050810325713986</v>
      </c>
      <c r="P13" s="151">
        <f>IFERROR($H13/L13, "N/A")</f>
        <v>33.367297214984269</v>
      </c>
      <c r="Q13" s="151">
        <f>IFERROR(F13/M13, "N/A")</f>
        <v>21.767073868452279</v>
      </c>
    </row>
    <row r="14" spans="1:17" x14ac:dyDescent="0.3">
      <c r="B14" s="150" t="str">
        <f>'Raw FS'!L59</f>
        <v>Emmvee Photovol.</v>
      </c>
      <c r="C14" s="150" t="s">
        <v>8621</v>
      </c>
      <c r="D14" s="155">
        <f>'Raw FS'!M59</f>
        <v>342.85</v>
      </c>
      <c r="E14" s="155">
        <f>'Raw FS'!N59</f>
        <v>69.23</v>
      </c>
      <c r="F14" s="155">
        <f>D14*E14</f>
        <v>23735.505500000003</v>
      </c>
      <c r="G14" s="155">
        <f>'Raw FS'!AS59</f>
        <v>4747.42</v>
      </c>
      <c r="H14" s="155">
        <f>'Raw FS'!AT59</f>
        <v>28484.480000000003</v>
      </c>
      <c r="I14" s="150">
        <f>IF(G14&gt;0, F14/G14, "N/A")</f>
        <v>4.9996641333608576</v>
      </c>
      <c r="J14" s="150">
        <f>IF(H14&gt;0, F14/H14, "N/A")</f>
        <v>0.83327852570943894</v>
      </c>
      <c r="K14" s="155">
        <f>'Raw FS'!AU59</f>
        <v>6222.08</v>
      </c>
      <c r="L14" s="155">
        <f>'Raw FS'!AV59</f>
        <v>933.31</v>
      </c>
      <c r="M14" s="155">
        <f>'Raw FS'!AW59</f>
        <v>1521.16</v>
      </c>
      <c r="N14" s="150"/>
      <c r="O14" s="151">
        <f>IFERROR($H14/K14, "N/A")</f>
        <v>4.5779674963999186</v>
      </c>
      <c r="P14" s="151">
        <f>IFERROR($H14/L14, "N/A")</f>
        <v>30.519848710503481</v>
      </c>
      <c r="Q14" s="151">
        <f>IFERROR(F14/M14, "N/A")</f>
        <v>15.603556167661523</v>
      </c>
    </row>
    <row r="15" spans="1:17" x14ac:dyDescent="0.3">
      <c r="B15" s="150" t="str">
        <f>'Raw FS'!L60</f>
        <v>Diamond Power</v>
      </c>
      <c r="C15" s="150" t="s">
        <v>8622</v>
      </c>
      <c r="D15" s="155">
        <f>'Raw FS'!M60</f>
        <v>371.2</v>
      </c>
      <c r="E15" s="155">
        <f>'Raw FS'!N60</f>
        <v>59.81</v>
      </c>
      <c r="F15" s="155">
        <f>D15*E15</f>
        <v>22201.472000000002</v>
      </c>
      <c r="G15" s="155">
        <f>'Raw FS'!AS60</f>
        <v>4440.08</v>
      </c>
      <c r="H15" s="155">
        <f>'Raw FS'!AT60</f>
        <v>26640.46</v>
      </c>
      <c r="I15" s="150">
        <f>IF(G15&gt;0, F15/G15, "N/A")</f>
        <v>5.0002414370912236</v>
      </c>
      <c r="J15" s="150">
        <f>IF(H15&gt;0, F15/H15, "N/A")</f>
        <v>0.83337419849356964</v>
      </c>
      <c r="K15" s="155">
        <f>'Raw FS'!AU60</f>
        <v>2829.24</v>
      </c>
      <c r="L15" s="155">
        <f>'Raw FS'!AV60</f>
        <v>424.39</v>
      </c>
      <c r="M15" s="155">
        <f>'Raw FS'!AW60</f>
        <v>228.36</v>
      </c>
      <c r="N15" s="150"/>
      <c r="O15" s="151">
        <f>IFERROR($H15/K15, "N/A")</f>
        <v>9.4161188163605782</v>
      </c>
      <c r="P15" s="151">
        <f>IFERROR($H15/L15, "N/A")</f>
        <v>62.773533777892979</v>
      </c>
      <c r="Q15" s="151">
        <f>IFERROR(F15/M15, "N/A")</f>
        <v>97.221369767034503</v>
      </c>
    </row>
    <row r="16" spans="1:17" x14ac:dyDescent="0.3">
      <c r="B16" s="150" t="str">
        <f>'Raw FS'!L61</f>
        <v>MTAR Technologie</v>
      </c>
      <c r="C16" s="150" t="s">
        <v>8213</v>
      </c>
      <c r="D16" s="155">
        <f>'Raw FS'!M61</f>
        <v>7191</v>
      </c>
      <c r="E16" s="155">
        <f>'Raw FS'!N61</f>
        <v>3.08</v>
      </c>
      <c r="F16" s="155">
        <f>D16*E16</f>
        <v>22148.28</v>
      </c>
      <c r="G16" s="155">
        <f>'Raw FS'!AS61</f>
        <v>4423.8500000000004</v>
      </c>
      <c r="H16" s="155">
        <f>'Raw FS'!AT61</f>
        <v>26543.08</v>
      </c>
      <c r="I16" s="150">
        <f>IF(G16&gt;0, F16/G16, "N/A")</f>
        <v>5.0065621573968366</v>
      </c>
      <c r="J16" s="150">
        <f>IF(H16&gt;0, F16/H16, "N/A")</f>
        <v>0.83442765496694415</v>
      </c>
      <c r="K16" s="155">
        <f>'Raw FS'!AU61</f>
        <v>1442.88</v>
      </c>
      <c r="L16" s="155">
        <f>'Raw FS'!AV61</f>
        <v>216.43</v>
      </c>
      <c r="M16" s="155">
        <f>'Raw FS'!AW61</f>
        <v>202</v>
      </c>
      <c r="N16" s="150"/>
      <c r="O16" s="151">
        <f>IFERROR($H16/K16, "N/A")</f>
        <v>18.395902639166113</v>
      </c>
      <c r="P16" s="151">
        <f>IFERROR($H16/L16, "N/A")</f>
        <v>122.64048422122627</v>
      </c>
      <c r="Q16" s="151">
        <f>IFERROR(F16/M16, "N/A")</f>
        <v>109.6449504950495</v>
      </c>
    </row>
    <row r="17" spans="2:17" x14ac:dyDescent="0.3">
      <c r="B17" s="150" t="str">
        <f>'Raw FS'!L62</f>
        <v>Avalon Tech</v>
      </c>
      <c r="C17" s="150" t="s">
        <v>8623</v>
      </c>
      <c r="D17" s="155">
        <f>'Raw FS'!M62</f>
        <v>2510.4</v>
      </c>
      <c r="E17" s="155">
        <f>'Raw FS'!N62</f>
        <v>6.69</v>
      </c>
      <c r="F17" s="155">
        <f>D17*E17</f>
        <v>16794.576000000001</v>
      </c>
      <c r="G17" s="155">
        <f>'Raw FS'!AS62</f>
        <v>3358.0199999999995</v>
      </c>
      <c r="H17" s="155">
        <f>'Raw FS'!AT62</f>
        <v>20148.13</v>
      </c>
      <c r="I17" s="150">
        <f>IF(G17&gt;0, F17/G17, "N/A")</f>
        <v>5.0013329283327685</v>
      </c>
      <c r="J17" s="150">
        <f>IF(H17&gt;0, F17/H17, "N/A")</f>
        <v>0.8335550743418868</v>
      </c>
      <c r="K17" s="155">
        <f>'Raw FS'!AU62</f>
        <v>1937.64</v>
      </c>
      <c r="L17" s="155">
        <f>'Raw FS'!AV62</f>
        <v>290.64999999999998</v>
      </c>
      <c r="M17" s="155">
        <f>'Raw FS'!AW62</f>
        <v>139.47999999999999</v>
      </c>
      <c r="N17" s="150"/>
      <c r="O17" s="151">
        <f>IFERROR($H17/K17, "N/A")</f>
        <v>10.398283478871203</v>
      </c>
      <c r="P17" s="151">
        <f>IFERROR($H17/L17, "N/A")</f>
        <v>69.320935833476696</v>
      </c>
      <c r="Q17" s="151">
        <f>IFERROR(F17/M17, "N/A")</f>
        <v>120.40848867221108</v>
      </c>
    </row>
    <row r="18" spans="2:17" x14ac:dyDescent="0.3">
      <c r="B18" s="150"/>
      <c r="C18" s="150"/>
      <c r="D18" s="155"/>
      <c r="E18" s="155"/>
      <c r="F18" s="155"/>
      <c r="G18" s="155"/>
      <c r="H18" s="155"/>
      <c r="I18" s="150"/>
      <c r="J18" s="150"/>
      <c r="K18" s="155"/>
      <c r="L18" s="155"/>
      <c r="M18" s="155"/>
      <c r="N18" s="150"/>
      <c r="O18" s="151"/>
      <c r="P18" s="151"/>
      <c r="Q18" s="151"/>
    </row>
    <row r="19" spans="2:17" x14ac:dyDescent="0.3">
      <c r="B19" s="150"/>
      <c r="C19" s="150"/>
      <c r="D19" s="155"/>
      <c r="E19" s="155"/>
      <c r="F19" s="155"/>
      <c r="G19" s="155"/>
      <c r="H19" s="155"/>
      <c r="I19" s="150"/>
      <c r="J19" s="150"/>
      <c r="K19" s="155"/>
      <c r="L19" s="155"/>
      <c r="M19" s="155"/>
      <c r="N19" s="150"/>
      <c r="O19" s="151"/>
      <c r="P19" s="151"/>
      <c r="Q19" s="151"/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>
        <f>MAX(I12:I17)</f>
        <v>5.0065621573968366</v>
      </c>
      <c r="J23" s="79">
        <f>MAX(J12:J17)</f>
        <v>0.83442765496694415</v>
      </c>
      <c r="K23" s="79"/>
      <c r="L23" s="79"/>
      <c r="M23" s="79"/>
      <c r="N23" s="79"/>
      <c r="O23" s="86">
        <f>MAX(O12:O17)</f>
        <v>18.395902639166113</v>
      </c>
      <c r="P23" s="86">
        <f>MAX(P12:P17)</f>
        <v>122.64048422122627</v>
      </c>
      <c r="Q23" s="86">
        <f>MAX(Q12:Q17)</f>
        <v>120.40848867221108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>
        <f>_xlfn.QUARTILE.INC(I12:I17,1)</f>
        <v>5.0003140342087216</v>
      </c>
      <c r="J24" s="79">
        <f>_xlfn.QUARTILE.INC(J12:J17,1)</f>
        <v>0.83338626838546925</v>
      </c>
      <c r="K24" s="79"/>
      <c r="L24" s="79"/>
      <c r="M24" s="79"/>
      <c r="N24" s="79"/>
      <c r="O24" s="87">
        <f>_xlfn.QUARTILE.INC(O12:O17,1)</f>
        <v>4.6847458804427884</v>
      </c>
      <c r="P24" s="87">
        <f>_xlfn.QUARTILE.INC(P12:P17,1)</f>
        <v>31.231710836623677</v>
      </c>
      <c r="Q24" s="87">
        <f>_xlfn.QUARTILE.INC(Q12:Q17,1)</f>
        <v>27.010696151686844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MEDIAN(I12:I17)</f>
        <v>5.0009323769469916</v>
      </c>
      <c r="J25" s="152">
        <f>MEDIAN(J12:J17)</f>
        <v>0.83348877620152739</v>
      </c>
      <c r="K25" s="152"/>
      <c r="L25" s="152"/>
      <c r="M25" s="152"/>
      <c r="N25" s="152"/>
      <c r="O25" s="153">
        <f>MEDIAN(O12:O17)</f>
        <v>7.2105999244659884</v>
      </c>
      <c r="P25" s="153">
        <f>MEDIAN(P12:P17)</f>
        <v>48.070415496438628</v>
      </c>
      <c r="Q25" s="153">
        <f>MEDIAN(Q12:Q17)</f>
        <v>69.981466384212524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>
        <f>AVERAGE(I12:I17)</f>
        <v>5.0019394078190507</v>
      </c>
      <c r="J26" s="152">
        <f>AVERAGE(J12:J17)</f>
        <v>0.83365698762804019</v>
      </c>
      <c r="K26" s="152"/>
      <c r="L26" s="152"/>
      <c r="M26" s="152"/>
      <c r="N26" s="152"/>
      <c r="O26" s="153">
        <f>AVERAGE(O12:O17)</f>
        <v>8.571420486696482</v>
      </c>
      <c r="P26" s="153">
        <f>AVERAGE(P12:P17)</f>
        <v>57.142756381841252</v>
      </c>
      <c r="Q26" s="153">
        <f>AVERAGE(Q12:Q17)</f>
        <v>67.897833661966573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>
        <f>_xlfn.QUARTILE.INC(I12:I17,3)</f>
        <v>5.002811205961744</v>
      </c>
      <c r="J27" s="79">
        <f>_xlfn.QUARTILE.INC(J12:J17,3)</f>
        <v>0.83380176423189689</v>
      </c>
      <c r="K27" s="79"/>
      <c r="L27" s="79"/>
      <c r="M27" s="79"/>
      <c r="N27" s="79"/>
      <c r="O27" s="87">
        <f>_xlfn.QUARTILE.INC(O12:O17,3)</f>
        <v>10.152742313243547</v>
      </c>
      <c r="P27" s="87">
        <f>_xlfn.QUARTILE.INC(P12:P17,3)</f>
        <v>67.68408531958076</v>
      </c>
      <c r="Q27" s="87">
        <f>_xlfn.QUARTILE.INC(Q12:Q17,3)</f>
        <v>106.53905531304575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>
        <f>MIN(I12:I17)</f>
        <v>4.9996641333608576</v>
      </c>
      <c r="J28" s="79">
        <f>MIN(J12:J17)</f>
        <v>0.83327852570943894</v>
      </c>
      <c r="K28" s="79"/>
      <c r="L28" s="79"/>
      <c r="M28" s="79"/>
      <c r="N28" s="79"/>
      <c r="O28" s="86">
        <f>MIN(O12:O17)</f>
        <v>3.6351694568096784</v>
      </c>
      <c r="P28" s="86">
        <f>MIN(P12:P17)</f>
        <v>24.234438532963811</v>
      </c>
      <c r="Q28" s="86">
        <f>MIN(Q12:Q17)</f>
        <v>15.603556167661523</v>
      </c>
    </row>
    <row r="30" spans="2:17" x14ac:dyDescent="0.3">
      <c r="B30" s="32" t="s">
        <v>8619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'Raw FS'!AU56*O26</f>
        <v>227459.78545546453</v>
      </c>
      <c r="P32" s="155">
        <f>'Raw FS'!AV56*P26</f>
        <v>583198.97163307178</v>
      </c>
      <c r="Q32" s="155">
        <f>'Raw FS'!AW56*Q26</f>
        <v>263715.18594307819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'Raw FS'!AS56</f>
        <v>-3515</v>
      </c>
      <c r="P33" s="155">
        <f>'Raw FS'!AS56</f>
        <v>-3515</v>
      </c>
      <c r="Q33" s="155">
        <f>'Raw FS'!AS56</f>
        <v>-3515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230974.78545546453</v>
      </c>
      <c r="P34" s="155">
        <f>P32-P33</f>
        <v>586713.97163307178</v>
      </c>
      <c r="Q34" s="155">
        <f>Q32</f>
        <v>263715.18594307819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'Raw FS'!N56</f>
        <v>28.760748407643312</v>
      </c>
      <c r="P35" s="155">
        <f>'Raw FS'!N56</f>
        <v>28.760748407643312</v>
      </c>
      <c r="Q35" s="155">
        <f>'Raw FS'!N56</f>
        <v>28.760748407643312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8030.9031664169706</v>
      </c>
      <c r="P37" s="157">
        <f>P34/P35</f>
        <v>20399.815864219639</v>
      </c>
      <c r="Q37" s="157">
        <f>Q34/Q35</f>
        <v>9169.2741164202307</v>
      </c>
    </row>
    <row r="38" spans="2:17" x14ac:dyDescent="0.3">
      <c r="B38" s="52" t="s">
        <v>345</v>
      </c>
    </row>
    <row r="39" spans="2:17" x14ac:dyDescent="0.3">
      <c r="B39" t="s">
        <v>8624</v>
      </c>
      <c r="O39" t="str">
        <f>IF(O37&gt;'Raw FS'!M56,"Undervalued","Overvalued")</f>
        <v>Undervalued</v>
      </c>
      <c r="P39" t="str">
        <f>IF(P37="N/A","N/A",IF(P37&gt;'Raw FS'!M56,"Undervalued","Overvalued"))</f>
        <v>Undervalued</v>
      </c>
      <c r="Q39" t="str">
        <f>IF(Q37&gt;'Raw FS'!M56,"Undervalued","Overvalued")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Waaree Energies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e">
        <f>CONCATENATE("(",VLOOKUP(B2,'List of Stocks'!B2:E5442,3,FALSE)," | ","BSE Code: ",VLOOKUP('Dupont Analysis'!B2,'List of Stocks'!B2:E5442,2,FALSE))</f>
        <v>#N/A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2512</v>
      </c>
      <c r="C4" s="93"/>
      <c r="D4" s="93"/>
      <c r="E4" s="93"/>
      <c r="F4" s="93"/>
      <c r="H4" s="93"/>
      <c r="I4" s="93"/>
    </row>
    <row r="5" spans="1:9" x14ac:dyDescent="0.3">
      <c r="B5" s="58" t="s">
        <v>8625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68" t="s">
        <v>8626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69" t="s">
        <v>8627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8585</v>
      </c>
      <c r="B39" s="169" t="s">
        <v>8628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8585</v>
      </c>
      <c r="B41" s="169" t="s">
        <v>8629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8585</v>
      </c>
      <c r="B43" s="169" t="s">
        <v>8630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8585</v>
      </c>
      <c r="B45" s="169" t="s">
        <v>8631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8585</v>
      </c>
      <c r="B47" s="169" t="s">
        <v>8632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80</v>
      </c>
      <c r="F60" s="106">
        <f t="shared" ref="F60:I60" si="0">F66</f>
        <v>500</v>
      </c>
      <c r="G60" s="106">
        <f t="shared" si="0"/>
        <v>1274</v>
      </c>
      <c r="H60" s="106">
        <f t="shared" si="0"/>
        <v>1928</v>
      </c>
      <c r="I60" s="106">
        <f t="shared" si="0"/>
        <v>3884</v>
      </c>
    </row>
    <row r="61" spans="2:9" x14ac:dyDescent="0.3">
      <c r="B61" t="s">
        <v>346</v>
      </c>
      <c r="E61" s="106">
        <f>E75</f>
        <v>386.5</v>
      </c>
      <c r="F61" s="106">
        <f t="shared" ref="F61:I61" si="1">F75</f>
        <v>1133</v>
      </c>
      <c r="G61" s="106">
        <f t="shared" si="1"/>
        <v>2963</v>
      </c>
      <c r="H61" s="106">
        <f t="shared" si="1"/>
        <v>6783.5</v>
      </c>
      <c r="I61" s="106">
        <f t="shared" si="1"/>
        <v>11958.5</v>
      </c>
    </row>
    <row r="62" spans="2:9" x14ac:dyDescent="0.3">
      <c r="B62" s="89" t="s">
        <v>59</v>
      </c>
      <c r="C62" s="89"/>
      <c r="D62" s="89"/>
      <c r="E62" s="90">
        <f>E60/E61</f>
        <v>0.20698576972833119</v>
      </c>
      <c r="F62" s="90">
        <f t="shared" ref="F62:I62" si="2">F60/F61</f>
        <v>0.44130626654898497</v>
      </c>
      <c r="G62" s="90">
        <f t="shared" si="2"/>
        <v>0.42996962537968275</v>
      </c>
      <c r="H62" s="90">
        <f t="shared" si="2"/>
        <v>0.28421906095673327</v>
      </c>
      <c r="I62" s="90">
        <f t="shared" si="2"/>
        <v>0.3247898983986286</v>
      </c>
    </row>
    <row r="64" spans="2:9" x14ac:dyDescent="0.3">
      <c r="B64" s="161" t="s">
        <v>347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80</v>
      </c>
      <c r="F66" s="106">
        <f>'Data Sheet'!H30</f>
        <v>500</v>
      </c>
      <c r="G66" s="106">
        <f>'Data Sheet'!I30</f>
        <v>1274</v>
      </c>
      <c r="H66" s="106">
        <f>'Data Sheet'!J30</f>
        <v>1928</v>
      </c>
      <c r="I66" s="106">
        <f>'Data Sheet'!K30</f>
        <v>3884</v>
      </c>
    </row>
    <row r="67" spans="2:9" x14ac:dyDescent="0.3">
      <c r="B67" t="s">
        <v>330</v>
      </c>
      <c r="E67" s="106">
        <f>'Data Sheet'!G17</f>
        <v>2854</v>
      </c>
      <c r="F67" s="106">
        <f>'Data Sheet'!H17</f>
        <v>6751</v>
      </c>
      <c r="G67" s="106">
        <f>'Data Sheet'!I17</f>
        <v>11398</v>
      </c>
      <c r="H67" s="106">
        <f>'Data Sheet'!J17</f>
        <v>14444</v>
      </c>
      <c r="I67" s="106">
        <f>'Data Sheet'!K17</f>
        <v>26537</v>
      </c>
    </row>
    <row r="68" spans="2:9" x14ac:dyDescent="0.3">
      <c r="B68" s="89" t="s">
        <v>348</v>
      </c>
      <c r="C68" s="89"/>
      <c r="D68" s="89"/>
      <c r="E68" s="90">
        <f>E66/E67</f>
        <v>2.8030833917309039E-2</v>
      </c>
      <c r="F68" s="90">
        <f t="shared" ref="F68:I68" si="3">F66/F67</f>
        <v>7.4063101762701825E-2</v>
      </c>
      <c r="G68" s="90">
        <f t="shared" si="3"/>
        <v>0.11177399543779611</v>
      </c>
      <c r="H68" s="90">
        <f t="shared" si="3"/>
        <v>0.13348103018554416</v>
      </c>
      <c r="I68" s="90">
        <f t="shared" si="3"/>
        <v>0.14636168368692767</v>
      </c>
    </row>
    <row r="70" spans="2:9" x14ac:dyDescent="0.3">
      <c r="B70" t="s">
        <v>330</v>
      </c>
      <c r="E70" s="106">
        <f>E67</f>
        <v>2854</v>
      </c>
      <c r="F70" s="106">
        <f t="shared" ref="F70:I70" si="4">F67</f>
        <v>6751</v>
      </c>
      <c r="G70" s="106">
        <f t="shared" si="4"/>
        <v>11398</v>
      </c>
      <c r="H70" s="106">
        <f t="shared" si="4"/>
        <v>14444</v>
      </c>
      <c r="I70" s="106">
        <f t="shared" si="4"/>
        <v>26537</v>
      </c>
    </row>
    <row r="71" spans="2:9" x14ac:dyDescent="0.3">
      <c r="B71" t="s">
        <v>349</v>
      </c>
      <c r="E71" s="106">
        <f>SUM('Data Sheet'!F66:G66)/2</f>
        <v>1717.5</v>
      </c>
      <c r="F71" s="106">
        <f>SUM('Data Sheet'!G66:H66)/2</f>
        <v>4780</v>
      </c>
      <c r="G71" s="106">
        <f>SUM('Data Sheet'!H66:I66)/2</f>
        <v>9341.5</v>
      </c>
      <c r="H71" s="106">
        <f>SUM('Data Sheet'!I66:J66)/2</f>
        <v>15360.5</v>
      </c>
      <c r="I71" s="106">
        <f>SUM('Data Sheet'!J66:K66)/2</f>
        <v>24714.5</v>
      </c>
    </row>
    <row r="72" spans="2:9" x14ac:dyDescent="0.3">
      <c r="B72" s="89" t="s">
        <v>350</v>
      </c>
      <c r="C72" s="89"/>
      <c r="D72" s="89"/>
      <c r="E72" s="154">
        <f>E70/E71</f>
        <v>1.6617176128093158</v>
      </c>
      <c r="F72" s="154">
        <f t="shared" ref="F72:I72" si="5">F70/F71</f>
        <v>1.4123430962343095</v>
      </c>
      <c r="G72" s="154">
        <f t="shared" si="5"/>
        <v>1.2201466573890702</v>
      </c>
      <c r="H72" s="154">
        <f t="shared" si="5"/>
        <v>0.9403339735034667</v>
      </c>
      <c r="I72" s="154">
        <f t="shared" si="5"/>
        <v>1.073742135183799</v>
      </c>
    </row>
    <row r="74" spans="2:9" x14ac:dyDescent="0.3">
      <c r="B74" t="s">
        <v>349</v>
      </c>
      <c r="E74" s="106">
        <f>E71</f>
        <v>1717.5</v>
      </c>
      <c r="F74" s="106">
        <f t="shared" ref="F74:I74" si="6">F71</f>
        <v>4780</v>
      </c>
      <c r="G74" s="106">
        <f t="shared" si="6"/>
        <v>9341.5</v>
      </c>
      <c r="H74" s="106">
        <f t="shared" si="6"/>
        <v>15360.5</v>
      </c>
      <c r="I74" s="106">
        <f t="shared" si="6"/>
        <v>24714.5</v>
      </c>
    </row>
    <row r="75" spans="2:9" x14ac:dyDescent="0.3">
      <c r="B75" t="s">
        <v>346</v>
      </c>
      <c r="E75" s="106">
        <f>(SUM('Data Sheet'!F57:F58)+SUM('Data Sheet'!G57:G58))/2</f>
        <v>386.5</v>
      </c>
      <c r="F75" s="106">
        <f>(SUM('Data Sheet'!G57:G58)+SUM('Data Sheet'!H57:H58))/2</f>
        <v>1133</v>
      </c>
      <c r="G75" s="106">
        <f>(SUM('Data Sheet'!H57:H58)+SUM('Data Sheet'!I57:I58))/2</f>
        <v>2963</v>
      </c>
      <c r="H75" s="106">
        <f>(SUM('Data Sheet'!I57:I58)+SUM('Data Sheet'!J57:J58))/2</f>
        <v>6783.5</v>
      </c>
      <c r="I75" s="106">
        <f>(SUM('Data Sheet'!J57:J58)+SUM('Data Sheet'!K57:K58))/2</f>
        <v>11958.5</v>
      </c>
    </row>
    <row r="76" spans="2:9" x14ac:dyDescent="0.3">
      <c r="B76" s="89" t="s">
        <v>351</v>
      </c>
      <c r="C76" s="89"/>
      <c r="D76" s="89"/>
      <c r="E76" s="100">
        <f>E74/E75</f>
        <v>4.4437257438551097</v>
      </c>
      <c r="F76" s="100">
        <f t="shared" ref="F76:I76" si="7">F74/F75</f>
        <v>4.2188879082082966</v>
      </c>
      <c r="G76" s="100">
        <f t="shared" si="7"/>
        <v>3.1527168410394868</v>
      </c>
      <c r="H76" s="100">
        <f t="shared" si="7"/>
        <v>2.2643915382914424</v>
      </c>
      <c r="I76" s="100">
        <f t="shared" si="7"/>
        <v>2.0666889660074426</v>
      </c>
    </row>
    <row r="78" spans="2:9" x14ac:dyDescent="0.3">
      <c r="B78" s="89" t="s">
        <v>352</v>
      </c>
      <c r="C78" s="89"/>
      <c r="D78" s="89"/>
      <c r="E78" s="90">
        <f>E68*E72*E76</f>
        <v>0.20698576972833113</v>
      </c>
      <c r="F78" s="90">
        <f t="shared" ref="F78:I78" si="8">F68*F72*F76</f>
        <v>0.44130626654898497</v>
      </c>
      <c r="G78" s="90">
        <f t="shared" si="8"/>
        <v>0.4299696253796827</v>
      </c>
      <c r="H78" s="90">
        <f t="shared" si="8"/>
        <v>0.28421906095673327</v>
      </c>
      <c r="I78" s="90">
        <f t="shared" si="8"/>
        <v>0.3247898983986286</v>
      </c>
    </row>
    <row r="80" spans="2:9" x14ac:dyDescent="0.3">
      <c r="B80" s="161" t="s">
        <v>353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80</v>
      </c>
      <c r="F82" s="106">
        <f t="shared" ref="F82:I82" si="9">F66</f>
        <v>500</v>
      </c>
      <c r="G82" s="106">
        <f t="shared" si="9"/>
        <v>1274</v>
      </c>
      <c r="H82" s="106">
        <f t="shared" si="9"/>
        <v>1928</v>
      </c>
      <c r="I82" s="106">
        <f t="shared" si="9"/>
        <v>3884</v>
      </c>
    </row>
    <row r="83" spans="2:9" x14ac:dyDescent="0.3">
      <c r="B83" t="s">
        <v>349</v>
      </c>
      <c r="E83" s="106">
        <f>E74</f>
        <v>1717.5</v>
      </c>
      <c r="F83" s="106">
        <f t="shared" ref="F83:I83" si="10">F74</f>
        <v>4780</v>
      </c>
      <c r="G83" s="106">
        <f t="shared" si="10"/>
        <v>9341.5</v>
      </c>
      <c r="H83" s="106">
        <f t="shared" si="10"/>
        <v>15360.5</v>
      </c>
      <c r="I83" s="106">
        <f t="shared" si="10"/>
        <v>24714.5</v>
      </c>
    </row>
    <row r="84" spans="2:9" x14ac:dyDescent="0.3">
      <c r="B84" s="89" t="s">
        <v>353</v>
      </c>
      <c r="C84" s="89"/>
      <c r="D84" s="89"/>
      <c r="E84" s="90">
        <f>E82/E83</f>
        <v>4.6579330422125184E-2</v>
      </c>
      <c r="F84" s="90">
        <f t="shared" ref="F84:I84" si="11">F82/F83</f>
        <v>0.10460251046025104</v>
      </c>
      <c r="G84" s="90">
        <f t="shared" si="11"/>
        <v>0.1363806669164481</v>
      </c>
      <c r="H84" s="90">
        <f t="shared" si="11"/>
        <v>0.12551674750170894</v>
      </c>
      <c r="I84" s="90">
        <f t="shared" si="11"/>
        <v>0.15715470675109752</v>
      </c>
    </row>
    <row r="86" spans="2:9" x14ac:dyDescent="0.3">
      <c r="B86" s="161" t="s">
        <v>354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80</v>
      </c>
      <c r="F88" s="106">
        <f t="shared" ref="F88:I88" si="12">F66</f>
        <v>500</v>
      </c>
      <c r="G88" s="106">
        <f t="shared" si="12"/>
        <v>1274</v>
      </c>
      <c r="H88" s="106">
        <f t="shared" si="12"/>
        <v>1928</v>
      </c>
      <c r="I88" s="106">
        <f t="shared" si="12"/>
        <v>3884</v>
      </c>
    </row>
    <row r="89" spans="2:9" x14ac:dyDescent="0.3">
      <c r="B89" t="s">
        <v>330</v>
      </c>
      <c r="E89" s="106">
        <f>E67</f>
        <v>2854</v>
      </c>
      <c r="F89" s="106">
        <f t="shared" ref="F89:I89" si="13">F67</f>
        <v>6751</v>
      </c>
      <c r="G89" s="106">
        <f t="shared" si="13"/>
        <v>11398</v>
      </c>
      <c r="H89" s="106">
        <f t="shared" si="13"/>
        <v>14444</v>
      </c>
      <c r="I89" s="106">
        <f t="shared" si="13"/>
        <v>26537</v>
      </c>
    </row>
    <row r="90" spans="2:9" x14ac:dyDescent="0.3">
      <c r="B90" s="89" t="s">
        <v>348</v>
      </c>
      <c r="C90" s="89"/>
      <c r="D90" s="89"/>
      <c r="E90" s="91">
        <f>E68</f>
        <v>2.8030833917309039E-2</v>
      </c>
      <c r="F90" s="91">
        <f t="shared" ref="F90:I90" si="14">F68</f>
        <v>7.4063101762701825E-2</v>
      </c>
      <c r="G90" s="91">
        <f t="shared" si="14"/>
        <v>0.11177399543779611</v>
      </c>
      <c r="H90" s="91">
        <f t="shared" si="14"/>
        <v>0.13348103018554416</v>
      </c>
      <c r="I90" s="91">
        <f t="shared" si="14"/>
        <v>0.14636168368692767</v>
      </c>
    </row>
    <row r="92" spans="2:9" x14ac:dyDescent="0.3">
      <c r="B92" t="s">
        <v>330</v>
      </c>
      <c r="E92" s="106">
        <f>E67</f>
        <v>2854</v>
      </c>
      <c r="F92" s="106">
        <f t="shared" ref="F92:I92" si="15">F67</f>
        <v>6751</v>
      </c>
      <c r="G92" s="106">
        <f t="shared" si="15"/>
        <v>11398</v>
      </c>
      <c r="H92" s="106">
        <f t="shared" si="15"/>
        <v>14444</v>
      </c>
      <c r="I92" s="106">
        <f t="shared" si="15"/>
        <v>26537</v>
      </c>
    </row>
    <row r="93" spans="2:9" x14ac:dyDescent="0.3">
      <c r="B93" t="s">
        <v>349</v>
      </c>
      <c r="E93" s="106">
        <f>E71</f>
        <v>1717.5</v>
      </c>
      <c r="F93" s="106">
        <f t="shared" ref="F93:I93" si="16">F71</f>
        <v>4780</v>
      </c>
      <c r="G93" s="106">
        <f t="shared" si="16"/>
        <v>9341.5</v>
      </c>
      <c r="H93" s="106">
        <f t="shared" si="16"/>
        <v>15360.5</v>
      </c>
      <c r="I93" s="106">
        <f t="shared" si="16"/>
        <v>24714.5</v>
      </c>
    </row>
    <row r="94" spans="2:9" x14ac:dyDescent="0.3">
      <c r="B94" s="89" t="s">
        <v>350</v>
      </c>
      <c r="C94" s="89"/>
      <c r="D94" s="89"/>
      <c r="E94" s="90">
        <f>E72</f>
        <v>1.6617176128093158</v>
      </c>
      <c r="F94" s="90">
        <f t="shared" ref="F94:I94" si="17">F72</f>
        <v>1.4123430962343095</v>
      </c>
      <c r="G94" s="90">
        <f t="shared" si="17"/>
        <v>1.2201466573890702</v>
      </c>
      <c r="H94" s="90">
        <f t="shared" si="17"/>
        <v>0.9403339735034667</v>
      </c>
      <c r="I94" s="90">
        <f t="shared" si="17"/>
        <v>1.073742135183799</v>
      </c>
    </row>
    <row r="96" spans="2:9" x14ac:dyDescent="0.3">
      <c r="B96" s="89" t="s">
        <v>355</v>
      </c>
      <c r="C96" s="89"/>
      <c r="D96" s="89"/>
      <c r="E96" s="90">
        <f>E90*E94</f>
        <v>4.6579330422125177E-2</v>
      </c>
      <c r="F96" s="90">
        <f t="shared" ref="F96:I96" si="18">F90*F94</f>
        <v>0.10460251046025104</v>
      </c>
      <c r="G96" s="90">
        <f t="shared" si="18"/>
        <v>0.1363806669164481</v>
      </c>
      <c r="H96" s="90">
        <f t="shared" si="18"/>
        <v>0.12551674750170894</v>
      </c>
      <c r="I96" s="90">
        <f t="shared" si="18"/>
        <v>0.15715470675109752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Waaree Energies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e">
        <f>CONCATENATE("(",VLOOKUP(B2,'List of Stocks'!B2:E5442,3,FALSE)," | ","BSE Code: ",VLOOKUP('Altman''s Z Score'!B2,'List of Stocks'!B2:E5442,2,FALSE))</f>
        <v>#N/A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2512</v>
      </c>
      <c r="C4" s="93"/>
      <c r="D4" s="93"/>
      <c r="E4" s="93"/>
      <c r="F4" s="93"/>
      <c r="H4" s="93"/>
      <c r="I4" s="93"/>
    </row>
    <row r="5" spans="1:9" x14ac:dyDescent="0.3">
      <c r="B5" s="58" t="s">
        <v>8625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68" t="s">
        <v>8626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69" t="s">
        <v>8627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8585</v>
      </c>
      <c r="B38" s="169" t="s">
        <v>8628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8585</v>
      </c>
      <c r="B40" s="169" t="s">
        <v>8629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8585</v>
      </c>
      <c r="B42" s="169" t="s">
        <v>8630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8585</v>
      </c>
      <c r="B44" s="169" t="s">
        <v>8631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8585</v>
      </c>
      <c r="B46" s="169" t="s">
        <v>8632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-100</v>
      </c>
      <c r="F59" s="106">
        <f>'Data Sheet'!H65-'Data Sheet'!H60</f>
        <v>485</v>
      </c>
      <c r="G59" s="106">
        <f>'Data Sheet'!I65-'Data Sheet'!I60</f>
        <v>1779</v>
      </c>
      <c r="H59" s="106">
        <f>'Data Sheet'!J65-'Data Sheet'!J60</f>
        <v>4703</v>
      </c>
      <c r="I59" s="106">
        <f>'Data Sheet'!K65-'Data Sheet'!K60</f>
        <v>5892</v>
      </c>
    </row>
    <row r="60" spans="2:9" x14ac:dyDescent="0.3">
      <c r="B60" t="s">
        <v>96</v>
      </c>
      <c r="E60" s="106">
        <f>'Data Sheet'!G66</f>
        <v>2154</v>
      </c>
      <c r="F60" s="106">
        <f>'Data Sheet'!H66</f>
        <v>7406</v>
      </c>
      <c r="G60" s="106">
        <f>'Data Sheet'!I66</f>
        <v>11277</v>
      </c>
      <c r="H60" s="106">
        <f>'Data Sheet'!J66</f>
        <v>19444</v>
      </c>
      <c r="I60" s="106">
        <f>'Data Sheet'!K66</f>
        <v>29985</v>
      </c>
    </row>
    <row r="61" spans="2:9" x14ac:dyDescent="0.3">
      <c r="B61" s="89" t="s">
        <v>8588</v>
      </c>
      <c r="C61" s="89"/>
      <c r="D61" s="89"/>
      <c r="E61" s="90">
        <f>E59/E60</f>
        <v>-4.6425255338904362E-2</v>
      </c>
      <c r="F61" s="90">
        <f t="shared" ref="F61:I61" si="0">F59/F60</f>
        <v>6.5487442614096683E-2</v>
      </c>
      <c r="G61" s="90">
        <f t="shared" si="0"/>
        <v>0.15775472200053206</v>
      </c>
      <c r="H61" s="90">
        <f t="shared" si="0"/>
        <v>0.2418740999794281</v>
      </c>
      <c r="I61" s="90">
        <f t="shared" si="0"/>
        <v>0.19649824912456229</v>
      </c>
    </row>
    <row r="63" spans="2:9" x14ac:dyDescent="0.3">
      <c r="B63" s="161" t="s">
        <v>8589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231</v>
      </c>
      <c r="F65" s="106">
        <f>'Data Sheet'!H58</f>
        <v>1595</v>
      </c>
      <c r="G65" s="106">
        <f>'Data Sheet'!I58</f>
        <v>3825</v>
      </c>
      <c r="H65" s="106">
        <f>'Data Sheet'!J58</f>
        <v>9192</v>
      </c>
      <c r="I65" s="106">
        <f>'Data Sheet'!K58</f>
        <v>14150</v>
      </c>
    </row>
    <row r="66" spans="2:9" x14ac:dyDescent="0.3">
      <c r="B66" t="s">
        <v>96</v>
      </c>
      <c r="E66" s="106">
        <f>E60</f>
        <v>2154</v>
      </c>
      <c r="F66" s="106">
        <f t="shared" ref="F66:I66" si="1">F60</f>
        <v>7406</v>
      </c>
      <c r="G66" s="106">
        <f t="shared" si="1"/>
        <v>11277</v>
      </c>
      <c r="H66" s="106">
        <f t="shared" si="1"/>
        <v>19444</v>
      </c>
      <c r="I66" s="106">
        <f t="shared" si="1"/>
        <v>29985</v>
      </c>
    </row>
    <row r="67" spans="2:9" x14ac:dyDescent="0.3">
      <c r="B67" s="89" t="s">
        <v>8589</v>
      </c>
      <c r="C67" s="89"/>
      <c r="D67" s="89"/>
      <c r="E67" s="90">
        <f>E65/E66</f>
        <v>0.10724233983286909</v>
      </c>
      <c r="F67" s="90">
        <f t="shared" ref="F67:I67" si="2">F65/F66</f>
        <v>0.21536591952470968</v>
      </c>
      <c r="G67" s="90">
        <f t="shared" si="2"/>
        <v>0.33918595371109339</v>
      </c>
      <c r="H67" s="90">
        <f t="shared" si="2"/>
        <v>0.4727422341082082</v>
      </c>
      <c r="I67" s="90">
        <f t="shared" si="2"/>
        <v>0.47190261797565447</v>
      </c>
    </row>
    <row r="69" spans="2:9" x14ac:dyDescent="0.3">
      <c r="B69" s="161" t="s">
        <v>8590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5627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2154</v>
      </c>
      <c r="F72" s="106">
        <f t="shared" ref="F72:I72" si="3">F66</f>
        <v>7406</v>
      </c>
      <c r="G72" s="106">
        <f t="shared" si="3"/>
        <v>11277</v>
      </c>
      <c r="H72" s="106">
        <f t="shared" si="3"/>
        <v>19444</v>
      </c>
      <c r="I72" s="106">
        <f t="shared" si="3"/>
        <v>29985</v>
      </c>
    </row>
    <row r="73" spans="2:9" x14ac:dyDescent="0.3">
      <c r="B73" s="89" t="s">
        <v>8590</v>
      </c>
      <c r="C73" s="89"/>
      <c r="D73" s="89"/>
      <c r="E73" s="90">
        <f>E71/E72</f>
        <v>2.6123491179201483</v>
      </c>
      <c r="F73" s="90">
        <f t="shared" ref="F73:I73" si="4">F71/F72</f>
        <v>3.5097218471509586</v>
      </c>
      <c r="G73" s="90">
        <f t="shared" si="4"/>
        <v>2.3942537909018355</v>
      </c>
      <c r="H73" s="90">
        <f t="shared" si="4"/>
        <v>2.1594322155934993</v>
      </c>
      <c r="I73" s="90">
        <f t="shared" si="4"/>
        <v>0.93773553443388358</v>
      </c>
    </row>
    <row r="75" spans="2:9" x14ac:dyDescent="0.3">
      <c r="B75" s="161" t="s">
        <v>8591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8592</v>
      </c>
      <c r="E77" s="106">
        <f>'Data Sheet'!G90*'Data Sheet'!G93</f>
        <v>46220.799999999996</v>
      </c>
      <c r="F77" s="106">
        <f>'Data Sheet'!H90*'Data Sheet'!H93</f>
        <v>46220.799999999996</v>
      </c>
      <c r="G77" s="106">
        <f>'Data Sheet'!I90*'Data Sheet'!I93</f>
        <v>46220.799999999996</v>
      </c>
      <c r="H77" s="106">
        <f>'Data Sheet'!J90*'Data Sheet'!J93</f>
        <v>39717.32</v>
      </c>
      <c r="I77" s="106">
        <f>'Data Sheet'!K90*'Data Sheet'!K93</f>
        <v>49851.12</v>
      </c>
    </row>
    <row r="78" spans="2:9" x14ac:dyDescent="0.3">
      <c r="B78" t="s">
        <v>8593</v>
      </c>
      <c r="E78" s="106">
        <f>SUM('Data Sheet'!G59:G60)</f>
        <v>1725</v>
      </c>
      <c r="F78" s="106">
        <f>SUM('Data Sheet'!H59:H60)</f>
        <v>5567</v>
      </c>
      <c r="G78" s="106">
        <f>SUM('Data Sheet'!I59:I60)</f>
        <v>7188</v>
      </c>
      <c r="H78" s="106">
        <f>SUM('Data Sheet'!J59:J60)</f>
        <v>9965</v>
      </c>
      <c r="I78" s="106">
        <f>SUM('Data Sheet'!K59:K60)</f>
        <v>15548</v>
      </c>
    </row>
    <row r="79" spans="2:9" x14ac:dyDescent="0.3">
      <c r="B79" s="89" t="s">
        <v>8591</v>
      </c>
      <c r="C79" s="89"/>
      <c r="D79" s="89"/>
      <c r="E79" s="90">
        <f>E77/E78</f>
        <v>26.794666666666664</v>
      </c>
      <c r="F79" s="90">
        <f t="shared" ref="F79:I79" si="5">F77/F78</f>
        <v>8.3026405604454823</v>
      </c>
      <c r="G79" s="90">
        <f t="shared" si="5"/>
        <v>6.4302726766833604</v>
      </c>
      <c r="H79" s="90">
        <f t="shared" si="5"/>
        <v>3.985681886603111</v>
      </c>
      <c r="I79" s="90">
        <f t="shared" si="5"/>
        <v>3.2062721893491126</v>
      </c>
    </row>
    <row r="81" spans="2:9" x14ac:dyDescent="0.3">
      <c r="B81" s="161" t="s">
        <v>8595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8594</v>
      </c>
      <c r="E83" s="106">
        <f>'Data Sheet'!G17</f>
        <v>2854</v>
      </c>
      <c r="F83" s="106">
        <f>'Data Sheet'!H17</f>
        <v>6751</v>
      </c>
      <c r="G83" s="106">
        <f>'Data Sheet'!I17</f>
        <v>11398</v>
      </c>
      <c r="H83" s="106">
        <f>'Data Sheet'!J17</f>
        <v>14444</v>
      </c>
      <c r="I83" s="106">
        <f>'Data Sheet'!K17</f>
        <v>26537</v>
      </c>
    </row>
    <row r="84" spans="2:9" x14ac:dyDescent="0.3">
      <c r="B84" t="s">
        <v>96</v>
      </c>
      <c r="E84" s="106">
        <f>E72</f>
        <v>2154</v>
      </c>
      <c r="F84" s="106">
        <f t="shared" ref="F84:I84" si="6">F72</f>
        <v>7406</v>
      </c>
      <c r="G84" s="106">
        <f t="shared" si="6"/>
        <v>11277</v>
      </c>
      <c r="H84" s="106">
        <f t="shared" si="6"/>
        <v>19444</v>
      </c>
      <c r="I84" s="106">
        <f t="shared" si="6"/>
        <v>29985</v>
      </c>
    </row>
    <row r="85" spans="2:9" x14ac:dyDescent="0.3">
      <c r="B85" s="89" t="s">
        <v>8595</v>
      </c>
      <c r="C85" s="89"/>
      <c r="D85" s="89"/>
      <c r="E85" s="91">
        <f>E83/E84</f>
        <v>1.3249767873723306</v>
      </c>
      <c r="F85" s="91">
        <f t="shared" ref="F85:I85" si="7">F83/F84</f>
        <v>0.91155819605725086</v>
      </c>
      <c r="G85" s="91">
        <f t="shared" si="7"/>
        <v>1.0107298040258934</v>
      </c>
      <c r="H85" s="91">
        <f t="shared" si="7"/>
        <v>0.74285126517177535</v>
      </c>
      <c r="I85" s="91">
        <f t="shared" si="7"/>
        <v>0.88500917125229284</v>
      </c>
    </row>
    <row r="87" spans="2:9" x14ac:dyDescent="0.3">
      <c r="B87" s="161" t="s">
        <v>8596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8597</v>
      </c>
      <c r="E89" s="76">
        <f>(1.2*E61)+(1.4*E67)+(3.3*E73)+(0.6*E79)+(E85*1)</f>
        <v>26.116957845868153</v>
      </c>
      <c r="F89" s="76">
        <f t="shared" ref="F89:I89" si="8">(1.2*F61)+(1.4*F67)+(3.3*F73)+(0.6*F79)+(F85*1)</f>
        <v>17.855321846394212</v>
      </c>
      <c r="G89" s="76">
        <f t="shared" si="8"/>
        <v>13.434096921608134</v>
      </c>
      <c r="H89" s="76">
        <f t="shared" si="8"/>
        <v>11.212474756318995</v>
      </c>
      <c r="I89" s="76">
        <f t="shared" si="8"/>
        <v>6.7997613126089664</v>
      </c>
    </row>
    <row r="90" spans="2:9" x14ac:dyDescent="0.3">
      <c r="B90" t="s">
        <v>8598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2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43891</v>
      </c>
      <c r="D3" s="40">
        <v>44256</v>
      </c>
      <c r="E3" s="40">
        <v>44621</v>
      </c>
      <c r="F3" s="40">
        <v>44986</v>
      </c>
      <c r="G3" s="40">
        <v>45352</v>
      </c>
      <c r="H3" s="40">
        <v>45717</v>
      </c>
      <c r="I3" s="40">
        <v>46082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43891</v>
      </c>
      <c r="T3" s="35">
        <v>44256</v>
      </c>
      <c r="U3" s="35">
        <v>44621</v>
      </c>
      <c r="V3" s="35">
        <v>44986</v>
      </c>
      <c r="W3" s="35">
        <v>45352</v>
      </c>
      <c r="X3" s="35">
        <v>45717</v>
      </c>
      <c r="Y3" s="35">
        <v>46082</v>
      </c>
      <c r="Z3" s="35" t="s">
        <v>280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1996</v>
      </c>
      <c r="T4" s="48">
        <v>1953</v>
      </c>
      <c r="U4" s="48">
        <v>2854</v>
      </c>
      <c r="V4" s="48">
        <v>6751</v>
      </c>
      <c r="W4" s="48">
        <v>11398</v>
      </c>
      <c r="X4" s="48">
        <v>14444</v>
      </c>
      <c r="Y4" s="48">
        <v>26537</v>
      </c>
      <c r="Z4" s="48">
        <v>30043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242</v>
      </c>
      <c r="C5" s="108">
        <v>197</v>
      </c>
      <c r="D5" s="47">
        <v>197</v>
      </c>
      <c r="E5" s="47">
        <v>197</v>
      </c>
      <c r="F5" s="47">
        <v>243</v>
      </c>
      <c r="G5" s="47">
        <v>263</v>
      </c>
      <c r="H5" s="47">
        <v>287</v>
      </c>
      <c r="I5" s="47">
        <v>288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282</v>
      </c>
      <c r="S5" s="48">
        <v>1903</v>
      </c>
      <c r="T5" s="48">
        <v>1868</v>
      </c>
      <c r="U5" s="48">
        <v>2748</v>
      </c>
      <c r="V5" s="48">
        <v>5915</v>
      </c>
      <c r="W5" s="48">
        <v>9823</v>
      </c>
      <c r="X5" s="48">
        <v>11723</v>
      </c>
      <c r="Y5" s="48">
        <v>20628</v>
      </c>
      <c r="Z5" s="48">
        <v>23692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101</v>
      </c>
      <c r="D6" s="48">
        <v>148</v>
      </c>
      <c r="E6" s="48">
        <v>231</v>
      </c>
      <c r="F6" s="48">
        <v>1595</v>
      </c>
      <c r="G6" s="48">
        <v>3825</v>
      </c>
      <c r="H6" s="48">
        <v>9192</v>
      </c>
      <c r="I6" s="48">
        <v>14150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93</v>
      </c>
      <c r="T6" s="48">
        <v>85</v>
      </c>
      <c r="U6" s="48">
        <v>106</v>
      </c>
      <c r="V6" s="48">
        <v>836</v>
      </c>
      <c r="W6" s="48">
        <v>1574</v>
      </c>
      <c r="X6" s="48">
        <v>2722</v>
      </c>
      <c r="Y6" s="48">
        <v>5909</v>
      </c>
      <c r="Z6" s="48">
        <v>6351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243</v>
      </c>
      <c r="C7" s="48">
        <v>157</v>
      </c>
      <c r="D7" s="48">
        <v>340</v>
      </c>
      <c r="E7" s="48">
        <v>363</v>
      </c>
      <c r="F7" s="48">
        <v>320</v>
      </c>
      <c r="G7" s="48">
        <v>553</v>
      </c>
      <c r="H7" s="48">
        <v>1199</v>
      </c>
      <c r="I7" s="48">
        <v>3213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283</v>
      </c>
      <c r="S7" s="75">
        <v>4.7</v>
      </c>
      <c r="T7" s="75">
        <v>4.3</v>
      </c>
      <c r="U7" s="75">
        <v>3.7</v>
      </c>
      <c r="V7" s="75">
        <v>12</v>
      </c>
      <c r="W7" s="75">
        <v>14</v>
      </c>
      <c r="X7" s="75">
        <v>19</v>
      </c>
      <c r="Y7" s="75">
        <v>22</v>
      </c>
      <c r="Z7" s="75">
        <v>21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244</v>
      </c>
      <c r="C8" s="48">
        <v>71</v>
      </c>
      <c r="D8" s="48">
        <v>197</v>
      </c>
      <c r="E8" s="48">
        <v>189</v>
      </c>
      <c r="F8" s="48">
        <v>146</v>
      </c>
      <c r="G8" s="48">
        <v>103</v>
      </c>
      <c r="H8" s="48">
        <v>24</v>
      </c>
      <c r="I8" s="48">
        <v>815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284</v>
      </c>
      <c r="S8" s="48">
        <v>25</v>
      </c>
      <c r="T8" s="48">
        <v>45</v>
      </c>
      <c r="U8" s="48">
        <v>97</v>
      </c>
      <c r="V8" s="48">
        <v>88</v>
      </c>
      <c r="W8" s="48">
        <v>576</v>
      </c>
      <c r="X8" s="48">
        <v>398</v>
      </c>
      <c r="Y8" s="48">
        <v>413</v>
      </c>
      <c r="Z8" s="48">
        <v>413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245</v>
      </c>
      <c r="C9">
        <v>20</v>
      </c>
      <c r="D9">
        <v>55</v>
      </c>
      <c r="E9">
        <v>124</v>
      </c>
      <c r="F9">
        <v>128</v>
      </c>
      <c r="G9">
        <v>215</v>
      </c>
      <c r="H9">
        <v>915</v>
      </c>
      <c r="I9">
        <v>1676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34</v>
      </c>
      <c r="T9">
        <v>31</v>
      </c>
      <c r="U9">
        <v>41</v>
      </c>
      <c r="V9">
        <v>82</v>
      </c>
      <c r="W9">
        <v>140</v>
      </c>
      <c r="X9">
        <v>152</v>
      </c>
      <c r="Y9">
        <v>280</v>
      </c>
      <c r="Z9">
        <v>308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246</v>
      </c>
      <c r="C10">
        <v>32</v>
      </c>
      <c r="D10">
        <v>50</v>
      </c>
      <c r="E10">
        <v>50</v>
      </c>
      <c r="F10">
        <v>47</v>
      </c>
      <c r="G10">
        <v>236</v>
      </c>
      <c r="H10">
        <v>260</v>
      </c>
      <c r="I10">
        <v>721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27</v>
      </c>
      <c r="T10" s="48">
        <v>29</v>
      </c>
      <c r="U10" s="48">
        <v>43</v>
      </c>
      <c r="V10" s="48">
        <v>164</v>
      </c>
      <c r="W10" s="48">
        <v>277</v>
      </c>
      <c r="X10" s="48">
        <v>402</v>
      </c>
      <c r="Y10" s="48">
        <v>990</v>
      </c>
      <c r="Z10" s="48">
        <v>1138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8601</v>
      </c>
      <c r="C11" s="48">
        <v>34</v>
      </c>
      <c r="D11" s="48">
        <v>38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57</v>
      </c>
      <c r="T11" s="48">
        <v>70</v>
      </c>
      <c r="U11" s="48">
        <v>118</v>
      </c>
      <c r="V11" s="48">
        <v>677</v>
      </c>
      <c r="W11" s="48">
        <v>1734</v>
      </c>
      <c r="X11" s="48">
        <v>2565</v>
      </c>
      <c r="Y11" s="48">
        <v>5052</v>
      </c>
      <c r="Z11" s="48">
        <v>5319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247</v>
      </c>
      <c r="C12" s="48">
        <v>483</v>
      </c>
      <c r="D12" s="48">
        <v>596</v>
      </c>
      <c r="E12" s="48">
        <v>1362</v>
      </c>
      <c r="F12" s="48">
        <v>5247</v>
      </c>
      <c r="G12" s="48">
        <v>6635</v>
      </c>
      <c r="H12" s="48">
        <v>8766</v>
      </c>
      <c r="I12" s="48">
        <v>12335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285</v>
      </c>
      <c r="S12" s="75">
        <v>31</v>
      </c>
      <c r="T12" s="75">
        <v>31</v>
      </c>
      <c r="U12" s="75">
        <v>33</v>
      </c>
      <c r="V12" s="75">
        <v>26</v>
      </c>
      <c r="W12" s="75">
        <v>27</v>
      </c>
      <c r="X12" s="75">
        <v>25</v>
      </c>
      <c r="Y12" s="75">
        <v>23</v>
      </c>
      <c r="Z12" s="75">
        <v>0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248</v>
      </c>
      <c r="C13">
        <v>42</v>
      </c>
      <c r="D13">
        <v>40</v>
      </c>
      <c r="E13">
        <v>12</v>
      </c>
      <c r="F13">
        <v>23</v>
      </c>
      <c r="G13">
        <v>61</v>
      </c>
      <c r="H13">
        <v>116</v>
      </c>
      <c r="I13">
        <v>574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286</v>
      </c>
      <c r="S13" s="48">
        <v>39</v>
      </c>
      <c r="T13" s="48">
        <v>48</v>
      </c>
      <c r="U13" s="48">
        <v>80</v>
      </c>
      <c r="V13" s="48">
        <v>500</v>
      </c>
      <c r="W13" s="48">
        <v>1274</v>
      </c>
      <c r="X13" s="48">
        <v>1928</v>
      </c>
      <c r="Y13" s="48">
        <v>3884</v>
      </c>
      <c r="Z13" s="48">
        <v>4003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249</v>
      </c>
      <c r="C14" s="48">
        <v>300</v>
      </c>
      <c r="D14" s="48">
        <v>437</v>
      </c>
      <c r="E14" s="48">
        <v>527</v>
      </c>
      <c r="F14" s="48">
        <v>2017</v>
      </c>
      <c r="G14" s="48">
        <v>2014</v>
      </c>
      <c r="H14" s="48">
        <v>2363</v>
      </c>
      <c r="I14" s="48">
        <v>3587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  <c r="S14">
        <v>2.12</v>
      </c>
      <c r="T14">
        <v>2.5</v>
      </c>
      <c r="U14">
        <v>3.84</v>
      </c>
      <c r="V14">
        <v>24.49</v>
      </c>
      <c r="W14">
        <v>62.76</v>
      </c>
      <c r="X14">
        <v>65</v>
      </c>
      <c r="Y14">
        <v>129.02000000000001</v>
      </c>
      <c r="Z14">
        <v>132.68</v>
      </c>
    </row>
    <row r="15" spans="2:31" x14ac:dyDescent="0.3">
      <c r="B15" t="s">
        <v>250</v>
      </c>
      <c r="C15">
        <v>84</v>
      </c>
      <c r="D15">
        <v>52</v>
      </c>
      <c r="E15">
        <v>0</v>
      </c>
      <c r="F15">
        <v>0</v>
      </c>
      <c r="G15">
        <v>0</v>
      </c>
      <c r="H15">
        <v>0</v>
      </c>
      <c r="I15">
        <v>0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</row>
    <row r="16" spans="2:31" x14ac:dyDescent="0.3">
      <c r="B16" s="48" t="s">
        <v>251</v>
      </c>
      <c r="C16" s="48">
        <v>57</v>
      </c>
      <c r="D16" s="48">
        <v>66</v>
      </c>
      <c r="E16" s="48">
        <v>824</v>
      </c>
      <c r="F16" s="48">
        <v>3206</v>
      </c>
      <c r="G16" s="48">
        <v>4561</v>
      </c>
      <c r="H16" s="48">
        <v>6287</v>
      </c>
      <c r="I16" s="48">
        <v>8174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938</v>
      </c>
      <c r="D18" s="71">
        <v>1281</v>
      </c>
      <c r="E18" s="71">
        <v>2154</v>
      </c>
      <c r="F18" s="71">
        <v>7406</v>
      </c>
      <c r="G18" s="71">
        <v>11277</v>
      </c>
      <c r="H18" s="71">
        <v>19444</v>
      </c>
      <c r="I18" s="71">
        <v>29985</v>
      </c>
      <c r="J18" s="71">
        <f t="shared" ref="D18:N18" si="0">SUM(J5:J17)</f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83</v>
      </c>
      <c r="T19" s="48">
        <v>67</v>
      </c>
      <c r="U19" s="48">
        <v>698</v>
      </c>
      <c r="V19" s="48">
        <v>1560</v>
      </c>
      <c r="W19" s="48">
        <v>2305</v>
      </c>
      <c r="X19" s="48">
        <v>3158</v>
      </c>
      <c r="Y19" s="48">
        <v>1627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118</v>
      </c>
      <c r="T20" s="48">
        <v>107</v>
      </c>
      <c r="U20" s="48">
        <v>191</v>
      </c>
      <c r="V20" s="48">
        <v>941</v>
      </c>
      <c r="W20" s="48">
        <v>2049</v>
      </c>
      <c r="X20" s="48">
        <v>2744</v>
      </c>
      <c r="Y20" s="48">
        <v>5916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252</v>
      </c>
      <c r="C21" s="73">
        <v>152</v>
      </c>
      <c r="D21" s="73">
        <v>285</v>
      </c>
      <c r="E21" s="73">
        <v>625</v>
      </c>
      <c r="F21" s="73">
        <v>1105</v>
      </c>
      <c r="G21" s="73">
        <v>1450</v>
      </c>
      <c r="H21" s="73">
        <v>4026</v>
      </c>
      <c r="I21" s="73">
        <v>7328</v>
      </c>
      <c r="J21" s="73"/>
      <c r="K21" s="73"/>
      <c r="L21" s="73"/>
      <c r="M21" s="73"/>
      <c r="N21" s="73"/>
      <c r="R21" t="s">
        <v>78</v>
      </c>
      <c r="S21">
        <v>86</v>
      </c>
      <c r="T21">
        <v>22</v>
      </c>
      <c r="U21">
        <v>21</v>
      </c>
      <c r="V21">
        <v>-215</v>
      </c>
      <c r="W21">
        <v>-670</v>
      </c>
      <c r="X21" s="48">
        <v>-223</v>
      </c>
      <c r="Y21">
        <v>-1425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253</v>
      </c>
      <c r="C22" s="48">
        <v>14</v>
      </c>
      <c r="D22" s="48">
        <v>15</v>
      </c>
      <c r="E22" s="48">
        <v>152</v>
      </c>
      <c r="F22" s="48">
        <v>355</v>
      </c>
      <c r="G22" s="48">
        <v>360</v>
      </c>
      <c r="H22" s="48">
        <v>717</v>
      </c>
      <c r="I22" s="48">
        <v>2154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-143</v>
      </c>
      <c r="T22">
        <v>-99</v>
      </c>
      <c r="U22">
        <v>-170</v>
      </c>
      <c r="V22">
        <v>-2171</v>
      </c>
      <c r="W22">
        <v>123</v>
      </c>
      <c r="X22">
        <v>-107</v>
      </c>
      <c r="Y22" s="48">
        <v>-3164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254</v>
      </c>
      <c r="C23" s="48">
        <v>35</v>
      </c>
      <c r="D23" s="48">
        <v>62</v>
      </c>
      <c r="E23" s="48">
        <v>118</v>
      </c>
      <c r="F23" s="48">
        <v>145</v>
      </c>
      <c r="G23" s="48">
        <v>400</v>
      </c>
      <c r="H23" s="48">
        <v>905</v>
      </c>
      <c r="I23" s="48">
        <v>1329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-12</v>
      </c>
      <c r="T23">
        <v>78</v>
      </c>
      <c r="U23">
        <v>178</v>
      </c>
      <c r="V23" s="48">
        <v>1073</v>
      </c>
      <c r="W23">
        <v>-6</v>
      </c>
      <c r="X23">
        <v>557</v>
      </c>
      <c r="Y23" s="48">
        <v>1054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255</v>
      </c>
      <c r="C24" s="48">
        <v>111</v>
      </c>
      <c r="D24" s="48">
        <v>121</v>
      </c>
      <c r="E24" s="48">
        <v>359</v>
      </c>
      <c r="F24" s="48">
        <v>32</v>
      </c>
      <c r="G24" s="48">
        <v>925</v>
      </c>
      <c r="H24" s="48">
        <v>2790</v>
      </c>
      <c r="I24" s="48">
        <v>5002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-23</v>
      </c>
      <c r="T24">
        <v>-18</v>
      </c>
      <c r="U24">
        <v>533</v>
      </c>
      <c r="V24" s="48">
        <v>720</v>
      </c>
      <c r="W24">
        <v>592</v>
      </c>
      <c r="X24">
        <v>1157</v>
      </c>
      <c r="Y24">
        <v>-3140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256</v>
      </c>
      <c r="C25">
        <v>16</v>
      </c>
      <c r="D25">
        <v>16</v>
      </c>
      <c r="E25">
        <v>17</v>
      </c>
      <c r="F25">
        <v>12</v>
      </c>
      <c r="G25">
        <v>43</v>
      </c>
      <c r="H25">
        <v>68</v>
      </c>
      <c r="I25">
        <v>84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-11</v>
      </c>
      <c r="T25" s="48">
        <v>-22</v>
      </c>
      <c r="U25" s="48">
        <v>-26</v>
      </c>
      <c r="V25" s="48">
        <v>-100</v>
      </c>
      <c r="W25" s="48">
        <v>-335</v>
      </c>
      <c r="X25" s="48">
        <v>-743</v>
      </c>
      <c r="Y25" s="48">
        <v>-1149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257</v>
      </c>
      <c r="C26" s="48">
        <v>6</v>
      </c>
      <c r="D26" s="48">
        <v>7</v>
      </c>
      <c r="E26" s="48">
        <v>27</v>
      </c>
      <c r="F26" s="48">
        <v>37</v>
      </c>
      <c r="G26" s="48">
        <v>48</v>
      </c>
      <c r="H26" s="48">
        <v>187</v>
      </c>
      <c r="I26" s="48">
        <v>340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-22</v>
      </c>
      <c r="T26" s="48">
        <v>-250</v>
      </c>
      <c r="U26" s="48">
        <v>-673</v>
      </c>
      <c r="V26" s="48">
        <v>-2088</v>
      </c>
      <c r="W26" s="48">
        <v>-3346</v>
      </c>
      <c r="X26" s="48">
        <v>-6806</v>
      </c>
      <c r="Y26" s="48">
        <v>-3936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258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-16</v>
      </c>
      <c r="T27" s="48">
        <v>-70</v>
      </c>
      <c r="U27" s="48">
        <v>-496</v>
      </c>
      <c r="V27" s="48">
        <v>-865</v>
      </c>
      <c r="W27" s="48">
        <v>-1342</v>
      </c>
      <c r="X27" s="48">
        <v>-3274</v>
      </c>
      <c r="Y27" s="48">
        <v>-4882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259</v>
      </c>
      <c r="C28">
        <v>3</v>
      </c>
      <c r="D28">
        <v>3</v>
      </c>
      <c r="E28">
        <v>3</v>
      </c>
      <c r="F28">
        <v>4</v>
      </c>
      <c r="G28">
        <v>4</v>
      </c>
      <c r="H28">
        <v>8</v>
      </c>
      <c r="I28">
        <v>13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0</v>
      </c>
      <c r="T28" s="48">
        <v>0</v>
      </c>
      <c r="U28" s="48">
        <v>1</v>
      </c>
      <c r="V28" s="48">
        <v>4</v>
      </c>
      <c r="W28" s="48">
        <v>5</v>
      </c>
      <c r="X28" s="48">
        <v>1</v>
      </c>
      <c r="Y28" s="48">
        <v>46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260</v>
      </c>
      <c r="C29">
        <v>6</v>
      </c>
      <c r="D29">
        <v>7</v>
      </c>
      <c r="E29">
        <v>6</v>
      </c>
      <c r="F29">
        <v>6</v>
      </c>
      <c r="G29">
        <v>6</v>
      </c>
      <c r="H29">
        <v>6</v>
      </c>
      <c r="I29" s="48">
        <v>26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0</v>
      </c>
      <c r="T29" s="48">
        <v>-50</v>
      </c>
      <c r="U29" s="48">
        <v>-161</v>
      </c>
      <c r="V29" s="48">
        <v>0</v>
      </c>
      <c r="W29" s="48">
        <v>-1913</v>
      </c>
      <c r="X29" s="48">
        <v>-5128</v>
      </c>
      <c r="Y29" s="48">
        <v>-5533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261</v>
      </c>
      <c r="C30">
        <v>34</v>
      </c>
      <c r="D30">
        <v>151</v>
      </c>
      <c r="E30">
        <v>77</v>
      </c>
      <c r="F30">
        <v>804</v>
      </c>
      <c r="G30">
        <v>219</v>
      </c>
      <c r="H30">
        <v>276</v>
      </c>
      <c r="I30">
        <v>298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0</v>
      </c>
      <c r="T30" s="48">
        <v>21</v>
      </c>
      <c r="U30" s="48">
        <v>31</v>
      </c>
      <c r="V30" s="48">
        <v>109</v>
      </c>
      <c r="W30" s="48">
        <v>1906</v>
      </c>
      <c r="X30" s="48">
        <v>5151</v>
      </c>
      <c r="Y30" s="48">
        <v>4688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262</v>
      </c>
      <c r="C31" s="48">
        <v>227</v>
      </c>
      <c r="D31" s="48">
        <v>386</v>
      </c>
      <c r="E31" s="48">
        <v>765</v>
      </c>
      <c r="F31" s="48">
        <v>1398</v>
      </c>
      <c r="G31" s="48">
        <v>2010</v>
      </c>
      <c r="H31" s="48">
        <v>4967</v>
      </c>
      <c r="I31" s="48">
        <v>9281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13</v>
      </c>
      <c r="T31">
        <v>17</v>
      </c>
      <c r="U31" s="48">
        <v>9</v>
      </c>
      <c r="V31" s="48">
        <v>30</v>
      </c>
      <c r="W31" s="48">
        <v>125</v>
      </c>
      <c r="X31" s="48">
        <v>298</v>
      </c>
      <c r="Y31" s="48">
        <v>543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263</v>
      </c>
      <c r="C32" s="48">
        <v>75</v>
      </c>
      <c r="D32" s="48">
        <v>101</v>
      </c>
      <c r="E32" s="48">
        <v>140</v>
      </c>
      <c r="F32" s="48">
        <v>293</v>
      </c>
      <c r="G32" s="48">
        <v>560</v>
      </c>
      <c r="H32" s="48">
        <v>941</v>
      </c>
      <c r="I32" s="48">
        <v>1953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v>152</v>
      </c>
      <c r="D33" s="48">
        <v>285</v>
      </c>
      <c r="E33" s="48">
        <v>625</v>
      </c>
      <c r="F33" s="48">
        <v>1105</v>
      </c>
      <c r="G33" s="48">
        <v>1450</v>
      </c>
      <c r="H33" s="48">
        <v>4026</v>
      </c>
      <c r="I33" s="48">
        <v>7328</v>
      </c>
      <c r="J33" s="48">
        <f t="shared" ref="D33:N33" si="1">J31-J32</f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8599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37</v>
      </c>
      <c r="T34" s="48">
        <v>-133</v>
      </c>
      <c r="U34" s="48">
        <v>-98</v>
      </c>
      <c r="V34" s="48">
        <v>-1365</v>
      </c>
      <c r="W34" s="48">
        <v>-2126</v>
      </c>
      <c r="X34" s="48">
        <v>-3854</v>
      </c>
      <c r="Y34" s="48">
        <v>1202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264</v>
      </c>
      <c r="C35" s="48">
        <v>40</v>
      </c>
      <c r="D35" s="48">
        <v>3</v>
      </c>
      <c r="E35" s="48">
        <v>124</v>
      </c>
      <c r="F35" s="48">
        <v>537</v>
      </c>
      <c r="G35" s="48">
        <v>1341</v>
      </c>
      <c r="H35" s="48">
        <v>1884</v>
      </c>
      <c r="I35" s="48">
        <v>3477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85</v>
      </c>
      <c r="D36" s="48">
        <v>115</v>
      </c>
      <c r="E36" s="48">
        <v>143</v>
      </c>
      <c r="F36" s="48">
        <v>31</v>
      </c>
      <c r="G36" s="48">
        <v>71</v>
      </c>
      <c r="H36" s="48">
        <v>65</v>
      </c>
      <c r="I36" s="48">
        <v>953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-50</v>
      </c>
      <c r="T36" s="48">
        <v>161</v>
      </c>
      <c r="U36" s="48">
        <v>101</v>
      </c>
      <c r="V36" s="48">
        <v>642</v>
      </c>
      <c r="W36" s="48">
        <v>909</v>
      </c>
      <c r="X36" s="48">
        <v>4036</v>
      </c>
      <c r="Y36" s="48">
        <v>2573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0</v>
      </c>
      <c r="U37" s="48">
        <v>0</v>
      </c>
      <c r="V37" s="48">
        <v>1040</v>
      </c>
      <c r="W37" s="48">
        <v>1004</v>
      </c>
      <c r="X37" s="48">
        <v>0</v>
      </c>
      <c r="Y37" s="48">
        <v>532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265</v>
      </c>
      <c r="C38" s="73">
        <v>661</v>
      </c>
      <c r="D38" s="73">
        <v>878</v>
      </c>
      <c r="E38" s="73">
        <v>1262</v>
      </c>
      <c r="F38" s="73">
        <v>5732</v>
      </c>
      <c r="G38" s="73">
        <v>8414</v>
      </c>
      <c r="H38" s="73">
        <v>13469</v>
      </c>
      <c r="I38" s="73">
        <v>18227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0</v>
      </c>
      <c r="T38">
        <v>184</v>
      </c>
      <c r="U38" s="48">
        <v>141</v>
      </c>
      <c r="V38">
        <v>16</v>
      </c>
      <c r="W38">
        <v>779</v>
      </c>
      <c r="X38">
        <v>4317</v>
      </c>
      <c r="Y38">
        <v>8677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266</v>
      </c>
      <c r="C39" s="48">
        <v>243</v>
      </c>
      <c r="D39" s="48">
        <v>368</v>
      </c>
      <c r="E39" s="48">
        <v>538</v>
      </c>
      <c r="F39" s="48">
        <v>2709</v>
      </c>
      <c r="G39" s="48">
        <v>2586</v>
      </c>
      <c r="H39" s="48">
        <v>2692</v>
      </c>
      <c r="I39" s="48">
        <v>5856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-21</v>
      </c>
      <c r="T39">
        <v>0</v>
      </c>
      <c r="U39">
        <v>0</v>
      </c>
      <c r="V39">
        <v>-167</v>
      </c>
      <c r="W39">
        <v>-738</v>
      </c>
      <c r="X39">
        <v>-187</v>
      </c>
      <c r="Y39">
        <v>-6116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267</v>
      </c>
      <c r="C40" s="48">
        <v>140</v>
      </c>
      <c r="D40" s="48">
        <v>117</v>
      </c>
      <c r="E40" s="48">
        <v>93</v>
      </c>
      <c r="F40" s="48">
        <v>313</v>
      </c>
      <c r="G40" s="48">
        <v>971</v>
      </c>
      <c r="H40" s="48">
        <v>1053</v>
      </c>
      <c r="I40" s="48">
        <v>2492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-25</v>
      </c>
      <c r="T40">
        <v>-23</v>
      </c>
      <c r="U40">
        <v>-29</v>
      </c>
      <c r="V40" s="48">
        <v>-69</v>
      </c>
      <c r="W40">
        <v>-121</v>
      </c>
      <c r="X40">
        <v>-64</v>
      </c>
      <c r="Y40" s="48">
        <v>-161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268</v>
      </c>
      <c r="C41" s="48">
        <v>79</v>
      </c>
      <c r="D41" s="48">
        <v>110</v>
      </c>
      <c r="E41" s="48">
        <v>366</v>
      </c>
      <c r="F41" s="48">
        <v>1736</v>
      </c>
      <c r="G41" s="48">
        <v>3779</v>
      </c>
      <c r="H41" s="48">
        <v>7748</v>
      </c>
      <c r="I41" s="48">
        <v>6728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0</v>
      </c>
      <c r="T41" s="48">
        <v>0</v>
      </c>
      <c r="U41" s="48">
        <v>0</v>
      </c>
      <c r="V41" s="48">
        <v>0</v>
      </c>
      <c r="W41" s="48">
        <v>-1</v>
      </c>
      <c r="X41" s="48">
        <v>0</v>
      </c>
      <c r="Y41" s="48">
        <v>-58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269</v>
      </c>
      <c r="C42" s="48">
        <v>93</v>
      </c>
      <c r="D42" s="48">
        <v>78</v>
      </c>
      <c r="E42" s="48">
        <v>50</v>
      </c>
      <c r="F42" s="48">
        <v>441</v>
      </c>
      <c r="G42" s="48">
        <v>359</v>
      </c>
      <c r="H42" s="48">
        <v>639</v>
      </c>
      <c r="I42" s="48">
        <v>371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106</v>
      </c>
      <c r="D43" s="48">
        <v>204</v>
      </c>
      <c r="E43" s="48">
        <v>215</v>
      </c>
      <c r="F43" s="48">
        <v>533</v>
      </c>
      <c r="G43" s="48">
        <v>719</v>
      </c>
      <c r="H43" s="48">
        <v>1338</v>
      </c>
      <c r="I43" s="48">
        <v>2781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938</v>
      </c>
      <c r="D44" s="48">
        <v>1281</v>
      </c>
      <c r="E44" s="48">
        <v>2154</v>
      </c>
      <c r="F44" s="48">
        <v>7406</v>
      </c>
      <c r="G44" s="48">
        <v>11277</v>
      </c>
      <c r="H44" s="48">
        <v>19444</v>
      </c>
      <c r="I44" s="48">
        <v>29985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12</v>
      </c>
      <c r="T45">
        <v>-21</v>
      </c>
      <c r="U45">
        <v>126</v>
      </c>
      <c r="V45">
        <v>114</v>
      </c>
      <c r="W45">
        <v>-132</v>
      </c>
      <c r="X45">
        <v>388</v>
      </c>
      <c r="Y45">
        <v>264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s="33" t="str">
        <f>'Data Sheet'!B1</f>
        <v>Waaree Energies Ltd</v>
      </c>
      <c r="M56">
        <f>'Data Sheet'!B8</f>
        <v>2512</v>
      </c>
      <c r="N56" s="33">
        <f>'Data Sheet'!B6</f>
        <v>28.760748407643312</v>
      </c>
      <c r="AR56">
        <f>'Data Sheet'!B9</f>
        <v>72247</v>
      </c>
      <c r="AS56">
        <f>AZ56-BA56</f>
        <v>-3515</v>
      </c>
      <c r="AT56">
        <f>AR56+AS56</f>
        <v>68732</v>
      </c>
      <c r="AU56">
        <f>'Data Sheet'!K17</f>
        <v>26537</v>
      </c>
      <c r="AV56" s="33">
        <f>'Data Sheet'!K33</f>
        <v>10206</v>
      </c>
      <c r="AW56">
        <f>'Data Sheet'!K30</f>
        <v>3884</v>
      </c>
      <c r="AX56">
        <v>30.12</v>
      </c>
      <c r="AZ56">
        <f>'Data Sheet'!K59</f>
        <v>3213</v>
      </c>
      <c r="BA56">
        <f>'Data Sheet'!K69</f>
        <v>6728</v>
      </c>
    </row>
    <row r="57" spans="11:58" x14ac:dyDescent="0.3">
      <c r="K57">
        <v>1</v>
      </c>
      <c r="L57" t="s">
        <v>8612</v>
      </c>
      <c r="M57">
        <v>19073.55</v>
      </c>
      <c r="N57">
        <v>4.1900000000000004</v>
      </c>
      <c r="AR57">
        <v>79865.399999999994</v>
      </c>
      <c r="AS57">
        <f>AZ57-BA57</f>
        <v>15973.079999999998</v>
      </c>
      <c r="AT57">
        <f>AR57+AS57</f>
        <v>95838.48</v>
      </c>
      <c r="AU57">
        <v>26364.240000000002</v>
      </c>
      <c r="AV57">
        <v>3954.64</v>
      </c>
      <c r="AW57">
        <v>1869.8</v>
      </c>
      <c r="AX57">
        <v>31.81</v>
      </c>
      <c r="AZ57">
        <v>19966.349999999999</v>
      </c>
      <c r="BA57">
        <v>3993.27</v>
      </c>
    </row>
    <row r="58" spans="11:58" x14ac:dyDescent="0.3">
      <c r="K58">
        <v>2</v>
      </c>
      <c r="L58" t="s">
        <v>8613</v>
      </c>
      <c r="M58">
        <v>905.05</v>
      </c>
      <c r="N58">
        <v>45.4</v>
      </c>
      <c r="AR58">
        <v>41084.870000000003</v>
      </c>
      <c r="AS58">
        <f>AZ58-BA58</f>
        <v>8216.98</v>
      </c>
      <c r="AT58">
        <f>AR58+AS58</f>
        <v>49301.850000000006</v>
      </c>
      <c r="AU58">
        <v>9850.36</v>
      </c>
      <c r="AV58">
        <v>1477.55</v>
      </c>
      <c r="AW58">
        <v>1887.68</v>
      </c>
      <c r="AX58">
        <v>32.71</v>
      </c>
      <c r="AZ58">
        <v>10271.219999999999</v>
      </c>
      <c r="BA58">
        <v>2054.2399999999998</v>
      </c>
    </row>
    <row r="59" spans="11:58" x14ac:dyDescent="0.3">
      <c r="K59">
        <v>3</v>
      </c>
      <c r="L59" t="s">
        <v>8614</v>
      </c>
      <c r="M59">
        <v>342.85</v>
      </c>
      <c r="N59">
        <v>69.23</v>
      </c>
      <c r="AR59">
        <v>23737.06</v>
      </c>
      <c r="AS59">
        <f>AZ59-BA59</f>
        <v>4747.42</v>
      </c>
      <c r="AT59">
        <f>AR59+AS59</f>
        <v>28484.480000000003</v>
      </c>
      <c r="AU59">
        <v>6222.08</v>
      </c>
      <c r="AV59">
        <v>933.31</v>
      </c>
      <c r="AW59">
        <v>1521.16</v>
      </c>
      <c r="AX59">
        <v>44.62</v>
      </c>
      <c r="AZ59">
        <v>5934.27</v>
      </c>
      <c r="BA59">
        <v>1186.8499999999999</v>
      </c>
    </row>
    <row r="60" spans="11:58" x14ac:dyDescent="0.3">
      <c r="K60">
        <v>4</v>
      </c>
      <c r="L60" t="s">
        <v>8615</v>
      </c>
      <c r="M60">
        <v>371.2</v>
      </c>
      <c r="N60">
        <v>59.81</v>
      </c>
      <c r="AR60">
        <v>22200.38</v>
      </c>
      <c r="AS60">
        <f>AZ60-BA60</f>
        <v>4440.08</v>
      </c>
      <c r="AT60">
        <f>AR60+AS60</f>
        <v>26640.46</v>
      </c>
      <c r="AU60">
        <v>2829.24</v>
      </c>
      <c r="AV60">
        <v>424.39</v>
      </c>
      <c r="AW60">
        <v>228.36</v>
      </c>
      <c r="AX60">
        <v>24.2</v>
      </c>
      <c r="AZ60">
        <v>5550.1</v>
      </c>
      <c r="BA60">
        <v>1110.02</v>
      </c>
    </row>
    <row r="61" spans="11:58" x14ac:dyDescent="0.3">
      <c r="K61">
        <v>5</v>
      </c>
      <c r="L61" t="s">
        <v>8616</v>
      </c>
      <c r="M61">
        <v>7191</v>
      </c>
      <c r="N61">
        <v>3.08</v>
      </c>
      <c r="AR61">
        <v>22119.23</v>
      </c>
      <c r="AS61">
        <f>AZ61-BA61</f>
        <v>4423.8500000000004</v>
      </c>
      <c r="AT61">
        <f>AR61+AS61</f>
        <v>26543.08</v>
      </c>
      <c r="AU61">
        <v>1442.88</v>
      </c>
      <c r="AV61">
        <v>216.43</v>
      </c>
      <c r="AW61">
        <v>202</v>
      </c>
      <c r="AX61">
        <v>15.15</v>
      </c>
      <c r="AZ61">
        <v>5529.81</v>
      </c>
      <c r="BA61">
        <v>1105.96</v>
      </c>
    </row>
    <row r="62" spans="11:58" x14ac:dyDescent="0.3">
      <c r="K62">
        <v>6</v>
      </c>
      <c r="L62" t="s">
        <v>8617</v>
      </c>
      <c r="M62">
        <v>2510.4</v>
      </c>
      <c r="N62">
        <v>6.69</v>
      </c>
      <c r="AR62">
        <v>16790.11</v>
      </c>
      <c r="AS62">
        <f>AZ62-BA62</f>
        <v>3358.0199999999995</v>
      </c>
      <c r="AT62">
        <f>AR62+AS62</f>
        <v>20148.13</v>
      </c>
      <c r="AU62">
        <v>1937.64</v>
      </c>
      <c r="AV62">
        <v>290.64999999999998</v>
      </c>
      <c r="AW62">
        <v>139.47999999999999</v>
      </c>
      <c r="AX62">
        <v>19.29</v>
      </c>
      <c r="AZ62">
        <v>4197.53</v>
      </c>
      <c r="BA62">
        <v>839.51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2026-09-22T06:14:07Z</dcterms:modified>
</cp:coreProperties>
</file>