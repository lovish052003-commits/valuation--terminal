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DF0F6295-BFEC-4E67-8C8B-F80093A30CC1}"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F253" i="14"/>
  <c r="G253" i="14"/>
  <c r="H253" i="14"/>
  <c r="F254" i="14"/>
  <c r="G254" i="14"/>
  <c r="H254" i="14"/>
  <c r="F255" i="14"/>
  <c r="G255" i="14"/>
  <c r="H255" i="14"/>
  <c r="F256" i="14"/>
  <c r="G256" i="14"/>
  <c r="H256"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253" i="14"/>
  <c r="C253" i="14"/>
  <c r="D253" i="14"/>
  <c r="B254" i="14"/>
  <c r="C254" i="14"/>
  <c r="D254" i="14"/>
  <c r="B255" i="14"/>
  <c r="C255" i="14"/>
  <c r="D255" i="14"/>
  <c r="B256" i="14"/>
  <c r="C256" i="14"/>
  <c r="D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P28" i="19" l="1"/>
  <c r="P27" i="19"/>
  <c r="P26" i="19"/>
  <c r="P32" i="19" s="1"/>
  <c r="P34" i="19" s="1"/>
  <c r="P37" i="19" s="1"/>
  <c r="P39" i="19" s="1"/>
  <c r="P25" i="19"/>
  <c r="P24" i="19"/>
  <c r="P23" i="19"/>
  <c r="O28" i="19"/>
  <c r="O27" i="19"/>
  <c r="O26" i="19"/>
  <c r="O32" i="19" s="1"/>
  <c r="O34" i="19" s="1"/>
  <c r="O37" i="19" s="1"/>
  <c r="O39" i="19" s="1"/>
  <c r="O25" i="19"/>
  <c r="O24" i="19"/>
  <c r="O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<sst xmlns="http://schemas.openxmlformats.org/spreadsheetml/2006/main" count="16993" uniqueCount="8669">
  <si>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</si>
  <si>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</si>
  <si>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</si>
  <si>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</si>
  <si>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</si>
  <si>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</si>
  <si>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</si>
  <si>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</si>
  <si>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</si>
  <si>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</si>
  <si>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</si>
  <si>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</si>
  <si>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</si>
  <si>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</si>
  <si>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</si>
  <si>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</si>
  <si>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</si>
  <si>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</si>
  <si>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</si>
  <si>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</si>
  <si>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</si>
  <si>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</si>
  <si>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</si>
  <si>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</si>
  <si>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</si>
  <si>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</si>
  <si>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</si>
  <si>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</si>
  <si>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</si>
  <si>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</si>
  <si>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</si>
  <si>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</si>
  <si>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</si>
  <si>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</si>
  <si>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</si>
  <si>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</si>
  <si>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</si>
  <si>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</si>
  <si>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</si>
  <si>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</si>
  <si>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</si>
  <si>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</si>
  <si>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</si>
  <si>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</si>
  <si>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</si>
  <si>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</si>
  <si>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</si>
  <si>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</si>
  <si>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</si>
  <si>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</si>
  <si>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</si>
  <si>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</si>
  <si>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</si>
  <si>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</si>
  <si>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</si>
  <si>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</si>
  <si>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</si>
  <si>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</si>
  <si>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</si>
  <si>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</si>
  <si>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</si>
  <si>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</si>
  <si>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</si>
  <si>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</si>
  <si>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</si>
  <si>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</si>
  <si>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</si>
  <si>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</si>
  <si>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</si>
  <si>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</si>
  <si>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</si>
  <si>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</si>
  <si>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</si>
  <si>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</si>
  <si>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</si>
  <si>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</si>
  <si>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</si>
  <si>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</si>
  <si>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</si>
  <si>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</si>
  <si>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</si>
  <si>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</si>
  <si>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</si>
  <si>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</si>
  <si>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</si>
  <si>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</si>
  <si>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</si>
  <si>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</si>
  <si>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</si>
  <si>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</si>
  <si>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</si>
  <si>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</si>
  <si>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</si>
  <si>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</si>
  <si>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</si>
  <si>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</si>
  <si>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</si>
  <si>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</si>
  <si>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</si>
  <si>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</si>
  <si>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</si>
  <si>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</si>
  <si>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</si>
  <si>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</si>
  <si>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</si>
  <si>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</si>
  <si>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</si>
  <si>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</si>
  <si>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</si>
  <si>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</si>
  <si>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</si>
  <si>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</si>
  <si>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</si>
  <si>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</si>
  <si>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</si>
  <si>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</si>
  <si>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</si>
  <si>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</si>
  <si>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</si>
  <si>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</si>
  <si>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</si>
  <si>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</si>
  <si>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</si>
  <si>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</si>
  <si>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</si>
  <si>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</si>
  <si>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</si>
  <si>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</si>
  <si>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</si>
  <si>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</si>
  <si>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</si>
  <si>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</si>
  <si>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</si>
  <si>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</si>
  <si>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</si>
  <si>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</si>
  <si>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</si>
  <si>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</si>
  <si>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</si>
  <si>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</si>
  <si>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</si>
  <si>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</si>
  <si>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</si>
  <si>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</si>
  <si>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</si>
  <si>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</si>
  <si>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</si>
  <si>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</si>
  <si>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</si>
  <si>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</si>
  <si>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</si>
  <si>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</si>
  <si>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</si>
  <si>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</si>
  <si>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</si>
  <si>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</si>
  <si>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</si>
  <si>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</si>
  <si>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</si>
  <si>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</si>
  <si>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</si>
  <si>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</si>
  <si>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</si>
  <si>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</si>
  <si>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</si>
  <si>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</si>
  <si>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</si>
  <si>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</si>
  <si>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</si>
  <si>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</si>
  <si>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</si>
  <si>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</si>
  <si>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</si>
  <si>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</si>
  <si>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</si>
  <si>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</si>
  <si>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</si>
  <si>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</si>
  <si>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</si>
  <si>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</si>
  <si>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</si>
  <si>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</si>
  <si>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</si>
  <si>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</si>
  <si>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</si>
  <si>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</si>
  <si>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</si>
  <si>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</si>
  <si>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</si>
  <si>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</si>
  <si>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</si>
  <si>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</si>
  <si>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</si>
  <si>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</si>
  <si>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</si>
  <si>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</si>
  <si>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</si>
  <si>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</si>
  <si>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</si>
  <si>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</si>
  <si>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</si>
  <si>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</si>
  <si>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</si>
  <si>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</si>
  <si>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</si>
  <si>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</si>
  <si>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</si>
  <si>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</si>
  <si>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</si>
  <si>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</si>
  <si>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</si>
  <si>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</si>
  <si>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</si>
  <si>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</si>
  <si>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</si>
  <si>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</si>
  <si>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</si>
  <si>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</si>
  <si>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</si>
  <si>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</si>
  <si>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</si>
  <si>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</si>
  <si>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</si>
  <si>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</si>
  <si>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</si>
  <si>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</si>
  <si>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</si>
  <si>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</si>
  <si>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</si>
  <si>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</si>
  <si>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</si>
  <si>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</si>
  <si>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</si>
  <si>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</si>
  <si>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</si>
  <si>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</si>
  <si>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</si>
  <si>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</si>
  <si>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</si>
  <si>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</si>
  <si>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</si>
  <si>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</si>
  <si>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</si>
  <si>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</si>
  <si>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</si>
  <si>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</si>
  <si>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</si>
  <si>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</si>
  <si>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</si>
  <si>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</si>
  <si>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</si>
  <si>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</si>
  <si>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</si>
  <si>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</si>
  <si>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</si>
  <si>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</si>
  <si>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</si>
  <si>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</si>
  <si>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</si>
  <si>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</si>
  <si>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</si>
  <si>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</si>
  <si>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</si>
  <si>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</si>
  <si>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</si>
  <si>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</si>
  <si>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</si>
  <si>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</si>
  <si>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</si>
  <si>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</si>
  <si>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</si>
  <si>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</si>
  <si>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</si>
  <si>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</si>
  <si>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</si>
  <si>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</si>
  <si>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</si>
  <si>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</si>
  <si>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</si>
  <si>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</si>
  <si>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</si>
  <si>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</si>
  <si>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</si>
  <si>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</si>
  <si>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</si>
  <si>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</si>
  <si>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</si>
  <si>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</si>
  <si>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</si>
  <si>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</si>
  <si>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</si>
  <si>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</si>
  <si>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</si>
  <si>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</si>
  <si>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</si>
  <si>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</si>
  <si>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</si>
  <si>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</si>
  <si>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</si>
  <si>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</si>
  <si>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</si>
  <si>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</si>
  <si>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</si>
  <si>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</si>
  <si>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</si>
  <si>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</si>
  <si>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</si>
  <si>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</si>
  <si>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</si>
  <si>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</si>
  <si>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</si>
  <si>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</si>
  <si>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</si>
  <si>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</si>
  <si>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</si>
  <si>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</si>
  <si>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</si>
  <si>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</si>
  <si>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</si>
  <si>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</si>
  <si>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</si>
  <si>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</si>
  <si>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</si>
  <si>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</si>
  <si>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</si>
  <si>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</si>
  <si>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</si>
  <si>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</si>
  <si>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</si>
  <si>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</si>
  <si>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</si>
  <si>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</si>
  <si>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</si>
  <si>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</si>
  <si>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</si>
  <si>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</si>
  <si>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</si>
  <si>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</si>
  <si>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</si>
  <si>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</si>
  <si>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</si>
  <si>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</si>
  <si>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</si>
  <si>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</si>
  <si>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</si>
  <si>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</si>
  <si>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</si>
  <si>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</si>
  <si>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</si>
  <si>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</si>
  <si>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</si>
  <si>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</si>
  <si>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</si>
  <si>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</si>
  <si>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</si>
  <si>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</si>
  <si>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</si>
  <si>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</si>
  <si>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</si>
  <si>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</si>
  <si>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</si>
  <si>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</si>
  <si>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</si>
  <si>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</si>
  <si>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</si>
  <si>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</si>
  <si>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</si>
  <si>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</si>
  <si>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</si>
  <si>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</si>
  <si>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</si>
  <si>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</si>
  <si>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</si>
  <si>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</si>
  <si>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</si>
  <si>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</si>
  <si>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</si>
  <si>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</si>
  <si>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</si>
  <si>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</si>
  <si>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</si>
  <si>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</si>
  <si>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</si>
  <si>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</si>
  <si>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</si>
  <si>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</si>
  <si>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</si>
  <si>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</si>
  <si>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</si>
  <si>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</si>
  <si>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</si>
  <si>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</si>
  <si>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</si>
  <si>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</si>
  <si>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</si>
  <si>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</si>
  <si>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</si>
  <si>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</si>
  <si>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</si>
  <si>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</si>
  <si>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</si>
  <si>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</si>
  <si>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</si>
  <si>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</si>
  <si>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</si>
  <si>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</si>
  <si>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</si>
  <si>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</si>
  <si>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</si>
  <si>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</si>
  <si>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</si>
  <si>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</si>
  <si>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</si>
  <si>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</si>
  <si>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</si>
  <si>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</si>
  <si>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</si>
  <si>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</si>
  <si>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</si>
  <si>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</si>
  <si>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</si>
  <si>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</si>
  <si>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</si>
  <si>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</si>
  <si>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</si>
  <si>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</si>
  <si>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</si>
  <si>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</si>
  <si>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</si>
  <si>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</si>
  <si>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</si>
  <si>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</si>
  <si>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</si>
  <si>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</si>
  <si>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</si>
  <si>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</si>
  <si>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</si>
  <si>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</si>
  <si>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</si>
  <si>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</si>
  <si>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</si>
  <si>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</si>
  <si>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</si>
  <si>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</si>
  <si>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</si>
  <si>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</si>
  <si>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</si>
  <si>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</si>
  <si>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</si>
  <si>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</si>
  <si>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</si>
  <si>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</si>
  <si>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</si>
  <si>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</si>
  <si>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</si>
  <si>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</si>
  <si>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</si>
  <si>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</si>
  <si>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</si>
  <si>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</si>
  <si>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</si>
  <si>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</si>
  <si>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</si>
  <si>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</si>
  <si>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</si>
  <si>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</si>
  <si>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</si>
  <si>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</si>
  <si>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</si>
  <si>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</si>
  <si>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</si>
  <si>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</si>
  <si>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</si>
  <si>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</si>
  <si>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</si>
  <si>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</si>
  <si>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</si>
  <si>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</si>
  <si>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</si>
  <si>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</si>
  <si>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</si>
  <si>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</si>
  <si>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</si>
  <si>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</si>
  <si>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</si>
  <si>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</si>
  <si>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</si>
  <si>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</si>
  <si>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</si>
  <si>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</si>
  <si>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</si>
  <si>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</si>
  <si>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</si>
  <si>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</si>
  <si>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</si>
  <si>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</si>
  <si>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</si>
  <si>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</si>
  <si>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</si>
  <si>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</si>
  <si>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</si>
  <si>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</si>
  <si>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</si>
  <si>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</si>
  <si>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</si>
  <si>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</si>
  <si>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</si>
  <si>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</si>
  <si>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</si>
  <si>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</si>
  <si>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</si>
  <si>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</si>
  <si>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</si>
  <si>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</si>
  <si>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</si>
  <si>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</si>
  <si>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</si>
  <si>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</si>
  <si>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</si>
  <si>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</si>
  <si>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</si>
  <si>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</si>
  <si>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</si>
  <si>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</si>
  <si>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</si>
  <si>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</si>
  <si>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</si>
  <si>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</si>
  <si>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</si>
  <si>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</si>
  <si>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</si>
  <si>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</si>
  <si>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</si>
  <si>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</si>
  <si>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</si>
  <si>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</si>
  <si>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</si>
  <si>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</si>
  <si>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</si>
  <si>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</si>
  <si>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</si>
  <si>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</si>
  <si>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</si>
  <si>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</si>
  <si>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</si>
  <si>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</si>
  <si>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</si>
  <si>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</si>
  <si>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</si>
  <si>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</si>
  <si>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</si>
  <si>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</si>
  <si>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</si>
  <si>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</si>
  <si>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</si>
  <si>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</si>
  <si>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</si>
  <si>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</si>
  <si>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</si>
  <si>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</si>
  <si>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</si>
  <si>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</si>
  <si>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</si>
  <si>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</si>
  <si>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</si>
  <si>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</si>
  <si>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</si>
  <si>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</si>
  <si>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</si>
  <si>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</si>
  <si>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</si>
  <si>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</si>
  <si>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</si>
  <si>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</si>
  <si>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</si>
  <si>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</si>
  <si>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</si>
  <si>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</si>
  <si>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</si>
  <si>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</si>
  <si>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</si>
  <si>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</si>
  <si>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</si>
  <si>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</si>
  <si>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</si>
  <si>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</si>
  <si>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</si>
  <si>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</si>
  <si>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</si>
  <si>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</si>
  <si>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</si>
  <si>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</si>
  <si>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</si>
  <si>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</si>
  <si>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</si>
  <si>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</si>
  <si>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</si>
  <si>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</si>
  <si>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</si>
  <si>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</si>
  <si>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</si>
  <si>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</si>
  <si>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</si>
  <si>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</si>
  <si>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</si>
  <si>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</si>
  <si>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</si>
  <si>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</si>
  <si>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</si>
  <si>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</si>
  <si>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</si>
  <si>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</si>
  <si>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</si>
  <si>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</si>
  <si>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</si>
  <si>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</si>
  <si>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</si>
  <si>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</si>
  <si>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</si>
  <si>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</si>
  <si>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</si>
  <si>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</si>
  <si>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</si>
  <si>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</si>
  <si>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</si>
  <si>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</si>
  <si>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</si>
  <si>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</si>
  <si>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</si>
  <si>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</si>
  <si>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</si>
  <si>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</si>
  <si>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</si>
  <si>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</si>
  <si>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</si>
  <si>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</si>
  <si>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</si>
  <si>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</si>
  <si>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</si>
  <si>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</si>
  <si>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</si>
  <si>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</si>
  <si>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</si>
  <si>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</si>
  <si>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</si>
  <si>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</si>
  <si>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</si>
  <si>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</si>
  <si>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</si>
  <si>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</si>
  <si>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</si>
  <si>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</si>
  <si>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</si>
  <si>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</si>
  <si>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</si>
  <si>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</si>
  <si>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</si>
  <si>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</si>
  <si>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</si>
  <si>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</si>
  <si>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</si>
  <si>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</si>
  <si>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</si>
  <si>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</si>
  <si>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</si>
  <si>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</si>
  <si>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</si>
  <si>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</si>
  <si>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</si>
  <si>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</si>
  <si>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</si>
  <si>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</si>
  <si>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</si>
  <si>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</si>
  <si>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</si>
  <si>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</si>
  <si>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</si>
  <si>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</si>
  <si>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</si>
  <si>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</si>
  <si>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</si>
  <si>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</si>
  <si>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</si>
  <si>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</si>
  <si>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</si>
  <si>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</si>
  <si>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</si>
  <si>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</si>
  <si>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</si>
  <si>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</si>
  <si>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</si>
  <si>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</si>
  <si>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</si>
  <si>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</si>
  <si>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</si>
  <si>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</si>
  <si>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</si>
  <si>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</si>
  <si>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</si>
  <si>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</si>
  <si>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</si>
  <si>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</si>
  <si>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</si>
  <si>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</si>
  <si>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</si>
  <si>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</si>
  <si>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</si>
  <si>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</si>
  <si>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</si>
  <si>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</si>
  <si>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</si>
  <si>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</si>
  <si>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</si>
  <si>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</si>
  <si>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</si>
  <si>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</si>
  <si>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</si>
  <si>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</si>
  <si>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</si>
  <si>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</si>
  <si>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</si>
  <si>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</si>
  <si>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</si>
  <si>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</si>
  <si>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</si>
  <si>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</si>
  <si>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</si>
  <si>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</si>
  <si>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</si>
  <si>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</si>
  <si>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</si>
  <si>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</si>
  <si>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</si>
  <si>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</si>
  <si>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</si>
  <si>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</si>
  <si>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</si>
  <si>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</si>
  <si>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</si>
  <si>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</si>
  <si>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</si>
  <si>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</si>
  <si>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</si>
  <si>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</si>
  <si>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</si>
  <si>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</si>
  <si>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</si>
  <si>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</si>
  <si>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</si>
  <si>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</si>
  <si>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</si>
  <si>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</si>
  <si>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</si>
  <si>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</si>
  <si>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</si>
  <si>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</si>
  <si>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</si>
  <si>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</si>
  <si>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</si>
  <si>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</si>
  <si>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</si>
  <si>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</si>
  <si>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</si>
  <si>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</si>
  <si>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</si>
  <si>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</si>
  <si>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</si>
  <si>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</si>
  <si>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</si>
  <si>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</si>
  <si>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</si>
  <si>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</si>
  <si>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</si>
  <si>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</si>
  <si>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</si>
  <si>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</si>
  <si>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</si>
  <si>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</si>
  <si>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</si>
  <si>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</si>
  <si>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</si>
  <si>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</si>
  <si>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</si>
  <si>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</si>
  <si>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</si>
  <si>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</si>
  <si>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</si>
  <si>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</si>
  <si>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</si>
  <si>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</si>
  <si>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</si>
  <si>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</si>
  <si>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</si>
  <si>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</si>
  <si>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</si>
  <si>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</si>
  <si>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</si>
  <si>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</si>
  <si>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</si>
  <si>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</si>
  <si>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</si>
  <si>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</si>
  <si>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</si>
  <si>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</si>
  <si>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</si>
  <si>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</si>
  <si>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</si>
  <si>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</si>
  <si>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</si>
  <si>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</si>
  <si>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</si>
  <si>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</si>
  <si>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</si>
  <si>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</si>
  <si>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</si>
  <si>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</si>
  <si>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</si>
  <si>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</si>
  <si>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</si>
  <si>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</si>
  <si>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</si>
  <si>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</si>
  <si>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</si>
  <si>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</si>
  <si>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</si>
  <si>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</si>
  <si>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</si>
  <si>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</si>
  <si>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</si>
  <si>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</si>
  <si>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</si>
  <si>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</si>
  <si>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</si>
  <si>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</si>
  <si>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</si>
  <si>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</si>
  <si>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</si>
  <si>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</si>
  <si>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</si>
  <si>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</si>
  <si>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</si>
  <si>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</si>
  <si>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</si>
  <si>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</si>
  <si>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</si>
  <si>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</si>
  <si>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</si>
  <si>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</si>
  <si>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</si>
  <si>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</si>
  <si>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</si>
  <si>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</si>
  <si>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</si>
  <si>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</si>
  <si>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</si>
  <si>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</si>
  <si>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</si>
  <si>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</si>
  <si>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</si>
  <si>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</si>
  <si>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</si>
  <si>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</si>
  <si>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</si>
  <si>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</si>
  <si>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</si>
  <si>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</si>
  <si>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</si>
  <si>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</si>
  <si>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</si>
  <si>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</si>
  <si>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</si>
  <si>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</si>
  <si>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</si>
  <si>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</si>
  <si>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</si>
  <si>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</si>
  <si>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</si>
  <si>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</si>
  <si>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</si>
  <si>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</si>
  <si>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</si>
  <si>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</si>
  <si>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</si>
  <si>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</si>
  <si>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</si>
  <si>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</si>
  <si>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</si>
  <si>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</si>
  <si>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</si>
  <si>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</si>
  <si>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</si>
  <si>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</si>
  <si>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</si>
  <si>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</si>
  <si>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</si>
  <si>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</si>
  <si>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</si>
  <si>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</si>
  <si>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</si>
  <si>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</si>
  <si>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</si>
  <si>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</si>
  <si>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</si>
  <si>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</si>
  <si>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</si>
  <si>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</si>
  <si>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</si>
  <si>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</si>
  <si>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</si>
  <si>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</si>
  <si>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</si>
  <si>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</si>
  <si>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</si>
  <si>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</si>
  <si>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</si>
  <si>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</si>
  <si>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</si>
  <si>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</si>
  <si>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</si>
  <si>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</si>
  <si>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</si>
  <si>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</si>
  <si>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</si>
  <si>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</si>
  <si>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</si>
  <si>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</si>
  <si>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</si>
  <si>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</si>
  <si>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</si>
  <si>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</si>
  <si>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</si>
  <si>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</si>
  <si>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</si>
  <si>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</si>
  <si>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</si>
  <si>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</si>
  <si>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</si>
  <si>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</si>
  <si>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</si>
  <si>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</si>
  <si>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</si>
  <si>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</si>
  <si>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</si>
  <si>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</si>
  <si>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</si>
  <si>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</si>
  <si>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</si>
  <si>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</si>
  <si>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</si>
  <si>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</si>
  <si>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</si>
  <si>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</si>
  <si>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</si>
  <si>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</si>
  <si>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</si>
  <si>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</si>
  <si>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</si>
  <si>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</si>
  <si>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</si>
  <si>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</si>
  <si>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</si>
  <si>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</si>
  <si>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</si>
  <si>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</si>
  <si>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</si>
  <si>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</si>
  <si>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</si>
  <si>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</si>
  <si>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</si>
  <si>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</si>
  <si>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</si>
  <si>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</si>
  <si>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</si>
  <si>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</si>
  <si>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</si>
  <si>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</si>
  <si>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</si>
  <si>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</si>
  <si>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</si>
  <si>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</si>
  <si>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</si>
  <si>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</si>
  <si>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</si>
  <si>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</si>
  <si>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</si>
  <si>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</si>
  <si>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</si>
  <si>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</si>
  <si>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</si>
  <si>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</si>
  <si>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</si>
  <si>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</si>
  <si>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</si>
  <si>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</si>
  <si>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</si>
  <si>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</si>
  <si>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</si>
  <si>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</si>
  <si>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</si>
  <si>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</si>
  <si>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</si>
  <si>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</si>
  <si>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</si>
  <si>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</si>
  <si>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</si>
  <si>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</si>
  <si>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</si>
  <si>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</si>
  <si>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</si>
  <si>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</si>
  <si>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</si>
  <si>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</si>
  <si>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</si>
  <si>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</si>
  <si>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</si>
  <si>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</si>
  <si>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</si>
  <si>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</si>
  <si>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</si>
  <si>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</si>
  <si>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</si>
  <si>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</si>
  <si>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</si>
  <si>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</si>
  <si>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</si>
  <si>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</si>
  <si>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</si>
  <si>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</si>
  <si>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</si>
  <si>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</si>
  <si>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</si>
  <si>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</si>
  <si>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</si>
  <si>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</si>
  <si>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</si>
  <si>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</si>
  <si>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</si>
  <si>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</si>
  <si>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</si>
  <si>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</si>
  <si>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</si>
  <si>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</si>
  <si>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</si>
  <si>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</si>
  <si>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</si>
  <si>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</si>
  <si>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</si>
  <si>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</si>
  <si>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</si>
  <si>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</si>
  <si>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</si>
  <si>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</si>
  <si>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</si>
  <si>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</si>
  <si>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</si>
  <si>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</si>
  <si>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</si>
  <si>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</si>
  <si>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</si>
  <si>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</si>
  <si>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</si>
  <si>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</si>
  <si>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</si>
  <si>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</si>
  <si>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</si>
  <si>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</si>
  <si>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</si>
  <si>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</si>
  <si>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</si>
  <si>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</si>
  <si>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</si>
  <si>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</si>
  <si>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</si>
  <si>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</si>
  <si>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</si>
  <si>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</si>
  <si>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</si>
  <si>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</si>
  <si>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</si>
  <si>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</si>
  <si>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</si>
  <si>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</si>
  <si>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</si>
  <si>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</si>
  <si>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</si>
  <si>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</si>
  <si>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</si>
  <si>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</si>
  <si>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</si>
  <si>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</si>
  <si>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</si>
  <si>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</si>
  <si>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</si>
  <si>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</si>
  <si>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</si>
  <si>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</si>
  <si>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</si>
  <si>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</si>
  <si>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</si>
  <si>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</si>
  <si>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</si>
  <si>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</si>
  <si>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</si>
  <si>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</si>
  <si>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</si>
  <si>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</si>
  <si>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</si>
  <si>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</si>
  <si>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</si>
  <si>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</si>
  <si>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</si>
  <si>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</si>
  <si>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</si>
  <si>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</si>
  <si>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</si>
  <si>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</si>
  <si>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</si>
  <si>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</si>
  <si>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</si>
  <si>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</si>
  <si>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</si>
  <si>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</si>
  <si>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</si>
  <si>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</si>
  <si>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</si>
  <si>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</si>
  <si>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</si>
  <si>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</si>
  <si>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</si>
  <si>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</si>
  <si>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</si>
  <si>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</si>
  <si>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</si>
  <si>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</si>
  <si>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</si>
  <si>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</si>
  <si>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</si>
  <si>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</si>
  <si>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</si>
  <si>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</si>
  <si>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</si>
  <si>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</si>
  <si>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</si>
  <si>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</si>
  <si>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</si>
  <si>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</si>
  <si>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</si>
  <si>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</si>
  <si>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</si>
  <si>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</si>
  <si>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</si>
  <si>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</si>
  <si>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</si>
  <si>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</si>
  <si>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</si>
  <si>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</si>
  <si>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</si>
  <si>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</si>
  <si>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</si>
  <si>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</si>
  <si>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</si>
  <si>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</si>
  <si>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</si>
  <si>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</si>
  <si>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</si>
  <si>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</si>
  <si>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</si>
  <si>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</si>
  <si>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</si>
  <si>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</si>
  <si>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</si>
  <si>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</si>
  <si>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</si>
  <si>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</si>
  <si>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</si>
  <si>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</si>
  <si>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</si>
  <si>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</si>
  <si>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</si>
  <si>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</si>
  <si>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</si>
  <si>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</si>
  <si>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</si>
  <si>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</si>
  <si>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</si>
  <si>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</si>
  <si>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</si>
  <si>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</si>
  <si>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</si>
  <si>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</si>
  <si>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</si>
  <si>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</si>
  <si>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</si>
  <si>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</si>
  <si>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</si>
  <si>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</si>
  <si>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</si>
  <si>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</si>
  <si>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</si>
  <si>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</si>
  <si>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</si>
  <si>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</si>
  <si>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</si>
  <si>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</si>
  <si>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</si>
  <si>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</si>
  <si>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</si>
  <si>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</si>
  <si>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</si>
  <si>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</si>
  <si>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</si>
  <si>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</si>
  <si>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</si>
  <si>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</si>
  <si>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</si>
  <si>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</si>
  <si>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</si>
  <si>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</si>
  <si>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</si>
  <si>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</si>
  <si>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</si>
  <si>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</si>
  <si>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</si>
  <si>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</si>
  <si>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</si>
  <si>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</si>
  <si>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</si>
  <si>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</si>
  <si>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</si>
  <si>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</si>
  <si>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</si>
  <si>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</si>
  <si>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</si>
  <si>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</si>
  <si>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</si>
  <si>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</si>
  <si>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</si>
  <si>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</si>
  <si>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</si>
  <si>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</si>
  <si>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</si>
  <si>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</si>
  <si>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</si>
  <si>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</si>
  <si>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</si>
  <si>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</si>
  <si>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</si>
  <si>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</si>
  <si>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</si>
  <si>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</si>
  <si>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</si>
  <si>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</si>
  <si>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</si>
  <si>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</si>
  <si>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</si>
  <si>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</si>
  <si>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</si>
  <si>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</si>
  <si>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</si>
  <si>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</si>
  <si>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</si>
  <si>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</si>
  <si>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</si>
  <si>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</si>
  <si>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</si>
  <si>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</si>
  <si>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</si>
  <si>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</si>
  <si>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</si>
  <si>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</si>
  <si>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</si>
  <si>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</si>
  <si>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</si>
  <si>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</si>
  <si>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</si>
  <si>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</si>
  <si>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</si>
  <si>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</si>
  <si>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</si>
  <si>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</si>
  <si>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</si>
  <si>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</si>
  <si>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</si>
  <si>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</si>
  <si>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</si>
  <si>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</si>
  <si>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</si>
  <si>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</si>
  <si>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</si>
  <si>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</si>
  <si>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</si>
  <si>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</si>
  <si>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</si>
  <si>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</si>
  <si>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</si>
  <si>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</si>
  <si>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</si>
  <si>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</si>
  <si>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</si>
  <si>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</si>
  <si>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</si>
  <si>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</si>
  <si>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</si>
  <si>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</si>
  <si>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</si>
  <si>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</si>
  <si>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</si>
  <si>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</si>
  <si>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</si>
  <si>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</si>
  <si>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</si>
  <si>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</si>
  <si>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</si>
  <si>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</si>
  <si>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</si>
  <si>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</si>
  <si>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</si>
  <si>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</si>
  <si>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</si>
  <si>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</si>
  <si>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</si>
  <si>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</si>
  <si>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</si>
  <si>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</si>
  <si>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</si>
  <si>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</si>
  <si>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</si>
  <si>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</si>
  <si>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</si>
  <si>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</si>
  <si>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</si>
  <si>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</si>
  <si>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</si>
  <si>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</si>
  <si>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</si>
  <si>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</si>
  <si>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</si>
  <si>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</si>
  <si>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</si>
  <si>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</si>
  <si>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</si>
  <si>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</si>
  <si>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</si>
  <si>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</si>
  <si>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</si>
  <si>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</si>
  <si>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</si>
  <si>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</si>
  <si>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</si>
  <si>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</si>
  <si>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</si>
  <si>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</si>
  <si>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</si>
  <si>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</si>
  <si>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</si>
  <si>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</si>
  <si>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</si>
  <si>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</si>
  <si>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</si>
  <si>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</si>
  <si>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</si>
  <si>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</si>
  <si>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</si>
  <si>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</si>
  <si>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</si>
  <si>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</si>
  <si>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</si>
  <si>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</si>
  <si>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</si>
  <si>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</si>
  <si>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</si>
  <si>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</si>
  <si>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</si>
  <si>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</si>
  <si>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</si>
  <si>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</si>
  <si>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</si>
  <si>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</si>
  <si>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</si>
  <si>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</si>
  <si>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</si>
  <si>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</si>
  <si>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</si>
  <si>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</si>
  <si>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</si>
  <si>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</si>
  <si>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</si>
  <si>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</si>
  <si>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</si>
  <si>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</si>
  <si>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</si>
  <si>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</si>
  <si>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</si>
  <si>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</si>
  <si>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</si>
  <si>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</si>
  <si>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</si>
  <si>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</si>
  <si>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</si>
  <si>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</si>
  <si>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</si>
  <si>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</si>
  <si>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</si>
  <si>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</si>
  <si>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</si>
  <si>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</si>
  <si>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</si>
  <si>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</si>
  <si>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</si>
  <si>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</si>
  <si>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</si>
  <si>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</si>
  <si>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</si>
  <si>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</si>
  <si>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</si>
  <si>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</si>
  <si>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</si>
  <si>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</si>
  <si>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</si>
  <si>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</si>
  <si>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</si>
  <si>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</si>
  <si>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</si>
  <si>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</si>
  <si>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</si>
  <si>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</si>
  <si>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</si>
  <si>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</si>
  <si>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</si>
  <si>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</si>
  <si>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</si>
  <si>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</si>
  <si>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</si>
  <si>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</si>
  <si>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</si>
  <si>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</si>
  <si>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</si>
  <si>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</si>
  <si>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</si>
  <si>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</si>
  <si>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</si>
  <si>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</si>
  <si>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</si>
  <si>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</si>
  <si>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</si>
  <si>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</si>
  <si>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</si>
  <si>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</si>
  <si>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</si>
  <si>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</si>
  <si>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</si>
  <si>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</si>
  <si>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</si>
  <si>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</si>
  <si>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</si>
  <si>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</si>
  <si>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</si>
  <si>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</si>
  <si>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</si>
  <si>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</si>
  <si>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</si>
  <si>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</si>
  <si>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</si>
  <si>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</si>
  <si>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</si>
  <si>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</si>
  <si>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</si>
  <si>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</si>
  <si>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</si>
  <si>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</si>
  <si>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</si>
  <si>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</si>
  <si>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</si>
  <si>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</si>
  <si>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</si>
  <si>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</si>
  <si>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</si>
  <si>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</si>
  <si>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</si>
  <si>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</si>
  <si>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</si>
  <si>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</si>
  <si>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</si>
  <si>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</si>
  <si>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</si>
  <si>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</si>
  <si>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</si>
  <si>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</si>
  <si>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</si>
  <si>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</si>
  <si>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</si>
  <si>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</si>
  <si>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</si>
  <si>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</si>
  <si>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</si>
  <si>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</si>
  <si>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</si>
  <si>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</si>
  <si>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</si>
  <si>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</si>
  <si>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</si>
  <si>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</si>
  <si>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</si>
  <si>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</si>
  <si>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</si>
  <si>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</si>
  <si>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</si>
  <si>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</si>
  <si>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</si>
  <si>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</si>
  <si>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</si>
  <si>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</si>
  <si>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</si>
  <si>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</si>
  <si>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</si>
  <si>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</si>
  <si>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</si>
  <si>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</si>
  <si>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</si>
  <si>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</si>
  <si>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</si>
  <si>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</si>
  <si>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</si>
  <si>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</si>
  <si>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</si>
  <si>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</si>
  <si>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</si>
  <si>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</si>
  <si>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</si>
  <si>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</si>
  <si>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</si>
  <si>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</si>
  <si>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</si>
  <si>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</si>
  <si>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</si>
  <si>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</si>
  <si>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</si>
  <si>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</si>
  <si>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</si>
  <si>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</si>
  <si>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</si>
  <si>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</si>
  <si>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</si>
  <si>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</si>
  <si>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</si>
  <si>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</si>
  <si>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</si>
  <si>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</si>
  <si>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</si>
  <si>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</si>
  <si>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</si>
  <si>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</si>
  <si>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</si>
  <si>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</si>
  <si>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</si>
  <si>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</si>
  <si>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</si>
  <si>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</si>
  <si>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</si>
  <si>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</si>
  <si>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</si>
  <si>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</si>
  <si>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</si>
  <si>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</si>
  <si>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</si>
  <si>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</si>
  <si>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</si>
  <si>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</si>
  <si>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</si>
  <si>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</si>
  <si>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</si>
  <si>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</si>
  <si>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</si>
  <si>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</si>
  <si>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</si>
  <si>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</si>
  <si>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</si>
  <si>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</si>
  <si>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</si>
  <si>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</si>
  <si>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</si>
  <si>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</si>
  <si>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</si>
  <si>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</si>
  <si>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</si>
  <si>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</si>
  <si>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</si>
  <si>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</si>
  <si>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</si>
  <si>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</si>
  <si>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</si>
  <si>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</si>
  <si>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</si>
  <si>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</si>
  <si>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</si>
  <si>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</si>
  <si>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</si>
  <si>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</si>
  <si>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</si>
  <si>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</si>
  <si>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</si>
  <si>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</si>
  <si>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</si>
  <si>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</si>
  <si>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</si>
  <si>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</si>
  <si>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</si>
  <si>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</si>
  <si>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</si>
  <si>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</si>
  <si>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</si>
  <si>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</si>
  <si>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</si>
  <si>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</si>
  <si>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</si>
  <si>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</si>
  <si>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</si>
  <si>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</si>
  <si>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</si>
  <si>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</si>
  <si>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</si>
  <si>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</si>
  <si>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</si>
  <si>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</si>
  <si>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</si>
  <si>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</si>
  <si>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</si>
  <si>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</si>
  <si>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</si>
  <si>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</si>
  <si>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</si>
  <si>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</si>
  <si>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</si>
  <si>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</si>
  <si>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</si>
  <si>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</si>
  <si>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</si>
  <si>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</si>
  <si>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</si>
  <si>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</si>
  <si>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</si>
  <si>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</si>
  <si>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</si>
  <si>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</si>
  <si>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</si>
  <si>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</si>
  <si>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</si>
  <si>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</si>
  <si>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</si>
  <si>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</si>
  <si>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</si>
  <si>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</si>
  <si>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</si>
  <si>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</si>
  <si>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</si>
  <si>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</si>
  <si>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</si>
  <si>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</si>
  <si>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</si>
  <si>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</si>
  <si>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</si>
  <si>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</si>
  <si>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</si>
  <si>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</si>
  <si>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</si>
  <si>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</si>
  <si>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</si>
  <si>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</si>
  <si>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</si>
  <si>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</si>
  <si>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</si>
  <si>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</si>
  <si>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</si>
  <si>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</si>
  <si>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</si>
  <si>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</si>
  <si>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</si>
  <si>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</si>
  <si>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</si>
  <si>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</si>
  <si>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</si>
  <si>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</si>
  <si>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</si>
  <si>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</si>
  <si>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</si>
  <si>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</si>
  <si>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</si>
  <si>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</si>
  <si>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</si>
  <si>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</si>
  <si>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</si>
  <si>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</si>
  <si>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</si>
  <si>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</si>
  <si>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</si>
  <si>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</si>
  <si>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</si>
  <si>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</si>
  <si>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</si>
  <si>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</si>
  <si>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</si>
  <si>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</si>
  <si>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</si>
  <si>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</si>
  <si>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</si>
  <si>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</si>
  <si>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</si>
  <si>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</si>
  <si>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</si>
  <si>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</si>
  <si>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</si>
  <si>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</si>
  <si>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</si>
  <si>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</si>
  <si>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</si>
  <si>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</si>
  <si>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</si>
  <si>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</si>
  <si>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</si>
  <si>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</si>
  <si>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</si>
  <si>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</si>
  <si>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</si>
  <si>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</si>
  <si>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</si>
  <si>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</si>
  <si>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</si>
  <si>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</si>
  <si>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</si>
  <si>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</si>
  <si>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</si>
  <si>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</si>
  <si>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</si>
  <si>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</si>
  <si>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</si>
  <si>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</si>
  <si>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</si>
  <si>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</si>
  <si>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</si>
  <si>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</si>
  <si>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</si>
  <si>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</si>
  <si>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</si>
  <si>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</si>
  <si>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</si>
  <si>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</si>
  <si>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</si>
  <si>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</si>
  <si>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</si>
  <si>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</si>
  <si>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</si>
  <si>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</si>
  <si>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</si>
  <si>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</si>
  <si>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</si>
  <si>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</si>
  <si>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</si>
  <si>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</si>
  <si>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</si>
  <si>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</si>
  <si>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</si>
  <si>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</si>
  <si>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</si>
  <si>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</si>
  <si>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</si>
  <si>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</si>
  <si>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</si>
  <si>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</si>
  <si>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</si>
  <si>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</si>
  <si>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</si>
  <si>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</si>
  <si>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</si>
  <si>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</si>
  <si>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</si>
  <si>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</si>
  <si>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</si>
  <si>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</si>
  <si>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</si>
  <si>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</si>
  <si>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</si>
  <si>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</si>
  <si>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</si>
  <si>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</si>
  <si>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</si>
  <si>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</si>
  <si>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</si>
  <si>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</si>
  <si>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</si>
  <si>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</si>
  <si>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</si>
  <si>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</si>
  <si>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</si>
  <si>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</si>
  <si>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</si>
  <si>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</si>
  <si>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</si>
  <si>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</si>
  <si>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</si>
  <si>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</si>
  <si>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</si>
  <si>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</si>
  <si>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</si>
  <si>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</si>
  <si>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</si>
  <si>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</si>
  <si>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</si>
  <si>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</si>
  <si>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</si>
  <si>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</si>
  <si>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</si>
  <si>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</si>
  <si>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</si>
  <si>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</si>
  <si>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</si>
  <si>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</si>
  <si>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</si>
  <si>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</si>
  <si>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</si>
  <si>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</si>
  <si>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</si>
  <si>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</si>
  <si>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</si>
  <si>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</si>
  <si>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</si>
  <si>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</si>
  <si>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</si>
  <si>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</si>
  <si>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</si>
  <si>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</si>
  <si>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</si>
  <si>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</si>
  <si>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</si>
  <si>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</si>
  <si>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</si>
  <si>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</si>
  <si>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</si>
  <si>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</si>
  <si>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</si>
  <si>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</si>
  <si>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</si>
  <si>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</si>
  <si>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</si>
  <si>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</si>
  <si>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</si>
  <si>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</si>
  <si>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</si>
  <si>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</si>
  <si>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</si>
  <si>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</si>
  <si>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</si>
  <si>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</si>
  <si>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</si>
  <si>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</si>
  <si>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</si>
  <si>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</si>
  <si>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</si>
  <si>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</si>
  <si>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</si>
  <si>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</si>
  <si>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</si>
  <si>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</si>
  <si>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</si>
  <si>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</si>
  <si>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</si>
  <si>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</si>
  <si>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</si>
  <si>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</si>
  <si>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</si>
  <si>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</si>
  <si>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</si>
  <si>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</si>
  <si>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</si>
  <si>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</si>
  <si>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</si>
  <si>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</si>
  <si>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</si>
  <si>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</si>
  <si>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</si>
  <si>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</si>
  <si>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</si>
  <si>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</si>
  <si>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</si>
  <si>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</si>
  <si>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</si>
  <si>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</si>
  <si>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</si>
  <si>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</si>
  <si>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</si>
  <si>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</si>
  <si>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</si>
  <si>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</si>
  <si>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</si>
  <si>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</si>
  <si>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</si>
  <si>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</si>
  <si>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</si>
  <si>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</si>
  <si>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</si>
  <si>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</si>
  <si>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</si>
  <si>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</si>
  <si>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</si>
  <si>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</si>
  <si>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</si>
  <si>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</si>
  <si>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</si>
  <si>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</si>
  <si>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</si>
  <si>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</si>
  <si>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</si>
  <si>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</si>
  <si>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</si>
  <si>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</si>
  <si>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</si>
  <si>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</si>
  <si>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</si>
  <si>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</si>
  <si>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</si>
  <si>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</si>
  <si>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</si>
  <si>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</si>
  <si>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</si>
  <si>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</si>
  <si>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</si>
  <si>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</si>
  <si>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</si>
  <si>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</si>
  <si>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</si>
  <si>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</si>
  <si>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</si>
  <si>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</si>
  <si>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</si>
  <si>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</si>
  <si>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</si>
  <si>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</si>
  <si>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</si>
  <si>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</si>
  <si>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</si>
  <si>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</si>
  <si>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</si>
  <si>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</si>
  <si>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</si>
  <si>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</si>
  <si>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</si>
  <si>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</si>
  <si>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</si>
  <si>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</si>
  <si>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</si>
  <si>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</si>
  <si>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</si>
  <si>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</si>
  <si>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</si>
  <si>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</si>
  <si>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</si>
  <si>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</si>
  <si>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</si>
  <si>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</si>
  <si>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</si>
  <si>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</si>
  <si>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</si>
  <si>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</si>
  <si>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</si>
  <si>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</si>
  <si>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</si>
  <si>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</si>
  <si>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</si>
  <si>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</si>
  <si>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</si>
  <si>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</si>
  <si>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</si>
  <si>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</si>
  <si>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</si>
  <si>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</si>
  <si>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</si>
  <si>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</si>
  <si>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</si>
  <si>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</si>
  <si>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</si>
  <si>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</si>
  <si>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</si>
  <si>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</si>
  <si>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</si>
  <si>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</si>
  <si>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</si>
  <si>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</si>
  <si>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</si>
  <si>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</si>
  <si>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</si>
  <si>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</si>
  <si>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</si>
  <si>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</si>
  <si>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</si>
  <si>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</si>
  <si>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</si>
  <si>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</si>
  <si>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</si>
  <si>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</si>
  <si>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</si>
  <si>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</si>
  <si>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</si>
  <si>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</si>
  <si>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</si>
  <si>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</si>
  <si>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</si>
  <si>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</si>
  <si>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</si>
  <si>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</si>
  <si>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</si>
  <si>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</si>
  <si>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</si>
  <si>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</si>
  <si>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</si>
  <si>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</si>
  <si>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</si>
  <si>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</si>
  <si>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</si>
  <si>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</si>
  <si>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</si>
  <si>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</si>
  <si>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</si>
  <si>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</si>
  <si>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</si>
  <si>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</si>
  <si>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</si>
  <si>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</si>
  <si>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</si>
  <si>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</si>
  <si>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</si>
  <si>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</si>
  <si>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</si>
  <si>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</si>
  <si>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</si>
  <si>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</si>
  <si>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</si>
  <si>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</si>
  <si>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</si>
  <si>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</si>
  <si>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</si>
  <si>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</si>
  <si>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</si>
  <si>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</si>
  <si>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</si>
  <si>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</si>
  <si>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</si>
  <si>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</si>
  <si>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</si>
  <si>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</si>
  <si>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</si>
  <si>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</si>
  <si>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</si>
  <si>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</si>
  <si>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</si>
  <si>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</si>
  <si>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</si>
  <si>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</si>
  <si>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</si>
  <si>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</si>
  <si>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</si>
  <si>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</si>
  <si>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</si>
  <si>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</si>
  <si>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</si>
  <si>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</si>
  <si>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</si>
  <si>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</si>
  <si>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</si>
  <si>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</si>
  <si>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</si>
  <si>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</si>
  <si>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</si>
  <si>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</si>
  <si>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</si>
  <si>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</si>
  <si>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</si>
  <si>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</si>
  <si>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</si>
  <si>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</si>
  <si>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</si>
  <si>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</si>
  <si>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</si>
  <si>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</si>
  <si>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</si>
  <si>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</si>
  <si>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</si>
  <si>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</si>
  <si>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</si>
  <si>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</si>
  <si>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</si>
  <si>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</si>
  <si>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</si>
  <si>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</si>
  <si>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</si>
  <si>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</si>
  <si>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</si>
  <si>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</si>
  <si>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</si>
  <si>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</si>
  <si>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</si>
  <si>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</si>
  <si>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</si>
  <si>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</si>
  <si>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</si>
  <si>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</si>
  <si>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</si>
  <si>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</si>
  <si>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</si>
  <si>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</si>
  <si>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</si>
  <si>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</si>
  <si>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</si>
  <si>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</si>
  <si>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</si>
  <si>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</si>
  <si>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</si>
  <si>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</si>
  <si>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</si>
  <si>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</si>
  <si>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</si>
  <si>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</si>
  <si>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</si>
  <si>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</si>
  <si>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</si>
  <si>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</si>
  <si>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</si>
  <si>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</si>
  <si>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</si>
  <si>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</si>
  <si>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</si>
  <si>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</si>
  <si>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</si>
  <si>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</si>
  <si>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</si>
  <si>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</si>
  <si>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</si>
  <si>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</si>
  <si>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</si>
  <si>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</si>
  <si>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</si>
  <si>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</si>
  <si>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</si>
  <si>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</si>
  <si>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</si>
  <si>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</si>
  <si>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</si>
  <si>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</si>
  <si>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</si>
  <si>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</si>
  <si>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</si>
  <si>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</si>
  <si>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</si>
  <si>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</si>
  <si>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</si>
  <si>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</si>
  <si>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</si>
  <si>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</si>
  <si>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</si>
  <si>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</si>
  <si>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</si>
  <si>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</si>
  <si>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</si>
  <si>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</si>
  <si>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</si>
  <si>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</si>
  <si>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</si>
  <si>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</si>
  <si>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</si>
  <si>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</si>
  <si>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</si>
  <si>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</si>
  <si>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</si>
  <si>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</si>
  <si>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</si>
  <si>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</si>
  <si>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</si>
  <si>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</si>
  <si>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</si>
  <si>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</si>
  <si>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</si>
  <si>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</si>
  <si>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</si>
  <si>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</si>
  <si>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</si>
  <si>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</si>
  <si>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</si>
  <si>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</si>
  <si>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</si>
  <si>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</si>
  <si>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</si>
  <si>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</si>
  <si>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</si>
  <si>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</si>
  <si>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</si>
  <si>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</si>
  <si>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</si>
  <si>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</si>
  <si>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</si>
  <si>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</si>
  <si>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</si>
  <si>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</si>
  <si>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</si>
  <si>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</si>
  <si>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</si>
  <si>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</si>
  <si>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</si>
  <si>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</si>
  <si>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</si>
  <si>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</si>
  <si>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</si>
  <si>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</si>
  <si>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</si>
  <si>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</si>
  <si>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</si>
  <si>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</si>
  <si>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</si>
  <si>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</si>
  <si>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</si>
  <si>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</si>
  <si>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</si>
  <si>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</si>
  <si>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</si>
  <si>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</si>
  <si>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</si>
  <si>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</si>
  <si>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</si>
  <si>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</si>
  <si>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</si>
  <si>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</si>
  <si>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</si>
  <si>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</si>
  <si>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</si>
  <si>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</si>
  <si>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</si>
  <si>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</si>
  <si>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</si>
  <si>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</si>
  <si>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</si>
  <si>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</si>
  <si>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</si>
  <si>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</si>
  <si>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</si>
  <si>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</si>
  <si>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</si>
  <si>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</si>
  <si>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</si>
  <si>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</si>
  <si>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</si>
  <si>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</si>
  <si>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</si>
  <si>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</si>
  <si>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</si>
  <si>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</si>
  <si>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</si>
  <si>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</si>
  <si>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</si>
  <si>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</si>
  <si>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</si>
  <si>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</si>
  <si>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</si>
  <si>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</si>
  <si>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</si>
  <si>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</si>
  <si>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</si>
  <si>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</si>
  <si>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</si>
  <si>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</si>
  <si>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</si>
  <si>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</si>
  <si>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</si>
  <si>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</si>
  <si>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</si>
  <si>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</si>
  <si>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</si>
  <si>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</si>
  <si>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</si>
  <si>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</si>
  <si>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</si>
  <si>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</si>
  <si>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</si>
  <si>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</si>
  <si>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</si>
  <si>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</si>
  <si>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</si>
  <si>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</si>
  <si>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</si>
  <si>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</si>
  <si>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</si>
  <si>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</si>
  <si>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</si>
  <si>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</si>
  <si>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</si>
  <si>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</si>
  <si>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</si>
  <si>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</si>
  <si>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</si>
  <si>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</si>
  <si>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</si>
  <si>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</si>
  <si>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</si>
  <si>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</si>
  <si>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</si>
  <si>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</si>
  <si>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</si>
  <si>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</si>
  <si>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</si>
  <si>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</si>
  <si>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</si>
  <si>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</si>
  <si>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</si>
  <si>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</si>
  <si>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</si>
  <si>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</si>
  <si>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</si>
  <si>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</si>
  <si>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</si>
  <si>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</si>
  <si>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</si>
  <si>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</si>
  <si>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</si>
  <si>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</si>
  <si>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</si>
  <si>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</si>
  <si>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</si>
  <si>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</si>
  <si>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</si>
  <si>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</si>
  <si>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</si>
  <si>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</si>
  <si>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</si>
  <si>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</si>
  <si>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</si>
  <si>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</si>
  <si>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</si>
  <si>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</si>
  <si>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</si>
  <si>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</si>
  <si>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</si>
  <si>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</si>
  <si>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</si>
  <si>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</si>
  <si>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</si>
  <si>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</si>
  <si>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</si>
  <si>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</si>
  <si>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</si>
  <si>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</si>
  <si>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</si>
  <si>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</si>
  <si>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</si>
  <si>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</si>
  <si>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</si>
  <si>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</si>
  <si>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</si>
  <si>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</si>
  <si>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</si>
  <si>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</si>
  <si>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</si>
  <si>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</si>
  <si>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</si>
  <si>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</si>
  <si>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</si>
  <si>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</si>
  <si>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</si>
  <si>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</si>
  <si>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</si>
  <si>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</si>
  <si>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</si>
  <si>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</si>
  <si>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</si>
  <si>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</si>
  <si>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</si>
  <si>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</si>
  <si>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</si>
  <si>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</si>
  <si>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</si>
  <si>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</si>
  <si>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</si>
  <si>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</si>
  <si>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</si>
  <si>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</si>
  <si>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</si>
  <si>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</si>
  <si>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</si>
  <si>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</si>
  <si>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</si>
  <si>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</si>
  <si>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</si>
  <si>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</si>
  <si>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</si>
  <si>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</si>
  <si>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</si>
  <si>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</si>
  <si>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</si>
  <si>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</si>
  <si>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</si>
  <si>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</si>
  <si>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</si>
  <si>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</si>
  <si>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</si>
  <si>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</si>
  <si>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</si>
  <si>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</si>
  <si>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</si>
  <si>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</si>
  <si>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</si>
  <si>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</si>
  <si>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</si>
  <si>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</si>
  <si>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</si>
  <si>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</si>
  <si>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</si>
  <si>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</si>
  <si>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</si>
  <si>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</si>
  <si>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</si>
  <si>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</si>
  <si>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</si>
  <si>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</si>
  <si>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</si>
  <si>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</si>
  <si>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</si>
  <si>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</si>
  <si>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</si>
  <si>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</si>
  <si>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</si>
  <si>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</si>
  <si>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</si>
  <si>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</si>
  <si>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</si>
  <si>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</si>
  <si>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</si>
  <si>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</si>
  <si>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</si>
  <si>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</si>
  <si>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</si>
  <si>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</si>
  <si>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</si>
  <si>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</si>
  <si>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</si>
  <si>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</si>
  <si>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</si>
  <si>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</si>
  <si>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</si>
  <si>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</si>
  <si>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</si>
  <si>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</si>
  <si>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</si>
  <si>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</si>
  <si>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</si>
  <si>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</si>
  <si>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</si>
  <si>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</si>
  <si>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</si>
  <si>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</si>
  <si>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</si>
  <si>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</si>
  <si>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</si>
  <si>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</si>
  <si>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</si>
  <si>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</si>
  <si>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</si>
  <si>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</si>
  <si>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</si>
  <si>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</si>
  <si>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</si>
  <si>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</si>
  <si>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</si>
  <si>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</si>
  <si>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</si>
  <si>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</si>
  <si>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</si>
  <si>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</si>
  <si>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</si>
  <si>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</si>
  <si>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</si>
  <si>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</si>
  <si>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</si>
  <si>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</si>
  <si>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</si>
  <si>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</si>
  <si>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</si>
  <si>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</si>
  <si>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</si>
  <si>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</si>
  <si>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</si>
  <si>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</si>
  <si>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</si>
  <si>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</si>
  <si>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</si>
  <si>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</si>
  <si>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</si>
  <si>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</si>
  <si>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</si>
  <si>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</si>
  <si>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</si>
  <si>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</si>
  <si>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</si>
  <si>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</si>
  <si>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</si>
  <si>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</si>
  <si>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</si>
  <si>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</si>
  <si>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</si>
  <si>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</si>
  <si>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</si>
  <si>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</si>
  <si>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</si>
  <si>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</si>
  <si>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</si>
  <si>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</si>
  <si>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</si>
  <si>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</si>
  <si>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</si>
  <si>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</si>
  <si>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</si>
  <si>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</si>
  <si>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</si>
  <si>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</si>
  <si>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</si>
  <si>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</si>
  <si>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</si>
  <si>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</si>
  <si>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</si>
  <si>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</si>
  <si>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</si>
  <si>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</si>
  <si>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</si>
  <si>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</si>
  <si>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</si>
  <si>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</si>
  <si>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</si>
  <si>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</si>
  <si>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</si>
  <si>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</si>
  <si>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</si>
  <si>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</si>
  <si>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</si>
  <si>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</si>
  <si>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</si>
  <si>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</si>
  <si>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</si>
  <si>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</si>
  <si>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</si>
  <si>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</si>
  <si>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</si>
  <si>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</si>
  <si>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</si>
  <si>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</si>
  <si>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</si>
  <si>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</si>
  <si>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</si>
  <si>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</si>
  <si>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</si>
  <si>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</si>
  <si>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</si>
  <si>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</si>
  <si>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</si>
  <si>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</si>
  <si>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</si>
  <si>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</si>
  <si>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</si>
  <si>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</si>
  <si>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</si>
  <si>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</si>
  <si>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</si>
  <si>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</si>
  <si>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</si>
  <si>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</si>
  <si>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</si>
  <si>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</si>
  <si>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</si>
  <si>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</si>
  <si>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</si>
  <si>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</si>
  <si>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</si>
  <si>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</si>
  <si>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</si>
  <si>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</si>
  <si>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</si>
  <si>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</si>
  <si>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</si>
  <si>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</si>
  <si>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</si>
  <si>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</si>
  <si>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</si>
  <si>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</si>
  <si>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</si>
  <si>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</si>
  <si>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</si>
  <si>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</si>
  <si>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</si>
  <si>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</si>
  <si>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</si>
  <si>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</si>
  <si>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</si>
  <si>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</si>
  <si>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</si>
  <si>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</si>
  <si>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</si>
  <si>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</si>
  <si>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</si>
  <si>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</si>
  <si>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</si>
  <si>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</si>
  <si>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</si>
  <si>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</si>
  <si>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</si>
  <si>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</si>
  <si>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</si>
  <si>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</si>
  <si>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</si>
  <si>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</si>
  <si>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</si>
  <si>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</si>
  <si>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</si>
  <si>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</si>
  <si>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</si>
  <si>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</si>
  <si>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</si>
  <si>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</si>
  <si>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</si>
  <si>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</si>
  <si>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</si>
  <si>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</si>
  <si>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</si>
  <si>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</si>
  <si>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</si>
  <si>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</si>
  <si>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</si>
  <si>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</si>
  <si>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</si>
  <si>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</si>
  <si>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</si>
  <si>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</si>
  <si>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</si>
  <si>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</si>
  <si>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</si>
  <si>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</si>
  <si>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</si>
  <si>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</si>
  <si>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</si>
  <si>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</si>
  <si>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</si>
  <si>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</si>
  <si>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</si>
  <si>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</si>
  <si>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</si>
  <si>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</si>
  <si>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</si>
  <si>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</si>
  <si>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</si>
  <si>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</si>
  <si>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</si>
  <si>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</si>
  <si>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</si>
  <si>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</si>
  <si>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</si>
  <si>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</si>
  <si>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</si>
  <si>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</si>
  <si>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</si>
  <si>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</si>
  <si>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</si>
  <si>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</si>
  <si>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</si>
  <si>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</si>
  <si>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</si>
  <si>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</si>
  <si>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</si>
  <si>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</si>
  <si>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</si>
  <si>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</si>
  <si>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</si>
  <si>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</si>
  <si>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</si>
  <si>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</si>
  <si>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</si>
  <si>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</si>
  <si>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</si>
  <si>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</si>
  <si>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</si>
  <si>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</si>
  <si>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</si>
  <si>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</si>
  <si>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</si>
  <si>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</si>
  <si>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</si>
  <si>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</si>
  <si>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</si>
  <si>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</si>
  <si>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</si>
  <si>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</si>
  <si>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</si>
  <si>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</si>
  <si>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</si>
  <si>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</si>
  <si>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</si>
  <si>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</si>
  <si>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</si>
  <si>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</si>
  <si>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</si>
  <si>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</si>
  <si>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</si>
  <si>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</si>
  <si>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</si>
  <si>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</si>
  <si>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</si>
  <si>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</si>
  <si>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</si>
  <si>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</si>
  <si>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</si>
  <si>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</si>
  <si>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</si>
  <si>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</si>
  <si>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</si>
  <si>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</si>
  <si>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</si>
  <si>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</si>
  <si>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</si>
  <si>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</si>
  <si>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</si>
  <si>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</si>
  <si>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</si>
  <si>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</si>
  <si>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</si>
  <si>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</si>
  <si>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</si>
  <si>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</si>
  <si>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</si>
  <si>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</si>
  <si>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</si>
  <si>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</si>
  <si>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</si>
  <si>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</si>
  <si>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</si>
  <si>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</si>
  <si>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</si>
  <si>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</si>
  <si>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</si>
  <si>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</si>
  <si>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</si>
  <si>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</si>
  <si>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</si>
  <si>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</si>
  <si>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</si>
  <si>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</si>
  <si>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</si>
  <si>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</si>
  <si>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</si>
  <si>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</si>
  <si>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</si>
  <si>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</si>
  <si>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</si>
  <si>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</si>
  <si>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</si>
  <si>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</si>
  <si>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</si>
  <si>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</si>
  <si>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</si>
  <si>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</si>
  <si>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</si>
  <si>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</si>
  <si>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</si>
  <si>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</si>
  <si>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</si>
  <si>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</si>
  <si>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</si>
  <si>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</si>
  <si>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</si>
  <si>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</si>
  <si>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</si>
  <si>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</si>
  <si>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</si>
  <si>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</si>
  <si>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</si>
  <si>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</si>
  <si>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</si>
  <si>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</si>
  <si>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</si>
  <si>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</si>
  <si>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</si>
  <si>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</si>
  <si>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</si>
  <si>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</si>
  <si>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</si>
  <si>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</si>
  <si>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</si>
  <si>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</si>
  <si>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</si>
  <si>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</si>
  <si>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</si>
  <si>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</si>
  <si>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</si>
  <si>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</si>
  <si>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</si>
  <si>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</si>
  <si>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</si>
  <si>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</si>
  <si>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</si>
  <si>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</si>
  <si>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</si>
  <si>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</si>
  <si>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</si>
  <si>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</si>
  <si>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</si>
  <si>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</si>
  <si>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</si>
  <si>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</si>
  <si>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</si>
  <si>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</si>
  <si>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</si>
  <si>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</si>
  <si>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</si>
  <si>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</si>
  <si>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</si>
  <si>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</si>
  <si>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</si>
  <si>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</si>
  <si>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</si>
  <si>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</si>
  <si>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</si>
  <si>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</si>
  <si>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</si>
  <si>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</si>
  <si>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</si>
  <si>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</si>
  <si>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</si>
  <si>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</si>
  <si>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</si>
  <si>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</si>
  <si>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</si>
  <si>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</si>
  <si>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</si>
  <si>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</si>
  <si>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</si>
  <si>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</si>
  <si>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</si>
  <si>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</si>
  <si>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</si>
  <si>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</si>
  <si>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</si>
  <si>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</si>
  <si>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</si>
  <si>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</si>
  <si>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</si>
  <si>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</si>
  <si>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</si>
  <si>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</si>
  <si>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</si>
  <si>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</si>
  <si>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</si>
  <si>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</si>
  <si>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</si>
  <si>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</si>
  <si>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</si>
  <si>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</si>
  <si>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</si>
  <si>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</si>
  <si>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</si>
  <si>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</si>
  <si>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</si>
  <si>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</si>
  <si>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</si>
  <si>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</si>
  <si>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</si>
  <si>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</si>
  <si>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</si>
  <si>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</si>
  <si>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</si>
  <si>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</si>
  <si>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</si>
  <si>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</si>
  <si>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</si>
  <si>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</si>
  <si>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</si>
  <si>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</si>
  <si>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</si>
  <si>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</si>
  <si>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</si>
  <si>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</si>
  <si>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</si>
  <si>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</si>
  <si>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</si>
  <si>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</si>
  <si>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</si>
  <si>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</si>
  <si>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</si>
  <si>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</si>
  <si>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</si>
  <si>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</si>
  <si>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</si>
  <si>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</si>
  <si>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</si>
  <si>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</si>
  <si>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</si>
  <si>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</si>
  <si>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</si>
  <si>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</si>
  <si>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</si>
  <si>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</si>
  <si>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</si>
  <si>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</si>
  <si>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</si>
  <si>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</si>
  <si>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</si>
  <si>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</si>
  <si>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</si>
  <si>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</si>
  <si>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</si>
  <si>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</si>
  <si>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</si>
  <si>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</si>
  <si>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</si>
  <si>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</si>
  <si>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</si>
  <si>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</si>
  <si>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</si>
  <si>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</si>
  <si>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</si>
  <si>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</si>
  <si>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</si>
  <si>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</si>
  <si>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</si>
  <si>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</si>
  <si>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</si>
  <si>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</si>
  <si>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</si>
  <si>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</si>
  <si>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</si>
  <si>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</si>
  <si>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</si>
  <si>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</si>
  <si>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</si>
  <si>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</si>
  <si>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</si>
  <si>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</si>
  <si>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</si>
  <si>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</si>
  <si>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</si>
  <si>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</si>
  <si>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</si>
  <si>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</si>
  <si>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</si>
  <si>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</si>
  <si>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</si>
  <si>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</si>
  <si>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</si>
  <si>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</si>
  <si>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</si>
  <si>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</si>
  <si>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</si>
  <si>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</si>
  <si>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</si>
  <si>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</si>
  <si>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</si>
  <si>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</si>
  <si>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</si>
  <si>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</si>
  <si>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</si>
  <si>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</si>
  <si>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</si>
  <si>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</si>
  <si>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</si>
  <si>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</si>
  <si>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</si>
  <si>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</si>
  <si>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</si>
  <si>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</si>
  <si>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</si>
  <si>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</si>
  <si>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</si>
  <si>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</si>
  <si>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</si>
  <si>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</si>
  <si>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</si>
  <si>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</si>
  <si>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</si>
  <si>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</si>
  <si>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</si>
  <si>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</si>
  <si>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</si>
  <si>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</si>
  <si>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</si>
  <si>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</si>
  <si>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</si>
  <si>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</si>
  <si>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</si>
  <si>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</si>
  <si>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</si>
  <si>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</si>
  <si>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</si>
  <si>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</si>
  <si>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</si>
  <si>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</si>
  <si>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</si>
  <si>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</si>
  <si>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</si>
  <si>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</si>
  <si>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</si>
  <si>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</si>
  <si>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</si>
  <si>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</si>
  <si>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</si>
  <si>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</si>
  <si>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</si>
  <si>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</si>
  <si>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</si>
  <si>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</si>
  <si>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</si>
  <si>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</si>
  <si>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</si>
  <si>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</si>
  <si>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</si>
  <si>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</si>
  <si>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</si>
  <si>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</si>
  <si>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</si>
  <si>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</si>
  <si>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</si>
  <si>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</si>
  <si>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</si>
  <si>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</si>
  <si>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</si>
  <si>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</si>
  <si>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</si>
  <si>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</si>
  <si>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</si>
  <si>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</si>
  <si>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</si>
  <si>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</si>
  <si>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</si>
  <si>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</si>
  <si>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</si>
  <si>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</si>
  <si>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</si>
  <si>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</si>
  <si>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</si>
  <si>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</si>
  <si>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</si>
  <si>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</si>
  <si>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</si>
  <si>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</si>
  <si>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</si>
  <si>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</si>
  <si>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</si>
  <si>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</si>
  <si>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</si>
  <si>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</si>
  <si>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</si>
  <si>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</si>
  <si>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</si>
  <si>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</si>
  <si>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</si>
  <si>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</si>
  <si>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</si>
  <si>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</si>
  <si>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</si>
  <si>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</si>
  <si>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</si>
  <si>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</si>
  <si>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</si>
  <si>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</si>
  <si>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</si>
  <si>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</si>
  <si>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</si>
  <si>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</si>
  <si>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</si>
  <si>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</si>
  <si>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</si>
  <si>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</si>
  <si>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</si>
  <si>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</si>
  <si>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</si>
  <si>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</si>
  <si>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</si>
  <si>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</si>
  <si>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</si>
  <si>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</si>
  <si>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</si>
  <si>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</si>
  <si>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</si>
  <si>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</si>
  <si>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</si>
  <si>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</si>
  <si>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</si>
  <si>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</si>
  <si>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</si>
  <si>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</si>
  <si>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</si>
  <si>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</si>
  <si>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</si>
  <si>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</si>
  <si>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</si>
  <si>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</si>
  <si>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</si>
  <si>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</si>
  <si>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</si>
  <si>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</si>
  <si>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</si>
  <si>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</si>
  <si>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</si>
  <si>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</si>
  <si>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</si>
  <si>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</si>
  <si>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</si>
  <si>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</si>
  <si>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</si>
  <si>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</si>
  <si>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</si>
  <si>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</si>
  <si>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</si>
  <si>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</si>
  <si>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</si>
  <si>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</si>
  <si>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</si>
  <si>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</si>
  <si>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</si>
  <si>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</si>
  <si>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</si>
  <si>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</si>
  <si>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</si>
  <si>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</si>
  <si>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</si>
  <si>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</si>
  <si>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</si>
  <si>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</si>
  <si>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</si>
  <si>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</si>
  <si>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</si>
  <si>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</si>
  <si>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</si>
  <si>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</si>
  <si>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</si>
  <si>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</si>
  <si>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</si>
  <si>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</si>
  <si>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</si>
  <si>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</si>
  <si>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</si>
  <si>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</si>
  <si>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</si>
  <si>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</si>
  <si>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</si>
  <si>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</si>
  <si>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</si>
  <si>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</si>
  <si>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</si>
  <si>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</si>
  <si>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</si>
  <si>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</si>
  <si>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</si>
  <si>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</si>
  <si>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</si>
  <si>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</si>
  <si>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</si>
  <si>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</si>
  <si>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</si>
  <si>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</si>
  <si>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</si>
  <si>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</si>
  <si>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</si>
  <si>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</si>
  <si>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</si>
  <si>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</si>
  <si>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</si>
  <si>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</si>
  <si>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</si>
  <si>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</si>
  <si>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</si>
  <si>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</si>
  <si>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</si>
  <si>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</si>
  <si>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</si>
  <si>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</si>
  <si>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</si>
  <si>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</si>
  <si>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</si>
  <si>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</si>
  <si>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</si>
  <si>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</si>
  <si>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</si>
  <si>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</si>
  <si>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</si>
  <si>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</si>
  <si>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</si>
  <si>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</si>
  <si>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</si>
  <si>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</si>
  <si>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</si>
  <si>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</si>
  <si>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</si>
  <si>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</si>
  <si>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</si>
  <si>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</si>
  <si>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</si>
  <si>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</si>
  <si>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</si>
  <si>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</si>
  <si>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</si>
  <si>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</si>
  <si>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</si>
  <si>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</si>
  <si>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</si>
  <si>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</si>
  <si>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</si>
  <si>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</si>
  <si>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</si>
  <si>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</si>
  <si>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</si>
  <si>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</si>
  <si>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</si>
  <si>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</si>
  <si>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</si>
  <si>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</si>
  <si>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</si>
  <si>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</si>
  <si>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</si>
  <si>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</si>
  <si>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</si>
  <si>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</si>
  <si>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</si>
  <si>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</si>
  <si>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</si>
  <si>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</si>
  <si>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</si>
  <si>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</si>
  <si>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</si>
  <si>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</si>
  <si>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</si>
  <si>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</si>
  <si>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</si>
  <si>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</si>
  <si>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</si>
  <si>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</si>
  <si>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</si>
  <si>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</si>
  <si>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</si>
  <si>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</si>
  <si>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</si>
  <si>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</si>
  <si>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</si>
  <si>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</si>
  <si>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</si>
  <si>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</si>
  <si>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</si>
  <si>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</si>
  <si>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</si>
  <si>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</si>
  <si>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</si>
  <si>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</si>
  <si>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</si>
  <si>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</si>
  <si>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</si>
  <si>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</si>
  <si>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</si>
  <si>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</si>
  <si>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</si>
  <si>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</si>
  <si>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</si>
  <si>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</si>
  <si>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</si>
  <si>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</si>
  <si>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</si>
  <si>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</si>
  <si>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</si>
  <si>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</si>
  <si>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</si>
  <si>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</si>
  <si>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</si>
  <si>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</si>
  <si>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</si>
  <si>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</si>
  <si>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</si>
  <si>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</si>
  <si>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</si>
  <si>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</si>
  <si>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</si>
  <si>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</si>
  <si>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</si>
  <si>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</si>
  <si>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</si>
  <si>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</si>
  <si>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</si>
  <si>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</si>
  <si>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</si>
  <si>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</si>
  <si>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</si>
  <si>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</si>
  <si>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</si>
  <si>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</si>
  <si>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</si>
  <si>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</si>
  <si>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</si>
  <si>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</si>
  <si>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</si>
  <si>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</si>
  <si>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</si>
  <si>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</si>
  <si>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</si>
  <si>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</si>
  <si>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</si>
  <si>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</si>
  <si>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</si>
  <si>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</si>
  <si>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</si>
  <si>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</si>
  <si>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</si>
  <si>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</si>
  <si>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</si>
  <si>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</si>
  <si>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</si>
  <si>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</si>
  <si>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</si>
  <si>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</si>
  <si>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</si>
  <si>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</si>
  <si>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</si>
  <si>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</si>
  <si>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</si>
  <si>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</si>
  <si>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</si>
  <si>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</si>
  <si>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</si>
  <si>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</si>
  <si>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</si>
  <si>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</si>
  <si>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</si>
  <si>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</si>
  <si>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</si>
  <si>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</si>
  <si>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</si>
  <si>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</si>
  <si>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</si>
  <si>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</si>
  <si>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</si>
  <si>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</si>
  <si>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</si>
  <si>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</si>
  <si>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</si>
  <si>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</si>
  <si>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</si>
  <si>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</si>
  <si>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</si>
  <si>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</si>
  <si>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</si>
  <si>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</si>
  <si>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</si>
  <si>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</si>
  <si>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</si>
  <si>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</si>
  <si>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</si>
  <si>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</si>
  <si>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</si>
  <si>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</si>
  <si>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</si>
  <si>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</si>
  <si>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</si>
  <si>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</si>
  <si>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</si>
  <si>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</si>
  <si>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</si>
  <si>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</si>
  <si>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</si>
  <si>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</si>
  <si>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</si>
  <si>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</si>
  <si>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</si>
  <si>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</si>
  <si>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</si>
  <si>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</si>
  <si>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</si>
  <si>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</si>
  <si>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</si>
  <si>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</si>
  <si>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</si>
  <si>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</si>
  <si>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</si>
  <si>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</si>
  <si>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</si>
  <si>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</si>
  <si>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</si>
  <si>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</si>
  <si>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</si>
  <si>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</si>
  <si>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</si>
  <si>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</si>
  <si>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</si>
  <si>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</si>
  <si>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</si>
  <si>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</si>
  <si>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</si>
  <si>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</si>
  <si>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</si>
  <si>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</si>
  <si>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</si>
  <si>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</si>
  <si>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</si>
  <si>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</si>
  <si>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</si>
  <si>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</si>
  <si>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</si>
  <si>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</si>
  <si>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</si>
  <si>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</si>
  <si>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</si>
  <si>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</si>
  <si>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</si>
  <si>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</si>
  <si>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</si>
  <si>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</si>
  <si>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</si>
  <si>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</si>
  <si>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</si>
  <si>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</si>
  <si>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</si>
  <si>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</si>
  <si>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</si>
  <si>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</si>
  <si>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</si>
  <si>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</si>
  <si>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</si>
  <si>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</si>
  <si>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</si>
  <si>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</si>
  <si>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</si>
  <si>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</si>
  <si>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</si>
  <si>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</si>
  <si>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</si>
  <si>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</si>
  <si>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</si>
  <si>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</si>
  <si>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</si>
  <si>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</si>
  <si>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</si>
  <si>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</si>
  <si>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</si>
  <si>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</si>
  <si>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</si>
  <si>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</si>
  <si>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</si>
  <si>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</si>
  <si>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</si>
  <si>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</si>
  <si>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</si>
  <si>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</si>
  <si>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</si>
  <si>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</si>
  <si>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</si>
  <si>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</si>
  <si>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</si>
  <si>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</si>
  <si>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</si>
  <si>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</si>
  <si>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</si>
  <si>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</si>
  <si>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</si>
  <si>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</si>
  <si>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</si>
  <si>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</si>
  <si>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</si>
  <si>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</si>
  <si>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</si>
  <si>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</si>
  <si>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</si>
  <si>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</si>
  <si>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</si>
  <si>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</si>
  <si>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</si>
  <si>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</si>
  <si>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</si>
  <si>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</si>
  <si>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</si>
  <si>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</si>
  <si>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</si>
  <si>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</si>
  <si>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</si>
  <si>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</si>
  <si>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</si>
  <si>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</si>
  <si>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</si>
  <si>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</si>
  <si>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</si>
  <si>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</si>
  <si>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</si>
  <si>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</si>
  <si>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</si>
  <si>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</si>
  <si>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</si>
  <si>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</si>
  <si>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</si>
  <si>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</si>
  <si>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</si>
  <si>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</si>
  <si>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</si>
  <si>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</si>
  <si>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</si>
  <si>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</si>
  <si>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</si>
  <si>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</si>
  <si>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</si>
  <si>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</si>
  <si>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</si>
  <si>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</si>
  <si>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</si>
  <si>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</si>
  <si>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</si>
  <si>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</si>
  <si>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</si>
  <si>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</si>
  <si>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</si>
  <si>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</si>
  <si>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</si>
  <si>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</si>
  <si>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</si>
  <si>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</si>
  <si>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</si>
  <si>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</si>
  <si>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</si>
  <si>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</si>
  <si>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</si>
  <si>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</si>
  <si>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</si>
  <si>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</si>
  <si>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</si>
  <si>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</si>
  <si>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</si>
  <si>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</si>
  <si>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</si>
  <si>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</si>
  <si>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</si>
  <si>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</si>
  <si>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</si>
  <si>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</si>
  <si>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</si>
  <si>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</si>
  <si>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</si>
  <si>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</si>
  <si>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</si>
  <si>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</si>
  <si>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</si>
  <si>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</si>
  <si>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</si>
  <si>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</si>
  <si>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</si>
  <si>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</si>
  <si>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</si>
  <si>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</si>
  <si>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</si>
  <si>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</si>
  <si>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</si>
  <si>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</si>
  <si>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</si>
  <si>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</si>
  <si>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</si>
  <si>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</si>
  <si>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</si>
  <si>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</si>
  <si>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</si>
  <si>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</si>
  <si>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</si>
  <si>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</si>
  <si>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</si>
  <si>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</si>
  <si>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</si>
  <si>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</si>
  <si>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</si>
  <si>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</si>
  <si>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</si>
  <si>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</si>
  <si>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</si>
  <si>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</si>
  <si>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</si>
  <si>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</si>
  <si>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</si>
  <si>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</si>
  <si>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</si>
  <si>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</si>
  <si>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</si>
  <si>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</si>
  <si>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</si>
  <si>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</si>
  <si>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</si>
  <si>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</si>
  <si>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</si>
  <si>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</si>
  <si>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</si>
  <si>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</si>
  <si>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</si>
  <si>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</si>
  <si>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</si>
  <si>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</si>
  <si>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</si>
  <si>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</si>
  <si>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</si>
  <si>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</si>
  <si>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</si>
  <si>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</si>
  <si>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</si>
  <si>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</si>
  <si>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</si>
  <si>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</si>
  <si>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</si>
  <si>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</si>
  <si>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</si>
  <si>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</si>
  <si>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</si>
  <si>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</si>
  <si>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</si>
  <si>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</si>
  <si>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</si>
  <si>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</si>
  <si>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</si>
  <si>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</si>
  <si>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</si>
  <si>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</si>
  <si>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</si>
  <si>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</si>
  <si>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</si>
  <si>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</si>
  <si>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</si>
  <si>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</si>
  <si>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</si>
  <si>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</si>
  <si>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</si>
  <si>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</si>
  <si>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</si>
  <si>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</si>
  <si>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</si>
  <si>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</si>
  <si>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</si>
  <si>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</si>
  <si>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</si>
  <si>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</si>
  <si>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</si>
  <si>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</si>
  <si>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</si>
  <si>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</si>
  <si>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</si>
  <si>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</si>
  <si>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</si>
  <si>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</si>
  <si>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</si>
  <si>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</si>
  <si>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</si>
  <si>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</si>
  <si>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</si>
  <si>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</si>
  <si>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</si>
  <si>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</si>
  <si>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</si>
  <si>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</si>
  <si>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</si>
  <si>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</si>
  <si>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</si>
  <si>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</si>
  <si>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</si>
  <si>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</si>
  <si>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</si>
  <si>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</si>
  <si>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</si>
  <si>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</si>
  <si>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</si>
  <si>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</si>
  <si>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</si>
  <si>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</si>
  <si>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</si>
  <si>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</si>
  <si>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</si>
  <si>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</si>
  <si>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</si>
  <si>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</si>
  <si>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</si>
  <si>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</si>
  <si>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</si>
  <si>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</si>
  <si>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</si>
  <si>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</si>
  <si>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</si>
  <si>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</si>
  <si>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</si>
  <si>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</si>
  <si>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</si>
  <si>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</si>
  <si>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</si>
  <si>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</si>
  <si>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</si>
  <si>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</si>
  <si>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</si>
  <si>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</si>
  <si>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</si>
  <si>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</si>
  <si>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</si>
  <si>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</si>
  <si>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</si>
  <si>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</si>
  <si>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</si>
  <si>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</si>
  <si>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</si>
  <si>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</si>
  <si>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</si>
  <si>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</si>
  <si>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</si>
  <si>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</si>
  <si>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</si>
  <si>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</si>
  <si>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</si>
  <si>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</si>
  <si>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</si>
  <si>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</si>
  <si>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</si>
  <si>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</si>
  <si>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</si>
  <si>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</si>
  <si>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</si>
  <si>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</si>
  <si>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</si>
  <si>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</si>
  <si>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</si>
  <si>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</si>
  <si>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</si>
  <si>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</si>
  <si>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</si>
  <si>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</si>
  <si>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</si>
  <si>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</si>
  <si>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</si>
  <si>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</si>
  <si>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</si>
  <si>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</si>
  <si>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</si>
  <si>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</si>
  <si>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</si>
  <si>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</si>
  <si>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</si>
  <si>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</si>
  <si>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</si>
  <si>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</si>
  <si>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</si>
  <si>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</si>
  <si>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</si>
  <si>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</si>
  <si>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</si>
  <si>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</si>
  <si>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</si>
  <si>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</si>
  <si>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</si>
  <si>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</si>
  <si>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</si>
  <si>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</si>
  <si>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</si>
  <si>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</si>
  <si>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</si>
  <si>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</si>
  <si>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</si>
  <si>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</si>
  <si>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</si>
  <si>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</si>
  <si>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</si>
  <si>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</si>
  <si>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</si>
  <si>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</si>
  <si>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</si>
  <si>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</si>
  <si>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</si>
  <si>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</si>
  <si>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</si>
  <si>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</si>
  <si>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</si>
  <si>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</si>
  <si>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</si>
  <si>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</si>
  <si>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</si>
  <si>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</si>
  <si>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</si>
  <si>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</si>
  <si>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</si>
  <si>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</si>
  <si>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</si>
  <si>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</si>
  <si>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</si>
  <si>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</si>
  <si>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</si>
  <si>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</si>
  <si>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</si>
  <si>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</si>
  <si>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</si>
  <si>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</si>
  <si>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</si>
  <si>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</si>
  <si>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</si>
  <si>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</si>
  <si>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</si>
  <si>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</si>
  <si>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</si>
  <si>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</si>
  <si>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</si>
  <si>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</si>
  <si>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</si>
  <si>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</si>
  <si>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</si>
  <si>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</si>
  <si>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</si>
  <si>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</si>
  <si>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</si>
  <si>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</si>
  <si>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</si>
  <si>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</si>
  <si>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</si>
  <si>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</si>
  <si>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</si>
  <si>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</si>
  <si>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</si>
  <si>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</si>
  <si>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</si>
  <si>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</si>
  <si>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</si>
  <si>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</si>
  <si>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</si>
  <si>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</si>
  <si>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</si>
  <si>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</si>
  <si>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</si>
  <si>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</si>
  <si>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</si>
  <si>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</si>
  <si>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</si>
  <si>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</si>
  <si>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</si>
  <si>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</si>
  <si>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</si>
  <si>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</si>
  <si>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</si>
  <si>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</si>
  <si>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</si>
  <si>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</si>
  <si>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</si>
  <si>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</si>
  <si>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</si>
  <si>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</si>
  <si>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</si>
  <si>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</si>
  <si>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</si>
  <si>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</si>
  <si>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</si>
  <si>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</si>
  <si>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</si>
  <si>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</si>
  <si>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</si>
  <si>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</si>
  <si>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</si>
  <si>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</si>
  <si>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</si>
  <si>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</si>
  <si>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</si>
  <si>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</si>
  <si>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</si>
  <si>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</si>
  <si>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</si>
  <si>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</si>
  <si>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</si>
  <si>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</si>
  <si>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</si>
  <si>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</si>
  <si>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</si>
  <si>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</si>
  <si>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</si>
  <si>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</si>
  <si>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</si>
  <si>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</si>
  <si>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</si>
  <si>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</si>
  <si>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</si>
  <si>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</si>
  <si>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</si>
  <si>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</si>
  <si>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</si>
  <si>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</si>
  <si>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</si>
  <si>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</si>
  <si>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</si>
  <si>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</si>
  <si>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</si>
  <si>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</si>
  <si>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</si>
  <si>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</si>
  <si>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</si>
  <si>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</si>
  <si>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</si>
  <si>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</si>
  <si>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</si>
  <si>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</si>
  <si>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</si>
  <si>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</si>
  <si>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</si>
  <si>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</si>
  <si>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</si>
  <si>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</si>
  <si>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</si>
  <si>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</si>
  <si>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</si>
  <si>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</si>
  <si>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</si>
  <si>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</si>
  <si>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</si>
  <si>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</si>
  <si>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</si>
  <si>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</si>
  <si>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</si>
  <si>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</si>
  <si>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</si>
  <si>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</si>
  <si>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</si>
  <si>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</si>
  <si>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</si>
  <si>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</si>
  <si>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</si>
  <si>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</si>
  <si>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</si>
  <si>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</si>
  <si>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</si>
  <si>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</si>
  <si>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</si>
  <si>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</si>
  <si>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</si>
  <si>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</si>
  <si>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</si>
  <si>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</si>
  <si>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</si>
  <si>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</si>
  <si>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</si>
  <si>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</si>
  <si>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</si>
  <si>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</si>
  <si>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</si>
  <si>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</si>
  <si>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</si>
  <si>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</si>
  <si>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</si>
  <si>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</si>
  <si>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</si>
  <si>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</si>
  <si>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</si>
  <si>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</si>
  <si>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</si>
  <si>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</si>
  <si>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</si>
  <si>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</si>
  <si>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</si>
  <si>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</si>
  <si>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</si>
  <si>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</si>
  <si>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</si>
  <si>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</si>
  <si>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</si>
  <si>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</si>
  <si>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</si>
  <si>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</si>
  <si>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</si>
  <si>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</si>
  <si>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</si>
  <si>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</si>
  <si>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</si>
  <si>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</si>
  <si>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</si>
  <si>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</si>
  <si>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</si>
  <si>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</si>
  <si>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</si>
  <si>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</si>
  <si>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</si>
  <si>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</si>
  <si>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</si>
  <si>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</si>
  <si>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</si>
  <si>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</si>
  <si>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</si>
  <si>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</si>
  <si>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</si>
  <si>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</si>
  <si>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</si>
  <si>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</si>
  <si>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</si>
  <si>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</si>
  <si>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</si>
  <si>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</si>
  <si>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</si>
  <si>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</si>
  <si>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</si>
  <si>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</si>
  <si>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</si>
  <si>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</si>
  <si>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</si>
  <si>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</si>
  <si>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</si>
  <si>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</si>
  <si>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</si>
  <si>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</si>
  <si>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</si>
  <si>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</si>
  <si>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</si>
  <si>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</si>
  <si>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</si>
  <si>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</si>
  <si>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</si>
  <si>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</si>
  <si>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</si>
  <si>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</si>
  <si>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</si>
  <si>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</si>
  <si>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</si>
  <si>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</si>
  <si>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</si>
  <si>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</si>
  <si>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</si>
  <si>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</si>
  <si>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</si>
  <si>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</si>
  <si>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</si>
  <si>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</si>
  <si>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</si>
  <si>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</si>
  <si>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</si>
  <si>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</si>
  <si>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</si>
  <si>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</si>
  <si>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</si>
  <si>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</si>
  <si>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</si>
  <si>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</si>
  <si>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</si>
  <si>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</si>
  <si>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</si>
  <si>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</si>
  <si>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</si>
  <si>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</si>
  <si>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</si>
  <si>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</si>
  <si>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</si>
  <si>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</si>
  <si>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</si>
  <si>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</si>
  <si>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</si>
  <si>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</si>
  <si>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</si>
  <si>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</si>
  <si>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</si>
  <si>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</si>
  <si>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</si>
  <si>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</si>
  <si>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</si>
  <si>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</si>
  <si>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</si>
  <si>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</si>
  <si>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</si>
  <si>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</si>
  <si>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</si>
  <si>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</si>
  <si>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</si>
  <si>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</si>
  <si>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</si>
  <si>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</si>
  <si>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</si>
  <si>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</si>
  <si>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</si>
  <si>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</si>
  <si>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</si>
  <si>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</si>
  <si>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</si>
  <si>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</si>
  <si>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</si>
  <si>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</si>
  <si>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</si>
  <si>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</si>
  <si>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</si>
  <si>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</si>
  <si>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</si>
  <si>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</si>
  <si>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</si>
  <si>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</si>
  <si>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</si>
  <si>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</si>
  <si>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</si>
  <si>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</si>
  <si>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</si>
  <si>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</si>
  <si>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</si>
  <si>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</si>
  <si>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</si>
  <si>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</si>
  <si>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</si>
  <si>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</si>
  <si>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</si>
  <si>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</si>
  <si>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</si>
  <si>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</si>
  <si>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</si>
  <si>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</si>
  <si>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</si>
  <si>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</si>
  <si>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</si>
  <si>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</si>
  <si>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</si>
  <si>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</si>
  <si>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</si>
  <si>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</si>
  <si>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</si>
  <si>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</si>
  <si>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</si>
  <si>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</si>
  <si>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</si>
  <si>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</si>
  <si>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</si>
  <si>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</si>
  <si>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</si>
  <si>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</si>
  <si>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</si>
  <si>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</si>
  <si>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</si>
  <si>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</si>
  <si>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</si>
  <si>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</si>
  <si>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</si>
  <si>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</si>
  <si>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</si>
  <si>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</si>
  <si>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</si>
  <si>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</si>
  <si>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</si>
  <si>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</si>
  <si>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</si>
  <si>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</si>
  <si>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</si>
  <si>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</si>
  <si>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</si>
  <si>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</si>
  <si>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</si>
  <si>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</si>
  <si>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</si>
  <si>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</si>
  <si>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</si>
  <si>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</si>
  <si>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</si>
  <si>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</si>
  <si>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</si>
  <si>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</si>
  <si>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</si>
  <si>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</si>
  <si>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</si>
  <si>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</si>
  <si>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</si>
  <si>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</si>
  <si>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</si>
  <si>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</si>
  <si>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</si>
  <si>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</si>
  <si>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</si>
  <si>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</si>
  <si>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</si>
  <si>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</si>
  <si>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</si>
  <si>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</si>
  <si>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</si>
  <si>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</si>
  <si>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</si>
  <si>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</si>
  <si>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</si>
  <si>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</si>
  <si>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</si>
  <si>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</si>
  <si>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</si>
  <si>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</si>
  <si>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</si>
  <si>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</si>
  <si>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</si>
  <si>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</si>
  <si>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</si>
  <si>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</si>
  <si>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</si>
  <si>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</si>
  <si>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</si>
  <si>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</si>
  <si>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</si>
  <si>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</si>
  <si>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</si>
  <si>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</si>
  <si>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</si>
  <si>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</si>
  <si>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</si>
  <si>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</si>
  <si>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</si>
  <si>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</si>
  <si>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</si>
  <si>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</si>
  <si>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</si>
  <si>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</si>
  <si>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</si>
  <si>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</si>
  <si>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</si>
  <si>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</si>
  <si>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</si>
  <si>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</si>
  <si>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</si>
  <si>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</si>
  <si>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</si>
  <si>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</si>
  <si>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</si>
  <si>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</si>
  <si>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</si>
  <si>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</si>
  <si>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</si>
  <si>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</si>
  <si>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</si>
  <si>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</si>
  <si>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</si>
  <si>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</si>
  <si>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</si>
  <si>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</si>
  <si>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</si>
  <si>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</si>
  <si>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</si>
  <si>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</si>
  <si>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</si>
  <si>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</si>
  <si>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</si>
  <si>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</si>
  <si>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</si>
  <si>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</si>
  <si>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</si>
  <si>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</si>
  <si>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</si>
  <si>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</si>
  <si>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</si>
  <si>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</si>
  <si>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</si>
  <si>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</si>
  <si>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</si>
  <si>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</si>
  <si>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</si>
  <si>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</si>
  <si>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</si>
  <si>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</si>
  <si>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</si>
  <si>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</si>
  <si>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</si>
  <si>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</si>
  <si>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</si>
  <si>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</si>
  <si>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</si>
  <si>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</si>
  <si>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</si>
  <si>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</si>
  <si>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</si>
  <si>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</si>
  <si>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</si>
  <si>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</si>
  <si>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</si>
  <si>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</si>
  <si>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</si>
  <si>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</si>
  <si>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</si>
  <si>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</si>
  <si>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</si>
  <si>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</si>
  <si>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</si>
  <si>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</si>
  <si>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</si>
  <si>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</si>
  <si>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</si>
  <si>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</si>
  <si>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</si>
  <si>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</si>
  <si>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</si>
  <si>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</si>
  <si>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</si>
  <si>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</si>
  <si>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</si>
  <si>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</si>
  <si>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</si>
  <si>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</si>
  <si>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</si>
  <si>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</si>
  <si>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</si>
  <si>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</si>
  <si>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</si>
  <si>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</si>
  <si>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</si>
  <si>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</si>
  <si>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</si>
  <si>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</si>
  <si>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</si>
  <si>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</si>
  <si>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</si>
  <si>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</si>
  <si>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</si>
  <si>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</si>
  <si>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</si>
  <si>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</si>
  <si>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</si>
  <si>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</si>
  <si>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</si>
  <si>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</si>
  <si>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</si>
  <si>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</si>
  <si>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</si>
  <si>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</si>
  <si>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</si>
  <si>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</si>
  <si>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</si>
  <si>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</si>
  <si>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</si>
  <si>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</si>
  <si>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</si>
  <si>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</si>
  <si>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</si>
  <si>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</si>
  <si>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</si>
  <si>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</si>
  <si>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</si>
  <si>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</si>
  <si>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</si>
  <si>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</si>
  <si>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</si>
  <si>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</si>
  <si>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</si>
  <si>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</si>
  <si>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</si>
  <si>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</si>
  <si>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</si>
  <si>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</si>
  <si>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</si>
  <si>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</si>
  <si>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</si>
  <si>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</si>
  <si>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</si>
  <si>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</si>
  <si>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</si>
  <si>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</si>
  <si>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</si>
  <si>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</si>
  <si>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</si>
  <si>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</si>
  <si>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</si>
  <si>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</si>
  <si>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</si>
  <si>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</si>
  <si>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</si>
  <si>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</si>
  <si>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</si>
  <si>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</si>
  <si>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</si>
  <si>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</si>
  <si>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</si>
  <si>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</si>
  <si>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</si>
  <si>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</si>
  <si>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</si>
  <si>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</si>
  <si>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</si>
  <si>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</si>
  <si>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</si>
  <si>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</si>
  <si>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</si>
  <si>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</si>
  <si>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</si>
  <si>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</si>
  <si>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</si>
  <si>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</si>
  <si>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</si>
  <si>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</si>
  <si>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</si>
  <si>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</si>
  <si>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</si>
  <si>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</si>
  <si>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</si>
  <si>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</si>
  <si>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</si>
  <si>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</si>
  <si>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</si>
  <si>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</si>
  <si>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</si>
  <si>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</si>
  <si>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</si>
  <si>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</si>
  <si>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</si>
  <si>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</si>
  <si>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</si>
  <si>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</si>
  <si>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</si>
  <si>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</si>
  <si>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</si>
  <si>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</si>
  <si>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</si>
  <si>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</si>
  <si>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</si>
  <si>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</si>
  <si>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</si>
  <si>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</si>
  <si>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</si>
  <si>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</si>
  <si>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</si>
  <si>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</si>
  <si>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</si>
  <si>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</si>
  <si>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</si>
  <si>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</si>
  <si>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</si>
  <si>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</si>
  <si>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</si>
  <si>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</si>
  <si>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</si>
  <si>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</si>
  <si>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</si>
  <si>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</si>
  <si>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</si>
  <si>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</si>
  <si>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</si>
  <si>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</si>
  <si>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</si>
  <si>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</si>
  <si>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</si>
  <si>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</si>
  <si>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</si>
  <si>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</si>
  <si>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</si>
  <si>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</si>
  <si>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</si>
  <si>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</si>
  <si>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</si>
  <si>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</si>
  <si>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</si>
  <si>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</si>
  <si>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</si>
  <si>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</si>
  <si>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</si>
  <si>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</si>
  <si>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</si>
  <si>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</si>
  <si>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</si>
  <si>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</si>
  <si>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</si>
  <si>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</si>
  <si>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</si>
  <si>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</si>
  <si>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</si>
  <si>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</si>
  <si>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</si>
  <si>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</si>
  <si>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</si>
  <si>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</si>
  <si>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</si>
  <si>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</si>
  <si>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</si>
  <si>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</si>
  <si>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</si>
  <si>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</si>
  <si>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</si>
  <si>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</si>
  <si>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</si>
  <si>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</si>
  <si>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</si>
  <si>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</si>
  <si>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</si>
  <si>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</si>
  <si>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</si>
  <si>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</si>
  <si>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</si>
  <si>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</si>
  <si>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</si>
  <si>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</si>
  <si>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</si>
  <si>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</si>
  <si>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</si>
  <si>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</si>
  <si>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</si>
  <si>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</si>
  <si>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</si>
  <si>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</si>
  <si>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</si>
  <si>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</si>
  <si>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</si>
  <si>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</si>
  <si>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</si>
  <si>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</si>
  <si>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</si>
  <si>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</si>
  <si>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</si>
  <si>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</si>
  <si>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</si>
  <si>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</si>
  <si>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</si>
  <si>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</si>
  <si>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</si>
  <si>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</si>
  <si>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</si>
  <si>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</si>
  <si>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</si>
  <si>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</si>
  <si>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</si>
  <si>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</si>
  <si>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</si>
  <si>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</si>
  <si>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</si>
  <si>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</si>
  <si>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</si>
  <si>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</si>
  <si>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</si>
  <si>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</si>
  <si>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</si>
  <si>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</si>
  <si>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</si>
  <si>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</si>
  <si>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</si>
  <si>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</si>
  <si>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</si>
  <si>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</si>
  <si>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</si>
  <si>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</si>
  <si>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</si>
  <si>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</si>
  <si>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</si>
  <si>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</si>
  <si>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</si>
  <si>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</si>
  <si>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</si>
  <si>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</si>
  <si>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</si>
  <si>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</si>
  <si>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</si>
  <si>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</si>
  <si>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</si>
  <si>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</si>
  <si>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</si>
  <si>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</si>
  <si>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</si>
  <si>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</si>
  <si>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</si>
  <si>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</si>
  <si>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</si>
  <si>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</si>
  <si>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</si>
  <si>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</si>
  <si>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</si>
  <si>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</si>
  <si>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</si>
  <si>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</si>
  <si>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</si>
  <si>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</si>
  <si>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</si>
  <si>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</si>
  <si>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</si>
  <si>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</si>
  <si>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</si>
  <si>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</si>
  <si>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</si>
  <si>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</si>
  <si>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</si>
  <si>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</si>
  <si>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</si>
  <si>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</si>
  <si>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</si>
  <si>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</si>
  <si>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</si>
  <si>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</si>
  <si>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</si>
  <si>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</si>
  <si>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</si>
  <si>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</si>
  <si>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</si>
  <si>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</si>
  <si>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</si>
  <si>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</si>
  <si>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</si>
  <si>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</si>
  <si>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</si>
  <si>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</si>
  <si>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</si>
  <si>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</si>
  <si>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</si>
  <si>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</si>
  <si>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</si>
  <si>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</si>
  <si>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</si>
  <si>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</si>
  <si>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</si>
  <si>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</si>
  <si>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</si>
  <si>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</si>
  <si>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</si>
  <si>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</si>
  <si>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</si>
  <si>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</si>
  <si>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</si>
  <si>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</si>
  <si>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</si>
  <si>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</si>
  <si>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</si>
  <si>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</si>
  <si>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</si>
  <si>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</si>
  <si>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</si>
  <si>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</si>
  <si>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</si>
  <si>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</si>
  <si>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</si>
  <si>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</si>
  <si>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</si>
  <si>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</si>
  <si>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</si>
  <si>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</si>
  <si>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</si>
  <si>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</si>
  <si>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</si>
  <si>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</si>
  <si>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</si>
  <si>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</si>
  <si>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</si>
  <si>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</si>
  <si>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</si>
  <si>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</si>
  <si>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</si>
  <si>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</si>
  <si>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</si>
  <si>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</si>
  <si>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</si>
  <si>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</si>
  <si>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</si>
  <si>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</si>
  <si>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</si>
  <si>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</si>
  <si>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</si>
  <si>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</si>
  <si>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</si>
  <si>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</si>
  <si>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</si>
  <si>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</si>
  <si>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</si>
  <si>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</si>
  <si>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</si>
  <si>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</si>
  <si>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</si>
  <si>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</si>
  <si>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</si>
  <si>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</si>
  <si>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</si>
  <si>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</si>
  <si>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</si>
  <si>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</si>
  <si>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</si>
  <si>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</si>
  <si>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</si>
  <si>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</si>
  <si>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</si>
  <si>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</si>
  <si>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</si>
  <si>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</si>
  <si>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</si>
  <si>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</si>
  <si>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</si>
  <si>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</si>
  <si>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</si>
  <si>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</si>
  <si>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</si>
  <si>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</si>
  <si>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</si>
  <si>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</si>
  <si>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</si>
  <si>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</si>
  <si>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</si>
  <si>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</si>
  <si>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</si>
  <si>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</si>
  <si>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</si>
  <si>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</si>
  <si>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</si>
  <si>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</si>
  <si>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</si>
  <si>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</si>
  <si>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</si>
  <si>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</si>
  <si>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</si>
  <si>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</si>
  <si>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</si>
  <si>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</si>
  <si>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</si>
  <si>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</si>
  <si>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</si>
  <si>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</si>
  <si>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</si>
  <si>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</si>
  <si>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</si>
  <si>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</si>
  <si>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</si>
  <si>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</si>
  <si>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</si>
  <si>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</si>
  <si>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</si>
  <si>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</si>
  <si>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</si>
  <si>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</si>
  <si>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</si>
  <si>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</si>
  <si>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</si>
  <si>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</si>
  <si>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</si>
  <si>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</si>
  <si>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</si>
  <si>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</si>
  <si>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</si>
  <si>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</si>
  <si>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</si>
  <si>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</si>
  <si>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</si>
  <si>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</si>
  <si>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</si>
  <si>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</si>
  <si>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</si>
  <si>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</si>
  <si>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</si>
  <si>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</si>
  <si>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</si>
  <si>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</si>
  <si>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</si>
  <si>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</si>
  <si>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</si>
  <si>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</si>
  <si>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</si>
  <si>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</si>
  <si>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</si>
  <si>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</si>
  <si>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</si>
  <si>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</si>
  <si>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</si>
  <si>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</si>
  <si>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</si>
  <si>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</si>
  <si>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</si>
  <si>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</si>
  <si>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</si>
  <si>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</si>
  <si>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</si>
  <si>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</si>
  <si>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</si>
  <si>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</si>
  <si>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</si>
  <si>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</si>
  <si>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</si>
  <si>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</si>
  <si>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</si>
  <si>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</si>
  <si>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</si>
  <si>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</si>
  <si>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</si>
  <si>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</si>
  <si>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</si>
  <si>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</si>
  <si>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</si>
  <si>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</si>
  <si>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</si>
  <si>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</si>
  <si>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</si>
  <si>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</si>
  <si>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</si>
  <si>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</si>
  <si>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</si>
  <si>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</si>
  <si>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</si>
  <si>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</si>
  <si>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</si>
  <si>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</si>
  <si>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</si>
  <si>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</si>
  <si>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</si>
  <si>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</si>
  <si>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</si>
  <si>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</si>
  <si>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</si>
  <si>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</si>
  <si>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</si>
  <si>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</si>
  <si>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</si>
  <si>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</si>
  <si>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</si>
  <si>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</si>
  <si>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</si>
  <si>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</si>
  <si>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</si>
  <si>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</si>
  <si>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</si>
  <si>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</si>
  <si>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</si>
  <si>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</si>
  <si>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</si>
  <si>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</si>
  <si>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</si>
  <si>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</si>
  <si>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</si>
  <si>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</si>
  <si>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</si>
  <si>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</si>
  <si>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</si>
  <si>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</si>
  <si>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</si>
  <si>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</si>
  <si>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</si>
  <si>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</si>
  <si>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</si>
  <si>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</si>
  <si>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</si>
  <si>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</si>
  <si>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</si>
  <si>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</si>
  <si>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</si>
  <si>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</si>
  <si>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</si>
  <si>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</si>
  <si>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</si>
  <si>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</si>
  <si>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</si>
  <si>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</si>
  <si>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</si>
  <si>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</si>
  <si>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</si>
  <si>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</si>
  <si>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</si>
  <si>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</si>
  <si>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</si>
  <si>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</si>
  <si>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</si>
  <si>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</si>
  <si>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</si>
  <si>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</si>
  <si>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</si>
  <si>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</si>
  <si>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</si>
  <si>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</si>
  <si>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</si>
  <si>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</si>
  <si>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</si>
  <si>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</si>
  <si>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</si>
  <si>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</si>
  <si>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</si>
  <si>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</si>
  <si>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</si>
  <si>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</si>
  <si>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</si>
  <si>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</si>
  <si>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</si>
  <si>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</si>
  <si>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</si>
  <si>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</si>
  <si>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</si>
  <si>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</si>
  <si>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</si>
  <si>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</si>
  <si>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</si>
  <si>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</si>
  <si>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</si>
  <si>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</si>
  <si>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</si>
  <si>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</si>
  <si>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</si>
  <si>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</si>
  <si>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</si>
  <si>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</si>
  <si>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</si>
  <si>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</si>
  <si>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</si>
  <si>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</si>
  <si>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</si>
  <si>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</si>
  <si>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</si>
  <si>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</si>
  <si>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</si>
  <si>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</si>
  <si>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</si>
  <si>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</si>
  <si>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</si>
  <si>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</si>
  <si>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</si>
  <si>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</si>
  <si>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</si>
  <si>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</si>
  <si>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</si>
  <si>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</si>
  <si>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</si>
  <si>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</si>
  <si>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</si>
  <si>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</si>
  <si>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</si>
  <si>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</si>
  <si>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</si>
  <si>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</si>
  <si>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</si>
  <si>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</si>
  <si>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</si>
  <si>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</si>
  <si>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</si>
  <si>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</si>
  <si>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</si>
  <si>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</si>
  <si>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</si>
  <si>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</si>
  <si>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</si>
  <si>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</si>
  <si>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</si>
  <si>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</si>
  <si>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</si>
  <si>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</si>
  <si>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</si>
  <si>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</si>
  <si>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</si>
  <si>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</si>
  <si>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</si>
  <si>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</si>
  <si>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</si>
  <si>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</si>
  <si>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</si>
  <si>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</si>
  <si>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</si>
  <si>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</si>
  <si>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</si>
  <si>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</si>
  <si>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</si>
  <si>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</si>
  <si>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</si>
  <si>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</si>
  <si>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</si>
  <si>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</si>
  <si>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</si>
  <si>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</si>
  <si>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</si>
  <si>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</si>
  <si>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</si>
  <si>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</si>
  <si>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</si>
  <si>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</si>
  <si>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</si>
  <si>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</si>
  <si>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</si>
  <si>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</si>
  <si>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</si>
  <si>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</si>
  <si>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</si>
  <si>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</si>
  <si>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</si>
  <si>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</si>
  <si>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</si>
  <si>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</si>
  <si>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</si>
  <si>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</si>
  <si>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</si>
  <si>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</si>
  <si>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</si>
  <si>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</si>
  <si>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</si>
  <si>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</si>
  <si>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</si>
  <si>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</si>
  <si>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</si>
  <si>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</si>
  <si>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</si>
  <si>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</si>
  <si>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</si>
  <si>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</si>
  <si>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</si>
  <si>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</si>
  <si>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</si>
  <si>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</si>
  <si>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</si>
  <si>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</si>
  <si>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</si>
  <si>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</si>
  <si>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</si>
  <si>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</si>
  <si>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</si>
  <si>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</si>
  <si>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</si>
  <si>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</si>
  <si>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</si>
  <si>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</si>
  <si>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</si>
  <si>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</si>
  <si>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</si>
  <si>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</si>
  <si>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</si>
  <si>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</si>
  <si>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</si>
  <si>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</si>
  <si>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</si>
  <si>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</si>
  <si>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</si>
  <si>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</si>
  <si>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</si>
  <si>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</si>
  <si>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</si>
  <si>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</si>
  <si>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</si>
  <si>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</si>
  <si>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</si>
  <si>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</si>
  <si>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</si>
  <si>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</si>
  <si>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</si>
  <si>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</si>
  <si>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</si>
  <si>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</si>
  <si>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</si>
  <si>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</si>
  <si>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</si>
  <si>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</si>
  <si>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</si>
  <si>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</si>
  <si>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</si>
  <si>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</si>
  <si>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</si>
  <si>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</si>
  <si>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</si>
  <si>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</si>
  <si>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</si>
  <si>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</si>
  <si>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</si>
  <si>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</si>
  <si>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</si>
  <si>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</si>
  <si>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</si>
  <si>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</si>
  <si>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</si>
  <si>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</si>
  <si>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</si>
  <si>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</si>
  <si>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</si>
  <si>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</si>
  <si>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</si>
  <si>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</si>
  <si>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</si>
  <si>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</si>
  <si>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</si>
  <si>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</si>
  <si>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</si>
  <si>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</si>
  <si>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</si>
  <si>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</si>
  <si>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</si>
  <si>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</si>
  <si>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</si>
  <si>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</si>
  <si>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</si>
  <si>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</si>
  <si>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</si>
  <si>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</si>
  <si>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</si>
  <si>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</si>
  <si>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</si>
  <si>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</si>
  <si>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</si>
  <si>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</si>
  <si>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</si>
  <si>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</si>
  <si>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</si>
  <si>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</si>
  <si>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</si>
  <si>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</si>
  <si>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</si>
  <si>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</si>
  <si>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</si>
  <si>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</si>
  <si>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</si>
  <si>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</si>
  <si>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</si>
  <si>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</si>
  <si>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</si>
  <si>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</si>
  <si>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</si>
  <si>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</si>
  <si>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</si>
  <si>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</si>
  <si>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</si>
  <si>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</si>
  <si>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</si>
  <si>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</si>
  <si>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</si>
  <si>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</si>
  <si>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</si>
  <si>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</si>
  <si>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</si>
  <si>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</si>
  <si>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</si>
  <si>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</si>
  <si>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</si>
  <si>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</si>
  <si>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</si>
  <si>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</si>
  <si>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</si>
  <si>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</si>
  <si>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</si>
  <si>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</si>
  <si>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</si>
  <si>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</si>
  <si>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</si>
  <si>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</si>
  <si>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</si>
  <si>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</si>
  <si>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</si>
  <si>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</si>
  <si>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</si>
  <si>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</si>
  <si>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</si>
  <si>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</si>
  <si>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</si>
  <si>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</si>
  <si>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</si>
  <si>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</si>
  <si>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</si>
  <si>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</si>
  <si>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</si>
  <si>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</si>
  <si>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</si>
  <si>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</si>
  <si>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</si>
  <si>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</si>
  <si>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</si>
  <si>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</si>
  <si>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</si>
  <si>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</si>
  <si>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</si>
  <si>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</si>
  <si>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</si>
  <si>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</si>
  <si>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</si>
  <si>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</si>
  <si>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</si>
  <si>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</si>
  <si>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</si>
  <si>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</si>
  <si>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</si>
  <si>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</si>
  <si>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</si>
  <si>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</si>
  <si>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</si>
  <si>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</si>
  <si>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</si>
  <si>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</si>
  <si>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</si>
  <si>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</si>
  <si>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</si>
  <si>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</si>
  <si>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</si>
  <si>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</si>
  <si>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</si>
  <si>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</si>
  <si>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</si>
  <si>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</si>
  <si>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</si>
  <si>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</si>
  <si>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</si>
  <si>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</si>
  <si>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</si>
  <si>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</si>
  <si>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</si>
  <si>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</si>
  <si>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</si>
  <si>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</si>
  <si>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</si>
  <si>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</si>
  <si>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</si>
  <si>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</si>
  <si>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</si>
  <si>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</si>
  <si>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</si>
  <si>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</si>
  <si>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</si>
  <si>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</si>
  <si>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</si>
  <si>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</si>
  <si>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</si>
  <si>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</si>
  <si>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</si>
  <si>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</si>
  <si>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</si>
  <si>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</si>
  <si>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</si>
  <si>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</si>
  <si>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</si>
  <si>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</si>
  <si>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</si>
  <si>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</si>
  <si>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</si>
  <si>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</si>
  <si>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</si>
  <si>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</si>
  <si>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</si>
  <si>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</si>
  <si>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</si>
  <si>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</si>
  <si>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</si>
  <si>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</si>
  <si>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</si>
  <si>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</si>
  <si>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</si>
  <si>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</si>
  <si>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</si>
  <si>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</si>
  <si>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</si>
  <si>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</si>
  <si>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</si>
  <si>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</si>
  <si>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</si>
  <si>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</si>
  <si>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</si>
  <si>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</si>
  <si>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</si>
  <si>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</si>
  <si>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</si>
  <si>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</si>
  <si>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</si>
  <si>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</si>
  <si>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</si>
  <si>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</si>
  <si>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</si>
  <si>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</si>
  <si>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</si>
  <si>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</si>
  <si>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</si>
  <si>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</si>
  <si>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</si>
  <si>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</si>
  <si>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</si>
  <si>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</si>
  <si>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</si>
  <si>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</si>
  <si>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</si>
  <si>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</si>
  <si>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</si>
  <si>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</si>
  <si>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</si>
  <si>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</si>
  <si>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</si>
  <si>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</si>
  <si>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</si>
  <si>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</si>
  <si>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</si>
  <si>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</si>
  <si>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</si>
  <si>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</si>
  <si>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</si>
  <si>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</si>
  <si>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</si>
  <si>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</si>
  <si>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</si>
  <si>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</si>
  <si>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</si>
  <si>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</si>
  <si>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</si>
  <si>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</si>
  <si>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</si>
  <si>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</si>
  <si>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</si>
  <si>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</si>
  <si>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</si>
  <si>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</si>
  <si>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</si>
  <si>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</si>
  <si>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</si>
  <si>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</si>
  <si>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</si>
  <si>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</si>
  <si>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</si>
  <si>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</si>
  <si>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</si>
  <si>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</si>
  <si>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</si>
  <si>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</si>
  <si>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</si>
  <si>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</si>
  <si>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</si>
  <si>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</si>
  <si>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</si>
  <si>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</si>
  <si>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</si>
  <si>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</si>
  <si>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</si>
  <si>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</si>
  <si>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</si>
  <si>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</si>
  <si>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</si>
  <si>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</si>
  <si>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</si>
  <si>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</si>
  <si>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</si>
  <si>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</si>
  <si>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</si>
  <si>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</si>
  <si>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</si>
  <si>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</si>
  <si>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</si>
  <si>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</si>
  <si>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</si>
  <si>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</si>
  <si>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</si>
  <si>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</si>
  <si>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</si>
  <si>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</si>
  <si>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</si>
  <si>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</si>
  <si>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</si>
  <si>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</si>
  <si>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</si>
  <si>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</si>
  <si>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</si>
  <si>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</si>
  <si>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</si>
  <si>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</si>
  <si>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</si>
  <si>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</si>
  <si>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</si>
  <si>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</si>
  <si>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</si>
  <si>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</si>
  <si>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</si>
  <si>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</si>
  <si>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</si>
  <si>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</si>
  <si>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</si>
  <si>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</si>
  <si>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</si>
  <si>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</si>
  <si>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</si>
  <si>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</si>
  <si>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</si>
  <si>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</si>
  <si>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</si>
  <si>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</si>
  <si>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</si>
  <si>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</si>
  <si>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</si>
  <si>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</si>
  <si>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</si>
  <si>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</si>
  <si>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</si>
  <si>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</si>
  <si>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</si>
  <si>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</si>
  <si>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</si>
  <si>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</si>
  <si>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</si>
  <si>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</si>
  <si>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</si>
  <si>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</si>
  <si>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</si>
  <si>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</si>
  <si>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</si>
  <si>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</si>
  <si>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</si>
  <si>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</si>
  <si>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</si>
  <si>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</si>
  <si>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</si>
  <si>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</si>
  <si>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</si>
  <si>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</si>
  <si>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</si>
  <si>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</si>
  <si>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</si>
  <si>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</si>
  <si>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</si>
  <si>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</si>
  <si>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</si>
  <si>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</si>
  <si>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</si>
  <si>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</si>
  <si>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</si>
  <si>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</si>
  <si>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</si>
  <si>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</si>
  <si>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</si>
  <si>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</si>
  <si>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</si>
  <si>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</si>
  <si>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</si>
  <si>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</si>
  <si>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</si>
  <si>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</si>
  <si>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</si>
  <si>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</si>
  <si>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</si>
  <si>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</si>
  <si>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</si>
  <si>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</si>
  <si>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</si>
  <si>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</si>
  <si>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</si>
  <si>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</si>
  <si>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</si>
  <si>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</si>
  <si>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</si>
  <si>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</si>
  <si>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</si>
  <si>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</si>
  <si>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</si>
  <si>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</si>
  <si>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</si>
  <si>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</si>
  <si>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</si>
  <si>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</si>
  <si>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</si>
  <si>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</si>
  <si>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</si>
  <si>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</si>
  <si>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</si>
  <si>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</si>
  <si>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</si>
  <si>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</si>
  <si>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</si>
  <si>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</si>
  <si>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</si>
  <si>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</si>
  <si>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</si>
  <si>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</si>
  <si>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</si>
  <si>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</si>
  <si>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</si>
  <si>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</si>
  <si>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</si>
  <si>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</si>
  <si>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</si>
  <si>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</si>
  <si>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</si>
  <si>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</si>
  <si>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</si>
  <si>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</si>
  <si>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</si>
  <si>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</si>
  <si>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</si>
  <si>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</si>
  <si>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</si>
  <si>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</si>
  <si>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</si>
  <si>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</si>
  <si>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</si>
  <si>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</si>
  <si>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</si>
  <si>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</si>
  <si>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</si>
  <si>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</si>
  <si>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</si>
  <si>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</si>
  <si>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</si>
  <si>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</si>
  <si>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</si>
  <si>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</si>
  <si>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</si>
  <si>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</si>
  <si>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</si>
  <si>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</si>
  <si>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</si>
  <si>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</si>
  <si>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</si>
  <si>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</si>
  <si>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</si>
  <si>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</si>
  <si>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</si>
  <si>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</si>
  <si>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</si>
  <si>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</si>
  <si>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</si>
  <si>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</si>
  <si>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</si>
  <si>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</si>
  <si>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</si>
  <si>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</si>
  <si>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</si>
  <si>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</si>
  <si>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</si>
  <si>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</si>
  <si>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</si>
  <si>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</si>
  <si>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</si>
  <si>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</si>
  <si>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</si>
  <si>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</si>
  <si>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</si>
  <si>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</si>
  <si>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</si>
  <si>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</si>
  <si>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</si>
  <si>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</si>
  <si>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</si>
  <si>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</si>
  <si>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</si>
  <si>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</si>
  <si>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</si>
  <si>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</si>
  <si>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</si>
  <si>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</si>
  <si>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</si>
  <si>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</si>
  <si>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</si>
  <si>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</si>
  <si>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</si>
  <si>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</si>
  <si>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</si>
  <si>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</si>
  <si>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</si>
  <si>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</si>
  <si>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</si>
  <si>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</si>
  <si>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</si>
  <si>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</si>
  <si>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</si>
  <si>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</si>
  <si>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</si>
  <si>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</si>
  <si>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</si>
  <si>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</si>
  <si>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</si>
  <si>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</si>
  <si>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</si>
  <si>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</si>
  <si>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</si>
  <si>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</si>
  <si>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</si>
  <si>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</si>
  <si>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</si>
  <si>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</si>
  <si>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</si>
  <si>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</si>
  <si>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</si>
  <si>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</si>
  <si>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</si>
  <si>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</si>
  <si>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</si>
  <si>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</si>
  <si>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</si>
  <si>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</si>
  <si>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</si>
  <si>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</si>
  <si>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</si>
  <si>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</si>
  <si>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</si>
  <si>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</si>
  <si>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</si>
  <si>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</si>
  <si>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</si>
  <si>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</si>
  <si>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</si>
  <si>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</si>
  <si>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</si>
  <si>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</si>
  <si>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</si>
  <si>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</si>
  <si>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</si>
  <si>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</si>
  <si>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</si>
  <si>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</si>
  <si>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</si>
  <si>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</si>
  <si>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</si>
  <si>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</si>
  <si>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</si>
  <si>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</si>
  <si>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</si>
  <si>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</si>
  <si>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</si>
  <si>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</si>
  <si>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</si>
  <si>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</si>
  <si>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</si>
  <si>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</si>
  <si>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</si>
  <si>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</si>
  <si>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</si>
  <si>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</si>
  <si>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</si>
  <si>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</si>
  <si>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</si>
  <si>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</si>
  <si>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</si>
  <si>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</si>
  <si>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</si>
  <si>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</si>
  <si>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</si>
  <si>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</si>
  <si>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</si>
  <si>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</si>
  <si>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</si>
  <si>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</si>
  <si>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</si>
  <si>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</si>
  <si>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</si>
  <si>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</si>
  <si>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</si>
  <si>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</si>
  <si>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</si>
  <si>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</si>
  <si>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</si>
  <si>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</si>
  <si>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</si>
  <si>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</si>
  <si>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</si>
  <si>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</si>
  <si>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</si>
  <si>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</si>
  <si>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</si>
  <si>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</si>
  <si>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</si>
  <si>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</si>
  <si>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</si>
  <si>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</si>
  <si>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</si>
  <si>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</si>
  <si>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</si>
  <si>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</si>
  <si>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</si>
  <si>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</si>
  <si>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</si>
  <si>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</si>
  <si>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</si>
  <si>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</si>
  <si>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</si>
  <si>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</si>
  <si>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</si>
  <si>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</si>
  <si>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</si>
  <si>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</si>
  <si>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</si>
  <si>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</si>
  <si>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</si>
  <si>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</si>
  <si>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</si>
  <si>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</si>
  <si>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</si>
  <si>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</si>
  <si>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</si>
  <si>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</si>
  <si>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</si>
  <si>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</si>
  <si>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</si>
  <si>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</si>
  <si>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</si>
  <si>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</si>
  <si>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</si>
  <si>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</si>
  <si>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</si>
  <si>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</si>
  <si>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</si>
  <si>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</si>
  <si>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</si>
  <si>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</si>
  <si>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</si>
  <si>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</si>
  <si>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</si>
  <si>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</si>
  <si>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</si>
  <si>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</si>
  <si>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</si>
  <si>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</si>
  <si>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</si>
  <si>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</si>
  <si>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</si>
  <si>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</si>
  <si>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</si>
  <si>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</si>
  <si>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</si>
  <si>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</si>
  <si>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</si>
  <si>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</si>
  <si>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</si>
  <si>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</si>
  <si>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</si>
  <si>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</si>
  <si>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</si>
  <si>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</si>
  <si>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</si>
  <si>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</si>
  <si>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</si>
  <si>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</si>
  <si>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</si>
  <si>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</si>
  <si>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</si>
  <si>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</si>
  <si>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</si>
  <si>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</si>
  <si>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</si>
  <si>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</si>
  <si>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</si>
  <si>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</si>
  <si>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</si>
  <si>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</si>
  <si>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</si>
  <si>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</si>
  <si>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</si>
  <si>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</si>
  <si>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</si>
  <si>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</si>
  <si>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</si>
  <si>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</si>
  <si>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</si>
  <si>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</si>
  <si>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</si>
  <si>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</si>
  <si>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</si>
  <si>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</si>
  <si>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</si>
  <si>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</si>
  <si>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</si>
  <si>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</si>
  <si>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</si>
  <si>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</si>
  <si>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</si>
  <si>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</si>
  <si>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</si>
  <si>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</si>
  <si>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</si>
  <si>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</si>
  <si>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</si>
  <si>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</si>
  <si>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</si>
  <si>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</si>
  <si>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</si>
  <si>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</si>
  <si>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</si>
  <si>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</si>
  <si>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</si>
  <si>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</si>
  <si>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</si>
  <si>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</si>
  <si>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</si>
  <si>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</si>
  <si>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</si>
  <si>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</si>
  <si>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</si>
  <si>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</si>
  <si>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</si>
  <si>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</si>
  <si>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</si>
  <si>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</si>
  <si>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</si>
  <si>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</si>
  <si>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</si>
  <si>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</si>
  <si>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</si>
  <si>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</si>
  <si>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</si>
  <si>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</si>
  <si>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</si>
  <si>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</si>
  <si>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</si>
  <si>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</si>
  <si>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</si>
  <si>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</si>
  <si>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</si>
  <si>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</si>
  <si>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</si>
  <si>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</si>
  <si>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</si>
  <si>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</si>
  <si>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</si>
  <si>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</si>
  <si>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</si>
  <si>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</si>
  <si>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</si>
  <si>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</si>
  <si>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</si>
  <si>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</si>
  <si>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</si>
  <si>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</si>
  <si>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</si>
  <si>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</si>
  <si>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</si>
  <si>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</si>
  <si>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</si>
  <si>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</si>
  <si>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</si>
  <si>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</si>
  <si>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</si>
  <si>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</si>
  <si>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</si>
  <si>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</si>
  <si>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</si>
  <si>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</si>
  <si>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</si>
  <si>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</si>
  <si>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</si>
  <si>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</si>
  <si>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</si>
  <si>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</si>
  <si>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</si>
  <si>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</si>
  <si>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</si>
  <si>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</si>
  <si>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</si>
  <si>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</si>
  <si>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</si>
  <si>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</si>
  <si>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</si>
  <si>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</si>
  <si>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</si>
  <si>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</si>
  <si>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</si>
  <si>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</si>
  <si>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</si>
  <si>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</si>
  <si>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</si>
  <si>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</si>
  <si>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</si>
  <si>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</si>
  <si>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</si>
  <si>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</si>
  <si>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</si>
  <si>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</si>
  <si>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</si>
  <si>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</si>
  <si>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</si>
  <si>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</si>
  <si>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</si>
  <si>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</si>
  <si>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</si>
  <si>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</si>
  <si>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</si>
  <si>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</si>
  <si>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</si>
  <si>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</si>
  <si>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</si>
  <si>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</si>
  <si>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</si>
  <si>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</si>
  <si>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</si>
  <si>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</si>
  <si>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</si>
  <si>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</si>
  <si>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</si>
  <si>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</si>
  <si>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</si>
  <si>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</si>
  <si>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</si>
  <si>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</si>
  <si>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</si>
  <si>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</si>
  <si>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</si>
  <si>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</si>
  <si>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</si>
  <si>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</si>
  <si>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</si>
  <si>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</si>
  <si>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</si>
  <si>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</si>
  <si>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</si>
  <si>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</si>
  <si>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</si>
  <si>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</si>
  <si>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</si>
  <si>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</si>
  <si>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</si>
  <si>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</si>
  <si>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</si>
  <si>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</si>
  <si>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</si>
  <si>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</si>
  <si>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</si>
  <si>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</si>
  <si>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</si>
  <si>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</si>
  <si>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</si>
  <si>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</si>
  <si>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</si>
  <si>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</si>
  <si>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</si>
  <si>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</si>
  <si>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</si>
  <si>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</si>
  <si>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</si>
  <si>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</si>
  <si>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</si>
  <si>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</si>
  <si>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</si>
  <si>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</si>
  <si>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</si>
  <si>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</si>
  <si>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</si>
  <si>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</si>
  <si>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</si>
  <si>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</si>
  <si>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</si>
  <si>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</si>
  <si>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</si>
  <si>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</si>
  <si>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</si>
  <si>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</si>
  <si>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</si>
  <si>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</si>
  <si>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</si>
  <si>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</si>
  <si>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</si>
  <si>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</si>
  <si>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</si>
  <si>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</si>
  <si>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</si>
  <si>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</si>
  <si>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</si>
  <si>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</si>
  <si>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</si>
  <si>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</si>
  <si>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</si>
  <si>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</si>
  <si>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</si>
  <si>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</si>
  <si>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</si>
  <si>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</si>
  <si>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</si>
  <si>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</si>
  <si>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</si>
  <si>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</si>
  <si>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</si>
  <si>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</si>
  <si>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</si>
  <si>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</si>
  <si>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</si>
  <si>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</si>
  <si>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</si>
  <si>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</si>
  <si>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</si>
  <si>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</si>
  <si>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</si>
  <si>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</si>
  <si>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</si>
  <si>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</si>
  <si>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</si>
  <si>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</si>
  <si>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</si>
  <si>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</si>
  <si>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</si>
  <si>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</si>
  <si>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</si>
  <si>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</si>
  <si>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</si>
  <si>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</si>
  <si>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</si>
  <si>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</si>
  <si>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</si>
  <si>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</si>
  <si>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</si>
  <si>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</si>
  <si>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</si>
  <si>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</si>
  <si>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</si>
  <si>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</si>
  <si>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</si>
  <si>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</si>
  <si>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</si>
  <si>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</si>
  <si>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</si>
  <si>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</si>
  <si>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</si>
  <si>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</si>
  <si>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</si>
  <si>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</si>
  <si>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</si>
  <si>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</si>
  <si>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</si>
  <si>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</si>
  <si>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</si>
  <si>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</si>
  <si>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</si>
  <si>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</si>
  <si>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</si>
  <si>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</si>
  <si>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</si>
  <si>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</si>
  <si>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</si>
  <si>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</si>
  <si>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</si>
  <si>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</si>
  <si>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</si>
  <si>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</si>
  <si>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</si>
  <si>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</si>
  <si>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</si>
  <si>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</si>
  <si>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</si>
  <si>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</si>
  <si>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</si>
  <si>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</si>
  <si>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</si>
  <si>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</si>
  <si>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</si>
  <si>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</si>
  <si>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</si>
  <si>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</si>
  <si>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</si>
  <si>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</si>
  <si>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</si>
  <si>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</si>
  <si>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</si>
  <si>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</si>
  <si>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</si>
  <si>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</si>
  <si>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</si>
  <si>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</si>
  <si>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</si>
  <si>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</si>
  <si>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</si>
  <si>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</si>
  <si>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</si>
  <si>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</si>
  <si>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</si>
  <si>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</si>
  <si>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</si>
  <si>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</si>
  <si>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</si>
  <si>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</si>
  <si>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</si>
  <si>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</si>
  <si>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</si>
  <si>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</si>
  <si>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</si>
  <si>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</si>
  <si>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</si>
  <si>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</si>
  <si>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</si>
  <si>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</si>
  <si>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</si>
  <si>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</si>
  <si>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</si>
  <si>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</si>
  <si>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</si>
  <si>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</si>
  <si>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</si>
  <si>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</si>
  <si>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</si>
  <si>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</si>
  <si>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</si>
  <si>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</si>
  <si>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</si>
  <si>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</si>
  <si>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</si>
  <si>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</si>
  <si>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</si>
  <si>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</si>
  <si>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</si>
  <si>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</si>
  <si>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</si>
  <si>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</si>
  <si>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</si>
  <si>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</si>
  <si>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</si>
  <si>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</si>
  <si>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</si>
  <si>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</si>
  <si>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</si>
  <si>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</si>
  <si>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</si>
  <si>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</si>
  <si>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</si>
  <si>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</si>
  <si>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</si>
  <si>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</si>
  <si>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</si>
  <si>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</si>
  <si>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</si>
  <si>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</si>
  <si>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</si>
  <si>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</si>
  <si>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</si>
  <si>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</si>
  <si>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</si>
  <si>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</si>
  <si>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</si>
  <si>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</si>
  <si>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</si>
  <si>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</si>
  <si>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</si>
  <si>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</si>
  <si>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</si>
  <si>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</si>
  <si>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</si>
  <si>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</si>
  <si>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</si>
  <si>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</si>
  <si>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</si>
  <si>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</si>
  <si>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</si>
  <si>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</si>
  <si>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</si>
  <si>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</si>
  <si>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</si>
  <si>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</si>
  <si>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</si>
  <si>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</si>
  <si>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</si>
  <si>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</si>
  <si>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</si>
  <si>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</si>
  <si>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</si>
  <si>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</si>
  <si>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</si>
  <si>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</si>
  <si>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</si>
  <si>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</si>
  <si>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</si>
  <si>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</si>
  <si>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</si>
  <si>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</si>
  <si>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</si>
  <si>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</si>
  <si>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</si>
  <si>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</si>
  <si>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</si>
  <si>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</si>
  <si>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</si>
  <si>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</si>
  <si>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</si>
  <si>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</si>
  <si>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</si>
  <si>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</si>
  <si>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</si>
  <si>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</si>
  <si>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</si>
  <si>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</si>
  <si>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</si>
  <si>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</si>
  <si>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</si>
  <si>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</si>
  <si>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</si>
  <si>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</si>
  <si>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</si>
  <si>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</si>
  <si>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</si>
  <si>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</si>
  <si>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</si>
  <si>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</si>
  <si>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</si>
  <si>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</si>
  <si>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</si>
  <si>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</si>
  <si>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</si>
  <si>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</si>
  <si>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</si>
  <si>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</si>
  <si>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</si>
  <si>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</si>
  <si>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</si>
  <si>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</si>
  <si>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</si>
  <si>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</si>
  <si>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</si>
  <si>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</si>
  <si>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</si>
  <si>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</si>
  <si>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</si>
  <si>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</si>
  <si>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</si>
  <si>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</si>
  <si>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</si>
  <si>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</si>
  <si>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</si>
  <si>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</si>
  <si>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</si>
  <si>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</si>
  <si>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</si>
  <si>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</si>
  <si>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</si>
  <si>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</si>
  <si>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</si>
  <si>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</si>
  <si>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</si>
  <si>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</si>
  <si>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</si>
  <si>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</si>
  <si>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</si>
  <si>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</si>
  <si>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</si>
  <si>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</si>
  <si>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</si>
  <si>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</si>
  <si>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</si>
  <si>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</si>
  <si>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</si>
  <si>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</si>
  <si>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</si>
  <si>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</si>
  <si>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</si>
  <si>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</si>
  <si>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</si>
  <si>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</si>
  <si>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</si>
  <si>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</si>
  <si>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</si>
  <si>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</si>
  <si>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</si>
  <si>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</si>
  <si>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</si>
  <si>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</si>
  <si>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</si>
  <si>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</si>
  <si>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</si>
  <si>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</si>
  <si>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</si>
  <si>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</si>
  <si>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</si>
  <si>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</si>
  <si>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</si>
  <si>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</si>
  <si>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</si>
  <si>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</si>
  <si>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</si>
  <si>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</si>
  <si>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</si>
  <si>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</si>
  <si>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</si>
  <si>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</si>
  <si>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</si>
  <si>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</si>
  <si>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</si>
  <si>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</si>
  <si>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</si>
  <si>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</si>
  <si>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</si>
  <si>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</si>
  <si>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</si>
  <si>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</si>
  <si>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</si>
  <si>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</si>
  <si>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</si>
  <si>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</si>
  <si>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</si>
  <si>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</si>
  <si>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</si>
  <si>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</si>
  <si>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</si>
  <si>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</si>
  <si>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</si>
  <si>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</si>
  <si>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</si>
  <si>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</si>
  <si>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</si>
  <si>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</si>
  <si>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</si>
  <si>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</si>
  <si>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</si>
  <si>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</si>
  <si>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</si>
  <si>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</si>
  <si>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</si>
  <si>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</si>
  <si>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</si>
  <si>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</si>
  <si>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</si>
  <si>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</si>
  <si>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</si>
  <si>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</si>
  <si>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</si>
  <si>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</si>
  <si>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</si>
  <si>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</si>
  <si>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</si>
  <si>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</si>
  <si>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</si>
  <si>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</si>
  <si>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</si>
  <si>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</si>
  <si>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</si>
  <si>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</si>
  <si>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</si>
  <si>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</si>
  <si>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</si>
  <si>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</si>
  <si>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</si>
  <si>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</si>
  <si>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</si>
  <si>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</si>
  <si>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</si>
  <si>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</si>
  <si>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</si>
  <si>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</si>
  <si>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</si>
  <si>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</si>
  <si>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</si>
  <si>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</si>
  <si>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</si>
  <si>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</si>
  <si>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</si>
  <si>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</si>
  <si>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</si>
  <si>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</si>
  <si>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</si>
  <si>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</si>
  <si>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</si>
  <si>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</si>
  <si>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</si>
  <si>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</si>
  <si>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</si>
  <si>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</si>
  <si>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</si>
  <si>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</si>
  <si>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</si>
  <si>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</si>
  <si>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</si>
  <si>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</si>
  <si>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</si>
  <si>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</si>
  <si>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</si>
  <si>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</si>
  <si>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</si>
  <si>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</si>
  <si>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</si>
  <si>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</si>
  <si>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</si>
  <si>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</si>
  <si>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</si>
  <si>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</si>
  <si>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</si>
  <si>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</si>
  <si>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</si>
  <si>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</si>
  <si>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</si>
  <si>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</si>
  <si>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</si>
  <si>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</si>
  <si>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</si>
  <si>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</si>
  <si>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</si>
  <si>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</si>
  <si>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</si>
  <si>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</si>
  <si>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</si>
  <si>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</si>
  <si>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</si>
  <si>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</si>
  <si>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</si>
  <si>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</si>
  <si>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</si>
  <si>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</si>
  <si>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</si>
  <si>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</si>
  <si>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</si>
  <si>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</si>
  <si>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</si>
  <si>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</si>
  <si>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</si>
  <si>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</si>
  <si>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</si>
  <si>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</si>
  <si>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</si>
  <si>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</si>
  <si>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</si>
  <si>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</si>
  <si>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</si>
  <si>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</si>
  <si>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</si>
  <si>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</si>
  <si>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</si>
  <si>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</si>
  <si>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</si>
  <si>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</si>
  <si>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</si>
  <si>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</si>
  <si>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</si>
  <si>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</si>
  <si>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</si>
  <si>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</si>
  <si>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</si>
  <si>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</si>
  <si>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</si>
  <si>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</si>
  <si>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</si>
  <si>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</si>
  <si>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</si>
  <si>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</si>
  <si>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</si>
  <si>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</si>
  <si>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</si>
  <si>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</si>
  <si>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</si>
  <si>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</si>
  <si>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</si>
  <si>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</si>
  <si>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</si>
  <si>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</si>
  <si>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</si>
  <si>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</si>
  <si>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</si>
  <si>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</si>
  <si>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</si>
  <si>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</si>
  <si>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</si>
  <si>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</si>
  <si>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</si>
  <si>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</si>
  <si>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</si>
  <si>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</si>
  <si>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</si>
  <si>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</si>
  <si>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</si>
  <si>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</si>
  <si>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</si>
  <si>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</si>
  <si>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</si>
  <si>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</si>
  <si>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</si>
  <si>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</si>
  <si>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</si>
  <si>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</si>
  <si>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</si>
  <si>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</si>
  <si>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</si>
  <si>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</si>
  <si>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</si>
  <si>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</si>
  <si>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</si>
  <si>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</si>
  <si>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</si>
  <si>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</si>
  <si>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</si>
  <si>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</si>
  <si>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</si>
  <si>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</si>
  <si>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</si>
  <si>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</si>
  <si>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</si>
  <si>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</si>
  <si>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</si>
  <si>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</si>
  <si>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</si>
  <si>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</si>
  <si>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</si>
  <si>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</si>
  <si>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</si>
  <si>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</si>
  <si>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</si>
  <si>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</si>
  <si>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</si>
  <si>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</si>
  <si>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</si>
  <si>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</si>
  <si>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</si>
  <si>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</si>
  <si>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</si>
  <si>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</si>
  <si>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</si>
  <si>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</si>
  <si>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</si>
  <si>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</si>
  <si>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</si>
  <si>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</si>
  <si>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</si>
  <si>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</si>
  <si>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</si>
  <si>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</si>
  <si>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</si>
  <si>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</si>
  <si>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</si>
  <si>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</si>
  <si>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</si>
  <si>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</si>
  <si>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</si>
  <si>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</si>
  <si>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</si>
  <si>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</si>
  <si>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</si>
  <si>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</si>
  <si>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</si>
  <si>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</si>
  <si>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</si>
  <si>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</si>
  <si>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</si>
  <si>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</si>
  <si>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</si>
  <si>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</si>
  <si>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</si>
  <si>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</si>
  <si>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</si>
  <si>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</si>
  <si>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</si>
  <si>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</si>
  <si>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</si>
  <si>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</si>
  <si>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</si>
  <si>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</si>
  <si>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</si>
  <si>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</si>
  <si>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</si>
  <si>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</si>
  <si>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</si>
  <si>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</si>
  <si>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</si>
  <si>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</si>
  <si>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</si>
  <si>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</si>
  <si>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</si>
  <si>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</si>
  <si>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</si>
  <si>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</si>
  <si>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</si>
  <si>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</si>
  <si>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</si>
  <si>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</si>
  <si>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</si>
  <si>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</si>
  <si>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</si>
  <si>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</si>
  <si>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</si>
  <si>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</si>
  <si>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</si>
  <si>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</si>
  <si>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</si>
  <si>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</si>
  <si>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</si>
  <si>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</si>
  <si>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</si>
  <si>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</si>
  <si>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</si>
  <si>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</si>
  <si>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</si>
  <si>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</si>
  <si>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</si>
  <si>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</si>
  <si>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</si>
  <si>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</si>
  <si>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</si>
  <si>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</si>
  <si>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</si>
  <si>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</si>
  <si>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</si>
  <si>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</si>
  <si>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</si>
  <si>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</si>
  <si>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</si>
  <si>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</si>
  <si>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</si>
  <si>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</si>
  <si>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</si>
  <si>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</si>
  <si>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</si>
  <si>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</si>
  <si>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</si>
  <si>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</si>
  <si>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</si>
  <si>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</si>
  <si>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</si>
  <si>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</si>
  <si>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</si>
  <si>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</si>
  <si>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</si>
  <si>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</si>
  <si>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</si>
  <si>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</si>
  <si>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</si>
  <si>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</si>
  <si>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</si>
  <si>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</si>
  <si>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</si>
  <si>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</si>
  <si>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</si>
  <si>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</si>
  <si>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</si>
  <si>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</si>
  <si>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</si>
  <si>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</si>
  <si>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</si>
  <si>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</si>
  <si>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</si>
  <si>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</si>
  <si>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</si>
  <si>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</si>
  <si>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</si>
  <si>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</si>
  <si>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</si>
  <si>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</si>
  <si>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</si>
  <si>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</si>
  <si>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</si>
  <si>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</si>
  <si>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</si>
  <si>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</si>
  <si>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</si>
  <si>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</si>
  <si>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</si>
  <si>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</si>
  <si>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</si>
  <si>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</si>
  <si>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</si>
  <si>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</si>
  <si>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</si>
  <si>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</si>
  <si>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</si>
  <si>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</si>
  <si>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</si>
  <si>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</si>
  <si>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</si>
  <si>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</si>
  <si>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</si>
  <si>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</si>
  <si>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</si>
  <si>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</si>
  <si>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</si>
  <si>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</si>
  <si>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</si>
  <si>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</si>
  <si>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</si>
  <si>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</si>
  <si>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</si>
  <si>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</si>
  <si>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</si>
  <si>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</si>
  <si>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</si>
  <si>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</si>
  <si>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</si>
  <si>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</si>
  <si>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</si>
  <si>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</si>
  <si>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</si>
  <si>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</si>
  <si>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</si>
  <si>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</si>
  <si>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</si>
  <si>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</si>
  <si>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</si>
  <si>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</si>
  <si>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</si>
  <si>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</si>
  <si>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</si>
  <si>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</si>
  <si>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</si>
  <si>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</si>
  <si>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</si>
  <si>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</si>
  <si>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</si>
  <si>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</si>
  <si>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</si>
  <si>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</si>
  <si>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</si>
  <si>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</si>
  <si>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</si>
  <si>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</si>
  <si>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</si>
  <si>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</si>
  <si>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</si>
  <si>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</si>
  <si>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</si>
  <si>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</si>
  <si>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</si>
  <si>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</si>
  <si>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</si>
  <si>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</si>
  <si>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</si>
  <si>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</si>
  <si>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</si>
  <si>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</si>
  <si>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</si>
  <si>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</si>
  <si>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</si>
  <si>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</si>
  <si>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</si>
  <si>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</si>
  <si>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</si>
  <si>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</si>
  <si>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</si>
  <si>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</si>
  <si>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</si>
  <si>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</si>
  <si>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</si>
  <si>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</si>
  <si>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</si>
  <si>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</si>
  <si>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</si>
  <si>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</si>
  <si>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</si>
  <si>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</si>
  <si>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</si>
  <si>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</si>
  <si>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</si>
  <si>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</si>
  <si>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</si>
  <si>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</si>
  <si>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</si>
  <si>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</si>
  <si>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</si>
  <si>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</si>
  <si>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</si>
  <si>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</si>
  <si>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</si>
  <si>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</si>
  <si>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</si>
  <si>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</si>
  <si>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</si>
  <si>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</si>
  <si>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</si>
  <si>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</si>
  <si>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</si>
  <si>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</si>
  <si>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</si>
  <si>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</si>
  <si>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</si>
  <si>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</si>
  <si>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</si>
  <si>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</si>
  <si>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</si>
  <si>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</si>
  <si>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</si>
  <si>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</si>
  <si>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</si>
  <si>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</si>
  <si>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</si>
  <si>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</si>
  <si>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</si>
  <si>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</si>
  <si>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</si>
  <si>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</si>
  <si>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</si>
  <si>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</si>
  <si>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</si>
  <si>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</si>
  <si>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</si>
  <si>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</si>
  <si>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</si>
  <si>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</si>
  <si>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</si>
  <si>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</si>
  <si>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</si>
  <si>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</si>
  <si>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</si>
  <si>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</si>
  <si>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</si>
  <si>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</si>
  <si>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</si>
  <si>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</si>
  <si>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</si>
  <si>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</si>
  <si>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</si>
  <si>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</si>
  <si>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</si>
  <si>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</si>
  <si>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</si>
  <si>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</si>
  <si>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</si>
  <si>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</si>
  <si>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</si>
  <si>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</si>
  <si>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</si>
  <si>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</si>
  <si>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</si>
  <si>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</si>
  <si>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</si>
  <si>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</si>
  <si>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</si>
  <si>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</si>
  <si>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</si>
  <si>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</si>
  <si>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</si>
  <si>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</si>
  <si>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</si>
  <si>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</si>
  <si>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</si>
  <si>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</si>
  <si>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</si>
  <si>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</si>
  <si>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</si>
  <si>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</si>
  <si>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</si>
  <si>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</si>
  <si>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</si>
  <si>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</si>
  <si>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</si>
  <si>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</si>
  <si>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</si>
  <si>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</si>
  <si>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</si>
  <si>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</si>
  <si>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</si>
  <si>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</si>
  <si>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</si>
  <si>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</si>
  <si>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</si>
  <si>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</si>
  <si>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</si>
  <si>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</si>
  <si>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</si>
  <si>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</si>
  <si>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</si>
  <si>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</si>
  <si>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</si>
  <si>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</si>
  <si>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</si>
  <si>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</si>
  <si>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</si>
  <si>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</si>
  <si>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</si>
  <si>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</si>
  <si>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</si>
  <si>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</si>
  <si>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</si>
  <si>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</si>
  <si>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</si>
  <si>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</si>
  <si>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</si>
  <si>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</si>
  <si>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</si>
  <si>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</si>
  <si>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</si>
  <si>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</si>
  <si>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</si>
  <si>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</si>
  <si>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</si>
  <si>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</si>
  <si>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</si>
  <si>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</si>
  <si>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</si>
  <si>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</si>
  <si>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</si>
  <si>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</si>
  <si>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</si>
  <si>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</si>
  <si>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</si>
  <si>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</si>
  <si>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</si>
  <si>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</si>
  <si>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</si>
  <si>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</si>
  <si>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</si>
  <si>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</si>
  <si>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</si>
  <si>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</si>
  <si>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</si>
  <si>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</si>
  <si>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</si>
  <si>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</si>
  <si>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</si>
  <si>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</si>
  <si>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</si>
  <si>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</si>
  <si>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</si>
  <si>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</si>
  <si>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</si>
  <si>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</si>
  <si>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</si>
  <si>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</si>
  <si>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</si>
  <si>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</si>
  <si>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</si>
  <si>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</si>
  <si>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</si>
  <si>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</si>
  <si>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</si>
  <si>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</si>
  <si>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</si>
  <si>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</si>
  <si>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</si>
  <si>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</si>
  <si>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</si>
  <si>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</si>
  <si>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</si>
  <si>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</si>
  <si>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</si>
  <si>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</si>
  <si>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</si>
  <si>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</si>
  <si>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</si>
  <si>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</si>
  <si>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</si>
  <si>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</si>
  <si>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</si>
  <si>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</si>
  <si>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</si>
  <si>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</si>
  <si>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</si>
  <si>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</si>
  <si>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</si>
  <si>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</si>
  <si>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</si>
  <si>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</si>
  <si>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</si>
  <si>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</si>
  <si>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</si>
  <si>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</si>
  <si>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</si>
  <si>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</si>
  <si>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</si>
  <si>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</si>
  <si>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</si>
  <si>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</si>
  <si>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</si>
  <si>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</si>
  <si>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</si>
  <si>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</si>
  <si>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</si>
  <si>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</si>
  <si>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</si>
  <si>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</si>
  <si>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</si>
  <si>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</si>
  <si>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</si>
  <si>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</si>
  <si>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</si>
  <si>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</si>
  <si>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</si>
  <si>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</si>
  <si>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</si>
  <si>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</si>
  <si>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</si>
  <si>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</si>
  <si>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</si>
  <si>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</si>
  <si>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</si>
  <si>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</si>
  <si>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</si>
  <si>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</si>
  <si>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</si>
  <si>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</si>
  <si>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</si>
  <si>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</si>
  <si>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</si>
  <si>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</si>
  <si>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</si>
  <si>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</si>
  <si>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</si>
  <si>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</si>
  <si>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</si>
  <si>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</si>
  <si>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</si>
  <si>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</si>
  <si>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</si>
  <si>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</si>
  <si>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</si>
  <si>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</si>
  <si>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</si>
  <si>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</si>
  <si>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</si>
  <si>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</si>
  <si>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</si>
  <si>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</si>
  <si>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</si>
  <si>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</si>
  <si>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</si>
  <si>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</si>
  <si>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</si>
  <si>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</si>
  <si>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</si>
  <si>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</si>
  <si>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</si>
  <si>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</si>
  <si>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</si>
  <si>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</si>
  <si>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</si>
  <si>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</si>
  <si>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</si>
  <si>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</si>
  <si>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</si>
  <si>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</si>
  <si>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</si>
  <si>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</si>
  <si>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</si>
  <si>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</si>
  <si>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</si>
  <si>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</si>
  <si>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</si>
  <si>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</si>
  <si>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</si>
  <si>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</si>
  <si>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</si>
  <si>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</si>
  <si>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</si>
  <si>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</si>
  <si>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</si>
  <si>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</si>
  <si>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</si>
  <si>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</si>
  <si>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</si>
  <si>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</si>
  <si>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</si>
  <si>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</si>
  <si>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</si>
  <si>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</si>
  <si>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</si>
  <si>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</si>
  <si>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</si>
  <si>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</si>
  <si>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</si>
  <si>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</si>
  <si>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</si>
  <si>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</si>
  <si>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</si>
  <si>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</si>
  <si>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</si>
  <si>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</si>
  <si>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</si>
  <si>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</si>
  <si>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</si>
  <si>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</si>
  <si>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</si>
  <si>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</si>
  <si>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</si>
  <si>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</si>
  <si>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</si>
  <si>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</si>
  <si>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</si>
  <si>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</si>
  <si>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</si>
  <si>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</si>
  <si>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</si>
  <si>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</si>
  <si>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</si>
  <si>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</si>
  <si>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</si>
  <si>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</si>
  <si>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</si>
  <si>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</si>
  <si>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</si>
  <si>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</si>
  <si>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</si>
  <si>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</si>
  <si>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</si>
  <si>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</si>
  <si>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</si>
  <si>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</si>
  <si>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</si>
  <si>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</si>
  <si>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</si>
  <si>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</si>
  <si>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</si>
  <si>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</si>
  <si>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</si>
  <si>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</si>
  <si>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</si>
  <si>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</si>
  <si>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</si>
  <si>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</si>
  <si>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</si>
  <si>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</si>
  <si>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</si>
  <si>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</si>
  <si>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</si>
  <si>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</si>
  <si>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</si>
  <si>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</si>
  <si>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</si>
  <si>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</si>
  <si>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</si>
  <si>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</si>
  <si>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</si>
  <si>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</si>
  <si>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</si>
  <si>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</si>
  <si>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</si>
  <si>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</si>
  <si>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</si>
  <si>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</si>
  <si>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</si>
  <si>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</si>
  <si>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</si>
  <si>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</si>
  <si>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</si>
  <si>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</si>
  <si>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</si>
  <si>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</si>
  <si>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</si>
  <si>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</si>
  <si>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</si>
  <si>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</si>
  <si>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</si>
  <si>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</si>
  <si>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</si>
  <si>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</si>
  <si>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</si>
  <si>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</si>
  <si>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</si>
  <si>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</si>
  <si>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</si>
  <si>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</si>
  <si>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</si>
  <si>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</si>
  <si>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</si>
  <si>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</si>
  <si>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</si>
  <si>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</si>
  <si>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</si>
  <si>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</si>
  <si>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</si>
  <si>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</si>
  <si>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</si>
  <si>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</si>
  <si>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</si>
  <si>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</si>
  <si>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</si>
  <si>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</si>
  <si>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</si>
  <si>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</si>
  <si>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</si>
  <si>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</si>
  <si>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</si>
  <si>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</si>
  <si>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</si>
  <si>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</si>
  <si>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</si>
  <si>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</si>
  <si>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</si>
  <si>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</si>
  <si>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</si>
  <si>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</si>
  <si>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</si>
  <si>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</si>
  <si>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</si>
  <si>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</si>
  <si>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</si>
  <si>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</si>
  <si>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</si>
  <si>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</si>
  <si>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</si>
  <si>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</si>
  <si>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</si>
  <si>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</si>
  <si>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</si>
  <si>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</si>
  <si>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</si>
  <si>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</si>
  <si>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</si>
  <si>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</si>
  <si>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</si>
  <si>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</si>
  <si>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</si>
  <si>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</si>
  <si>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</si>
  <si>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</si>
  <si>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</si>
  <si>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</si>
  <si>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</si>
  <si>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</si>
  <si>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</si>
  <si>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</si>
  <si>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</si>
  <si>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</si>
  <si>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</si>
  <si>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</si>
  <si>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</si>
  <si>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</si>
  <si>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</si>
  <si>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</si>
  <si>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</si>
  <si>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</si>
  <si>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</si>
  <si>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</si>
  <si>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</si>
  <si>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</si>
  <si>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</si>
  <si>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</si>
  <si>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</si>
  <si>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</si>
  <si>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</si>
  <si>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</si>
  <si>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</si>
  <si>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</si>
  <si>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</si>
  <si>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</si>
  <si>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</si>
  <si>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</si>
  <si>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</si>
  <si>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</si>
  <si>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</si>
  <si>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</si>
  <si>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</si>
  <si>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</si>
  <si>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</si>
  <si>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</si>
  <si>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</si>
  <si>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</si>
  <si>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</si>
  <si>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</si>
  <si>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</si>
  <si>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</si>
  <si>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</si>
  <si>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</si>
  <si>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</si>
  <si>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</si>
  <si>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</si>
  <si>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</si>
  <si>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</si>
  <si>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</si>
  <si>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</si>
  <si>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</si>
  <si>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</si>
  <si>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</si>
  <si>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</si>
  <si>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</si>
  <si>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</si>
  <si>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</si>
  <si>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</si>
  <si>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</si>
  <si>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</si>
  <si>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</si>
  <si>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</si>
  <si>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</si>
  <si>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</si>
  <si>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</si>
  <si>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</si>
  <si>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</si>
  <si>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</si>
  <si>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</si>
  <si>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</si>
  <si>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</si>
  <si>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</si>
  <si>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</si>
  <si>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</si>
  <si>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</si>
  <si>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</si>
  <si>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</si>
  <si>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</si>
  <si>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</si>
  <si>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</si>
  <si>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</si>
  <si>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</si>
  <si>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</si>
  <si>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</si>
  <si>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</si>
  <si>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</si>
  <si>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</si>
  <si>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</si>
  <si>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</si>
  <si>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</si>
  <si>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</si>
  <si>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</si>
  <si>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</si>
  <si>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</si>
  <si>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</si>
  <si>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</si>
  <si>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</si>
  <si>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</si>
  <si>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</si>
  <si>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</si>
  <si>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</si>
  <si>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</si>
  <si>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</si>
  <si>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</si>
  <si>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</si>
  <si>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</si>
  <si>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</si>
  <si>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</si>
  <si>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</si>
  <si>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</si>
  <si>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</si>
  <si>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</si>
  <si>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</si>
  <si>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</si>
  <si>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</si>
  <si>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</si>
  <si>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</si>
  <si>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</si>
  <si>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</si>
  <si>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</si>
  <si>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</si>
  <si>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</si>
  <si>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</si>
  <si>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</si>
  <si>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</si>
  <si>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</si>
  <si>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</si>
  <si>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</si>
  <si>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</si>
  <si>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</si>
  <si>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</si>
  <si>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</si>
  <si>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</si>
  <si>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</si>
  <si>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</si>
  <si>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</si>
  <si>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</si>
  <si>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</si>
  <si>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</si>
  <si>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</si>
  <si>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</si>
  <si>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</si>
  <si>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</si>
  <si>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</si>
  <si>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</si>
  <si>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</si>
  <si>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</si>
  <si>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</si>
  <si>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</si>
  <si>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</si>
  <si>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</si>
  <si>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</si>
  <si>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</si>
  <si>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</si>
  <si>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</si>
  <si>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</si>
  <si>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</si>
  <si>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</si>
  <si>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</si>
  <si>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</si>
  <si>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</si>
  <si>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</si>
  <si>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</si>
  <si>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</si>
  <si>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</si>
  <si>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</si>
  <si>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</si>
  <si>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</si>
  <si>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</si>
  <si>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</si>
  <si>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</si>
  <si>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</si>
  <si>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</si>
  <si>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</si>
  <si>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</si>
  <si>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</si>
  <si>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</si>
  <si>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</si>
  <si>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</si>
  <si>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</si>
  <si>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</si>
  <si>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</si>
  <si>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</si>
  <si>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</si>
  <si>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</si>
  <si>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</si>
  <si>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</si>
  <si>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</si>
  <si>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</si>
  <si>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</si>
  <si>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</si>
  <si>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</si>
  <si>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</si>
  <si>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</si>
  <si>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</si>
  <si>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</si>
  <si>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</si>
  <si>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</si>
  <si>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</si>
  <si>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</si>
  <si>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</si>
  <si>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</si>
  <si>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</si>
  <si>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</si>
  <si>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</si>
  <si>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</si>
  <si>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</si>
  <si>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</si>
  <si>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</si>
  <si>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</si>
  <si>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</si>
  <si>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</si>
  <si>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</si>
  <si>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</si>
  <si>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</si>
  <si>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</si>
  <si>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</si>
  <si>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</si>
  <si>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</si>
  <si>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</si>
  <si>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</si>
  <si>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</si>
  <si>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</si>
  <si>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</si>
  <si>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</si>
  <si>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</si>
  <si>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</si>
  <si>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</si>
  <si>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</si>
  <si>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</si>
  <si>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</si>
  <si>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</si>
  <si>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</si>
  <si>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</si>
  <si>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</si>
  <si>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</si>
  <si>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</si>
  <si>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</si>
  <si>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</si>
  <si>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</si>
  <si>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</si>
  <si>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</si>
  <si>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</si>
  <si>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</si>
  <si>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</si>
  <si>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</si>
  <si>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</si>
  <si>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</si>
  <si>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</si>
  <si>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</si>
  <si>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</si>
  <si>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</si>
  <si>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</si>
  <si>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</si>
  <si>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</si>
  <si>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</si>
  <si>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</si>
  <si>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</si>
  <si>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</si>
  <si>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</si>
  <si>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</si>
  <si>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</si>
  <si>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</si>
  <si>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</si>
  <si>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</si>
  <si>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</si>
  <si>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</si>
  <si>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</si>
  <si>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</si>
  <si>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</si>
  <si>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</si>
  <si>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</si>
  <si>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</si>
  <si>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</si>
  <si>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</si>
  <si>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</si>
  <si>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</si>
  <si>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</si>
  <si>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</si>
  <si>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</si>
  <si>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</si>
  <si>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</si>
  <si>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</si>
  <si>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</si>
  <si>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</si>
  <si>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</si>
  <si>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</si>
  <si>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</si>
  <si>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</si>
  <si>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</si>
  <si>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</si>
  <si>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</si>
  <si>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</si>
  <si>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</si>
  <si>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</si>
  <si>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</si>
  <si>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</si>
  <si>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</si>
  <si>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</si>
  <si>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</si>
  <si>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</si>
  <si>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</si>
  <si>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</si>
  <si>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</si>
  <si>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</si>
  <si>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</si>
  <si>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</si>
  <si>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</si>
  <si>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</si>
  <si>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</si>
  <si>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</si>
  <si>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</si>
  <si>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</si>
  <si>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</si>
  <si>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</si>
  <si>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</si>
  <si>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</si>
  <si>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</si>
  <si>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</si>
  <si>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</si>
  <si>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</si>
  <si>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</si>
  <si>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</si>
  <si>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</si>
  <si>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</si>
  <si>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</si>
  <si>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</si>
  <si>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</si>
  <si>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</si>
  <si>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</si>
  <si>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</si>
  <si>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</si>
  <si>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</si>
  <si>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</si>
  <si>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</si>
  <si>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</si>
  <si>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</si>
  <si>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</si>
  <si>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</si>
  <si>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</si>
  <si>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</si>
  <si>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</si>
  <si>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</si>
  <si>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</si>
  <si>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</si>
  <si>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</si>
  <si>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</si>
  <si>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</si>
  <si>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</si>
  <si>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</si>
  <si>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</si>
  <si>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</si>
  <si>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</si>
  <si>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</si>
  <si>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</si>
  <si>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</si>
  <si>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</si>
  <si>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</si>
  <si>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</si>
  <si>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</si>
  <si>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</si>
  <si>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</si>
  <si>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</si>
  <si>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</si>
  <si>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</si>
  <si>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</si>
  <si>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</si>
  <si>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</si>
  <si>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</si>
  <si>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</si>
  <si>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</si>
  <si>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</si>
  <si>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</si>
  <si>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</si>
  <si>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</si>
  <si>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</si>
  <si>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</si>
  <si>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</si>
  <si>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</si>
  <si>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</si>
  <si>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</si>
  <si>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</si>
  <si>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</si>
  <si>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</si>
  <si>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</si>
  <si>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</si>
  <si>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</si>
  <si>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</si>
  <si>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</si>
  <si>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</si>
  <si>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</si>
  <si>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</si>
  <si>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</si>
  <si>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</si>
  <si>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</si>
  <si>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</si>
  <si>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</si>
  <si>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</si>
  <si>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</si>
  <si>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</si>
  <si>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</si>
  <si>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</si>
  <si>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</si>
  <si>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</si>
  <si>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</si>
  <si>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</si>
  <si>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</si>
  <si>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</si>
  <si>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</si>
  <si>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</si>
  <si>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</si>
  <si>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</si>
  <si>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</si>
  <si>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</si>
  <si>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</si>
  <si>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</si>
  <si>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</si>
  <si>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</si>
  <si>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</si>
  <si>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</si>
  <si>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</si>
  <si>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</si>
  <si>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</si>
  <si>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</si>
  <si>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</si>
  <si>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</si>
  <si>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</si>
  <si>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</si>
  <si>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</si>
  <si>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</si>
  <si>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</si>
  <si>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</si>
  <si>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</si>
  <si>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</si>
  <si>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</si>
  <si>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</si>
  <si>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</si>
  <si>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</si>
  <si>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</si>
  <si>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</si>
  <si>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</si>
  <si>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</si>
  <si>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</si>
  <si>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</si>
  <si>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</si>
  <si>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</si>
  <si>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</si>
  <si>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</si>
  <si>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</si>
  <si>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</si>
  <si>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</si>
  <si>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</si>
  <si>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</si>
  <si>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</si>
  <si>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</si>
  <si>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</si>
  <si>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</si>
  <si>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</si>
  <si>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</si>
  <si>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</si>
  <si>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</si>
  <si>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</si>
  <si>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</si>
  <si>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</si>
  <si>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</si>
  <si>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</si>
  <si>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</si>
  <si>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</si>
  <si>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</si>
  <si>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</si>
  <si>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</si>
  <si>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</si>
  <si>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</si>
  <si>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</si>
  <si>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</si>
  <si>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</si>
  <si>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</si>
  <si>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</si>
  <si>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</si>
  <si>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</si>
  <si>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</si>
  <si>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</si>
  <si>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</si>
  <si>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</si>
  <si>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</si>
  <si>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</si>
  <si>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</si>
  <si>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</si>
  <si>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</si>
  <si>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</si>
  <si>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</si>
  <si>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</si>
  <si>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</si>
  <si>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</si>
  <si>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</si>
  <si>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</si>
  <si>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</si>
  <si>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</si>
  <si>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</si>
  <si>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</si>
  <si>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</si>
  <si>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</si>
  <si>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</si>
  <si>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</si>
  <si>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</si>
  <si>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</si>
  <si>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</si>
  <si>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</si>
  <si>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</si>
  <si>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</si>
  <si>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</si>
  <si>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</si>
  <si>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</si>
  <si>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</si>
  <si>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</si>
  <si>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</si>
  <si>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</si>
  <si>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</si>
  <si>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</si>
  <si>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</si>
  <si>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</si>
  <si>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</si>
  <si>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</si>
  <si>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</si>
  <si>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</si>
  <si>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</si>
  <si>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</si>
  <si>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</si>
  <si>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</si>
  <si>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</si>
  <si>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</si>
  <si>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</si>
  <si>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</si>
  <si>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</si>
  <si>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</si>
  <si>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</si>
  <si>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</si>
  <si>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</si>
  <si>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</si>
  <si>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</si>
  <si>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</si>
  <si>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</si>
  <si>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</si>
  <si>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</si>
  <si>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</si>
  <si>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</si>
  <si>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</si>
  <si>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</si>
  <si>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</si>
  <si>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</si>
  <si>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</si>
  <si>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</si>
  <si>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</si>
  <si>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</si>
  <si>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</si>
  <si>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</si>
  <si>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</si>
  <si>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</si>
  <si>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</si>
  <si>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</si>
  <si>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</si>
  <si>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</si>
  <si>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</si>
  <si>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</si>
  <si>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</si>
  <si>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</si>
  <si>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</si>
  <si>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</si>
  <si>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</si>
  <si>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</si>
  <si>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</si>
  <si>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</si>
  <si>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</si>
  <si>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</si>
  <si>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</si>
  <si>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</si>
  <si>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</si>
  <si>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</si>
  <si>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</si>
  <si>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</si>
  <si>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</si>
  <si>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</si>
  <si>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</si>
  <si>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</si>
  <si>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</si>
  <si>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</si>
  <si>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</si>
  <si>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</si>
  <si>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</si>
  <si>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</si>
  <si>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</si>
  <si>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</si>
  <si>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</si>
  <si>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</si>
  <si>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</si>
  <si>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</si>
  <si>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</si>
  <si>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</si>
  <si>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</si>
  <si>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</si>
  <si>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</si>
  <si>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</si>
  <si>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</si>
  <si>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</si>
  <si>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</si>
  <si>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</si>
  <si>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</si>
  <si>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</si>
  <si>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</si>
  <si>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</si>
  <si>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</si>
  <si>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</si>
  <si>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</si>
  <si>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</si>
  <si>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</si>
  <si>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</si>
  <si>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</si>
  <si>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</si>
  <si>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</si>
  <si>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</si>
  <si>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</si>
  <si>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</si>
  <si>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</si>
  <si>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</si>
  <si>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</si>
  <si>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</si>
  <si>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</si>
  <si>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</si>
  <si>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</si>
  <si>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</si>
  <si>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</si>
  <si>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</si>
  <si>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</si>
  <si>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</si>
  <si>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</si>
  <si>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</si>
  <si>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</si>
  <si>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</si>
  <si>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</si>
  <si>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</si>
  <si>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</si>
  <si>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</si>
  <si>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</si>
  <si>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</si>
  <si>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</si>
  <si>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</si>
  <si>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</si>
  <si>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</si>
  <si>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</si>
  <si>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</si>
  <si>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</si>
  <si>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</si>
  <si>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</si>
  <si>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</si>
  <si>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</si>
  <si>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</si>
  <si>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</si>
  <si>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</si>
  <si>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</si>
  <si>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</si>
  <si>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</si>
  <si>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</si>
  <si>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</si>
  <si>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</si>
  <si>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</si>
  <si>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</si>
  <si>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</si>
  <si>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</si>
  <si>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</si>
  <si>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</si>
  <si>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</si>
  <si>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</si>
  <si>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</si>
  <si>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</si>
  <si>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</si>
  <si>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</si>
  <si>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</si>
  <si>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</si>
  <si>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</si>
  <si>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</si>
  <si>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</si>
  <si>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</si>
  <si>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</si>
  <si>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</si>
  <si>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</si>
  <si>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</si>
  <si>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</si>
  <si>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</si>
  <si>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</si>
  <si>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</si>
  <si>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</si>
  <si>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</si>
  <si>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</si>
  <si>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</si>
  <si>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</si>
  <si>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</si>
  <si>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</si>
  <si>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</si>
  <si>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</si>
  <si>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</si>
  <si>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</si>
  <si>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</si>
  <si>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</si>
  <si>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</si>
  <si>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</si>
  <si>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</si>
  <si>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</si>
  <si>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</si>
  <si>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</si>
  <si>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</si>
  <si>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</si>
  <si>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</si>
  <si>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</si>
  <si>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</si>
  <si>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</si>
  <si>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</si>
  <si>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</si>
  <si>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</si>
  <si>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</si>
  <si>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</si>
  <si>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</si>
  <si>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</si>
  <si>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</si>
  <si>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</si>
  <si>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</si>
  <si>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</si>
  <si>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</si>
  <si>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</si>
  <si>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</si>
  <si>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</si>
  <si>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</si>
  <si>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</si>
  <si>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</si>
  <si>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</si>
  <si>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</si>
  <si>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</si>
  <si>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</si>
  <si>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</si>
  <si>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</si>
  <si>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</si>
  <si>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</si>
  <si>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</si>
  <si>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</si>
  <si>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</si>
  <si>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</si>
  <si>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</si>
  <si>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</si>
  <si>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</si>
  <si>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</si>
  <si>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</si>
  <si>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</si>
  <si>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</si>
  <si>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</si>
  <si>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</si>
  <si>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</si>
  <si>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</si>
  <si>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</si>
  <si>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</si>
  <si>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</si>
  <si>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</si>
  <si>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</si>
  <si>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</si>
  <si>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</si>
  <si>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</si>
  <si>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</si>
  <si>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</si>
  <si>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</si>
  <si>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</si>
  <si>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</si>
  <si>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</si>
  <si>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</si>
  <si>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</si>
  <si>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</si>
  <si>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</si>
  <si>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</si>
  <si>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</si>
  <si>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</si>
  <si>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</si>
  <si>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</si>
  <si>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</si>
  <si>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</si>
  <si>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</si>
  <si>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</si>
  <si>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</si>
  <si>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</si>
  <si>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</si>
  <si>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</si>
  <si>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</si>
  <si>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</si>
  <si>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</si>
  <si>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</si>
  <si>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</si>
  <si>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</si>
  <si>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</si>
  <si>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</si>
  <si>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</si>
  <si>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</si>
  <si>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</si>
  <si>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</si>
  <si>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</si>
  <si>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</si>
  <si>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</si>
  <si>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</si>
  <si>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</si>
  <si>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</si>
  <si>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</si>
  <si>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</si>
  <si>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</si>
  <si>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</si>
  <si>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</si>
  <si>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</si>
  <si>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</si>
  <si>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</si>
  <si>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</si>
  <si>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</si>
  <si>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</si>
  <si>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</si>
  <si>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</si>
  <si>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</si>
  <si>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</si>
  <si>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</si>
  <si>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</si>
  <si>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</si>
  <si>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</si>
  <si>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</si>
  <si>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</si>
  <si>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</si>
  <si>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</si>
  <si>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</si>
  <si>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</si>
  <si>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</si>
  <si>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</si>
  <si>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</si>
  <si>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</si>
  <si>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</si>
  <si>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</si>
  <si>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</si>
  <si>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</si>
  <si>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</si>
  <si>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</si>
  <si>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</si>
  <si>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</si>
  <si>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</si>
  <si>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</si>
  <si>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</si>
  <si>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</si>
  <si>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</si>
  <si>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</si>
  <si>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</si>
  <si>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</si>
  <si>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</si>
  <si>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</si>
  <si>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</si>
  <si>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</si>
  <si>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</si>
  <si>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</si>
  <si>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</si>
  <si>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</si>
  <si>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</si>
  <si>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</si>
  <si>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</si>
  <si>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</si>
  <si>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</si>
  <si>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</si>
  <si>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</si>
  <si>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</si>
  <si>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</si>
  <si>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</si>
  <si>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</si>
  <si>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</si>
  <si>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</si>
  <si>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</si>
  <si>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</si>
  <si>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</si>
  <si>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</si>
  <si>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</si>
  <si>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</si>
  <si>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</si>
  <si>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</si>
  <si>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</si>
  <si>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</si>
  <si>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</si>
  <si>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</si>
  <si>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</si>
  <si>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</si>
  <si>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</si>
  <si>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</si>
  <si>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</si>
  <si>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</si>
  <si>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</si>
  <si>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</si>
  <si>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</si>
  <si>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</si>
  <si>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</si>
  <si>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</si>
  <si>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</si>
  <si>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</si>
  <si>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</si>
  <si>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</si>
  <si>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</si>
  <si>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</si>
  <si>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</si>
  <si>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</si>
  <si>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</si>
  <si>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</si>
  <si>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</si>
  <si>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</si>
  <si>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</si>
  <si>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</si>
  <si>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</si>
  <si>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</si>
  <si>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</si>
  <si>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</si>
  <si>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</si>
  <si>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</si>
  <si>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</si>
  <si>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</si>
  <si>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</si>
  <si>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</si>
  <si>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</si>
  <si>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</si>
  <si>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</si>
  <si>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</si>
  <si>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</si>
  <si>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</si>
  <si>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</si>
  <si>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</si>
  <si>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</si>
  <si>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</si>
  <si>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</si>
  <si>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</si>
  <si>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</si>
  <si>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</si>
  <si>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</si>
  <si>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</si>
  <si>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</si>
  <si>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</si>
  <si>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</si>
  <si>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</si>
  <si>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</si>
  <si>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</si>
  <si>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</si>
  <si>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</si>
  <si>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</si>
  <si>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</si>
  <si>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</si>
  <si>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</si>
  <si>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</si>
  <si>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</si>
  <si>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</si>
  <si>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</si>
  <si>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</si>
  <si>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</si>
  <si>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</si>
  <si>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</si>
  <si>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</si>
  <si>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</si>
  <si>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</si>
  <si>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</si>
  <si>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</si>
  <si>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</si>
  <si>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</si>
  <si>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</si>
  <si>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</si>
  <si>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</si>
  <si>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</si>
  <si>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</si>
  <si>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</si>
  <si>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</si>
  <si>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</si>
  <si>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</si>
  <si>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</si>
  <si>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</si>
  <si>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</si>
  <si>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</si>
  <si>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</si>
  <si>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</si>
  <si>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</si>
  <si>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</si>
  <si>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</si>
  <si>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</si>
  <si>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</si>
  <si>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</si>
  <si>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</si>
  <si>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</si>
  <si>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</si>
  <si>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</si>
  <si>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</si>
  <si>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</si>
  <si>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</si>
  <si>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</si>
  <si>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</si>
  <si>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</si>
  <si>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</si>
  <si>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</si>
  <si>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</si>
  <si>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</si>
  <si>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</si>
  <si>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</si>
  <si>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</si>
  <si>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</si>
  <si>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</si>
  <si>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</si>
  <si>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</si>
  <si>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</si>
  <si>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</si>
  <si>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</si>
  <si>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</si>
  <si>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</si>
  <si>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</si>
  <si>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</si>
  <si>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</si>
  <si>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</si>
  <si>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</si>
  <si>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</si>
  <si>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</si>
  <si>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</si>
  <si>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</si>
  <si>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</si>
  <si>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</si>
  <si>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</si>
  <si>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</si>
  <si>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</si>
  <si>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</si>
  <si>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</si>
  <si>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</si>
  <si>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</si>
  <si>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</si>
  <si>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</si>
  <si>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</si>
  <si>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</si>
  <si>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</si>
  <si>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</si>
  <si>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</si>
  <si>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</si>
  <si>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</si>
  <si>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</si>
  <si>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</si>
  <si>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</si>
  <si>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</si>
  <si>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</si>
  <si>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</si>
  <si>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</si>
  <si>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</si>
  <si>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</si>
  <si>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</si>
  <si>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</si>
  <si>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</si>
  <si>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</si>
  <si>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</si>
  <si>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</si>
  <si>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</si>
  <si>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</si>
  <si>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</si>
  <si>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</si>
  <si>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</si>
  <si>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</si>
  <si>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</si>
  <si>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</si>
  <si>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</si>
  <si>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</si>
  <si>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</si>
  <si>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</si>
  <si>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</si>
  <si>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</si>
  <si>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</si>
  <si>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</si>
  <si>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</si>
  <si>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</si>
  <si>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</si>
  <si>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</si>
  <si>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</si>
  <si>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</si>
  <si>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</si>
  <si>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</si>
  <si>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</si>
  <si>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</si>
  <si>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</si>
  <si>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</si>
  <si>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</si>
  <si>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</si>
  <si>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</si>
  <si>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</si>
  <si>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</si>
  <si>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</si>
  <si>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</si>
  <si>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</si>
  <si>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</si>
  <si>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</si>
  <si>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</si>
  <si>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</si>
  <si>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</si>
  <si>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</si>
  <si>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</si>
  <si>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</si>
  <si>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</si>
  <si>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</si>
  <si>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</si>
  <si>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</si>
  <si>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</si>
  <si>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</si>
  <si>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</si>
  <si>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</si>
  <si>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</si>
  <si>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</si>
  <si>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</si>
  <si>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</si>
  <si>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</si>
  <si>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</si>
  <si>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</si>
  <si>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</si>
  <si>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</si>
  <si>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</si>
  <si>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</si>
  <si>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</si>
  <si>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</si>
  <si>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</si>
  <si>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</si>
  <si>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</si>
  <si>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</si>
  <si>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</si>
  <si>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</si>
  <si>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</si>
  <si>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</si>
  <si>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</si>
  <si>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</si>
  <si>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</si>
  <si>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</si>
  <si>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</si>
  <si>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</si>
  <si>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</si>
  <si>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</si>
  <si>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</si>
  <si>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</si>
  <si>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</si>
  <si>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</si>
  <si>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</si>
  <si>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</si>
  <si>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</si>
  <si>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</si>
  <si>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</si>
  <si>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</si>
  <si>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</si>
  <si>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</si>
  <si>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</si>
  <si>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</si>
  <si>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</si>
  <si>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</si>
  <si>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</si>
  <si>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</si>
  <si>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</si>
  <si>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</si>
  <si>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</si>
  <si>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</si>
  <si>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</si>
  <si>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</si>
  <si>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</si>
  <si>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</si>
  <si>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</si>
  <si>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</si>
  <si>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</si>
  <si>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</si>
  <si>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</si>
  <si>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</si>
  <si>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</si>
  <si>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</si>
  <si>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</si>
  <si>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</si>
  <si>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</si>
  <si>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</si>
  <si>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</si>
  <si>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</si>
  <si>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</si>
  <si>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</si>
  <si>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</si>
  <si>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</si>
  <si>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</si>
  <si>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</si>
  <si>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</si>
  <si>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</si>
  <si>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</si>
  <si>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</si>
  <si>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</si>
  <si>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</si>
  <si>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</si>
  <si>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</si>
  <si>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</si>
  <si>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</si>
  <si>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</si>
  <si>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</si>
  <si>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</si>
  <si>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</si>
  <si>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</si>
  <si>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</si>
  <si>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</si>
  <si>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</si>
  <si>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</si>
  <si>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</si>
  <si>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</si>
  <si>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</si>
  <si>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</si>
  <si>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</si>
  <si>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</si>
  <si>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</si>
  <si>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</si>
  <si>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</si>
  <si>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</si>
  <si>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</si>
  <si>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</si>
  <si>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</si>
  <si>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</si>
  <si>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</si>
  <si>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</si>
  <si>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</si>
  <si>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</si>
  <si>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</si>
  <si>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</si>
  <si>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</si>
  <si>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</si>
  <si>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</si>
  <si>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</si>
  <si>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</si>
  <si>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</si>
  <si>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</si>
  <si>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</si>
  <si>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</si>
  <si>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</si>
  <si>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</si>
  <si>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</si>
  <si>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</si>
  <si>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</si>
  <si>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</si>
  <si>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</si>
  <si>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</si>
  <si>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</si>
  <si>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</si>
  <si>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</si>
  <si>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</si>
  <si>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</si>
  <si>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</si>
  <si>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</si>
  <si>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</si>
  <si>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</si>
  <si>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</si>
  <si>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</si>
  <si>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</si>
  <si>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</si>
  <si>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</si>
  <si>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</si>
  <si>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</si>
  <si>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</si>
  <si>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</si>
  <si>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</si>
  <si>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</si>
  <si>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</si>
  <si>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</si>
  <si>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</si>
  <si>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</si>
  <si>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</si>
  <si>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</si>
  <si>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</si>
  <si>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</si>
  <si>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</si>
  <si>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</si>
  <si>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</si>
  <si>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</si>
  <si>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</si>
  <si>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</si>
  <si>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</si>
  <si>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</si>
  <si>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</si>
  <si>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</si>
  <si>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</si>
  <si>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</si>
  <si>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</si>
  <si>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</si>
  <si>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</si>
  <si>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</si>
  <si>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</si>
  <si>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</si>
  <si>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</si>
  <si>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</si>
  <si>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</si>
  <si>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</si>
  <si>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</si>
  <si>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</si>
  <si>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</si>
  <si>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</si>
  <si>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</si>
  <si>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</si>
  <si>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</si>
  <si>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</si>
  <si>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</si>
  <si>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</si>
  <si>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</si>
  <si>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</si>
  <si>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</si>
  <si>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</si>
  <si>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</si>
  <si>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</si>
  <si>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</si>
  <si>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</si>
  <si>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</si>
  <si>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</si>
  <si>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</si>
  <si>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</si>
  <si>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</si>
  <si>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</si>
  <si>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</si>
  <si>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</si>
  <si>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</si>
  <si>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</si>
  <si>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</si>
  <si>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</si>
  <si>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</si>
  <si>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</si>
  <si>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</si>
  <si>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</si>
  <si>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</si>
  <si>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</si>
  <si>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</si>
  <si>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</si>
  <si>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</si>
  <si>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</si>
  <si>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</si>
  <si>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</si>
  <si>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</si>
  <si>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</si>
  <si>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</si>
  <si>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</si>
  <si>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</si>
  <si>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</si>
  <si>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</si>
  <si>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</si>
  <si>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</si>
  <si>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</si>
  <si>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</si>
  <si>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</si>
  <si>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</si>
  <si>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</si>
  <si>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</si>
  <si>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</si>
  <si>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</si>
  <si>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</si>
  <si>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</si>
  <si>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</si>
  <si>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</si>
  <si>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</si>
  <si>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</si>
  <si>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</si>
  <si>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</si>
  <si>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</si>
  <si>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</si>
  <si>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</si>
  <si>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</si>
  <si>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</si>
  <si>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</si>
  <si>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</si>
  <si>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</si>
  <si>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</si>
  <si>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</si>
  <si>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</si>
  <si>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</si>
  <si>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</si>
  <si>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</si>
  <si>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</si>
  <si>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</si>
  <si>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</si>
  <si>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</si>
  <si>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</si>
  <si>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</si>
  <si>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</si>
  <si>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</si>
  <si>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</si>
  <si>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</si>
  <si>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</si>
  <si>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</si>
  <si>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</si>
  <si>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</si>
  <si>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</si>
  <si>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</si>
  <si>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</si>
  <si>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</si>
  <si>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</si>
  <si>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</si>
  <si>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</si>
  <si>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</si>
  <si>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</si>
  <si>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</si>
  <si>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</si>
  <si>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</si>
  <si>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</si>
  <si>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</si>
  <si>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</si>
  <si>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</si>
  <si>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</si>
  <si>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</si>
  <si>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</si>
  <si>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</si>
  <si>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</si>
  <si>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</si>
  <si>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</si>
  <si>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</si>
  <si>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</si>
  <si>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</si>
  <si>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</si>
  <si>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</si>
  <si>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</si>
  <si>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</si>
  <si>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</si>
  <si>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</si>
  <si>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</si>
  <si>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</si>
  <si>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</si>
  <si>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</si>
  <si>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</si>
  <si>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</si>
  <si>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</si>
  <si>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</si>
  <si>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</si>
  <si>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</si>
  <si>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</si>
  <si>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</si>
  <si>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</si>
  <si>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</si>
  <si>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</si>
  <si>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</si>
  <si>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</si>
  <si>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</si>
  <si>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</si>
  <si>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</si>
  <si>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</si>
  <si>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</si>
  <si>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</si>
  <si>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</si>
  <si>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</si>
  <si>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</si>
  <si>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</si>
  <si>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</si>
  <si>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</si>
  <si>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</si>
  <si>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</si>
  <si>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</si>
  <si>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</si>
  <si>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</si>
  <si>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</si>
  <si>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</si>
  <si>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</si>
  <si>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</si>
  <si>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</si>
  <si>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</si>
  <si>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</si>
  <si>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</si>
  <si>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</si>
  <si>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</si>
  <si>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</si>
  <si>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</si>
  <si>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</si>
  <si>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</si>
  <si>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</si>
  <si>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</si>
  <si>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</si>
  <si>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</si>
  <si>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</si>
  <si>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</si>
  <si>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</si>
  <si>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</si>
  <si>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</si>
  <si>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</si>
  <si>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</si>
  <si>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</si>
  <si>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</si>
  <si>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</si>
  <si>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</si>
  <si>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</si>
  <si>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</si>
  <si>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</si>
  <si>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</si>
  <si>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</si>
  <si>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</si>
  <si>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</si>
  <si>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</si>
  <si>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Maruti Suzuki India Ltd</t>
  </si>
  <si>
    <t>Maruti Suzuki</t>
  </si>
  <si>
    <t>M &amp; M</t>
  </si>
  <si>
    <t>Bajaj Auto</t>
  </si>
  <si>
    <t>Eicher Motors</t>
  </si>
  <si>
    <t>TVS Motor Co.</t>
  </si>
  <si>
    <t>Hyundai Motor I</t>
  </si>
  <si>
    <t>Samvardh. Mothe.</t>
  </si>
  <si>
    <t>Bosch</t>
  </si>
  <si>
    <t>Tata Motors PVeh</t>
  </si>
  <si>
    <t>Hero Motocorp</t>
  </si>
  <si>
    <t>Cash Flow Statement - Maruti Suzuki India Ltd</t>
  </si>
  <si>
    <t>Maruti Suzuki India Ltd Comparable Valuation</t>
  </si>
  <si>
    <t>52 Week (High - INR - 17,372.00 &amp; low INR - 12,103.00)</t>
  </si>
  <si>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</si>
  <si>
    <t>Maruti Suzuki India - Voltas among 7 stocks hitting 52-week low; slipped up to 10% in a month</t>
  </si>
  <si>
    <t>Britannia Industries - Maruti Suzuki among 8 large-cap stocks to hit 52-week lows and fall up to 12% in a month</t>
  </si>
  <si>
    <t>Maruti Suzuki launches Auto Green Mission with automatic S-CNG Swift, Dzire and Baleno</t>
  </si>
  <si>
    <t>Maruti Suzuki records 1 million vehicle dispatches through in-plant railway sidings in Gujarat, Haryana</t>
  </si>
  <si>
    <t>Shree Cement - Maruti Suzuki among 8 large-cap stocks to hit 52-week lows and fall up to 12% in a month</t>
  </si>
  <si>
    <t>Maruti Suzuki India Ltd continued strategic operational investments and customer engagements to drive sustainable long-term business performance.</t>
  </si>
  <si>
    <t>Maruti Suzuki India Ltd (MARUTI) - Institutional Valuation</t>
  </si>
  <si>
    <t>Intrinsic Value</t>
  </si>
  <si>
    <t>Margin of Safety</t>
  </si>
  <si>
    <t>Verdict</t>
  </si>
  <si>
    <t>Altman Z-Score</t>
  </si>
  <si>
    <t>DuPont ROE</t>
  </si>
  <si>
    <t>THE 4 CORE VALUATION PILLARS</t>
  </si>
  <si>
    <t>Pillar 1: FCF Engine</t>
  </si>
  <si>
    <t>CFO ₹19100.0 Cr vs PAT ₹14680.0 Cr | EBIT Mgn 10.56% | CCC -19.0 days</t>
  </si>
  <si>
    <t>Pillar 2: Growth Trajectory</t>
  </si>
  <si>
    <t>3Y Sales CAGR 11.6% | 5Y CAGR 17.42% | Forecast g 5.2% | Terminal g 4.0%</t>
  </si>
  <si>
    <t>Pillar 3: Cost of Capital (WACC)</t>
  </si>
  <si>
    <t>WACC 12.05% | Ke 12.73% | Beta 0.88 | ERP 6.5% | Rf 7.0%</t>
  </si>
  <si>
    <t>Pillar 4: Relative Multiples</t>
  </si>
  <si>
    <t>P/E 26.6x | P/B 3.55x | EV/EBITDA 5.6x | EV/Sales 0.66x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</si>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</sst>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13488</c:v>
                </c:pt>
                <c:pt idx="1">
                  <c:v>14500</c:v>
                </c:pt>
                <c:pt idx="2">
                  <c:v>14680</c:v>
                </c:pt>
                <c:pt idx="3">
                  <c:v>14334</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87381</c:v>
                </c:pt>
                <c:pt idx="1">
                  <c:v>107705</c:v>
                </c:pt>
                <c:pt idx="2">
                  <c:v>123160</c:v>
                </c:pt>
                <c:pt idx="3">
                  <c:v>139948</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0.20761469372676686</c:v>
                </c:pt>
                <c:pt idx="1">
                  <c:v>0.18098305000124815</c:v>
                </c:pt>
                <c:pt idx="2">
                  <c:v>0.16142866568431238</c:v>
                </c:pt>
                <c:pt idx="3">
                  <c:v>0.14094672461601998</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141858</c:v>
                </c:pt>
                <c:pt idx="1">
                  <c:v>152913</c:v>
                </c:pt>
                <c:pt idx="2">
                  <c:v>183316</c:v>
                </c:pt>
                <c:pt idx="3">
                  <c:v>197181</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0.154358498987194</c:v>
                </c:pt>
                <c:pt idx="1">
                  <c:v>0.13462699039041828</c:v>
                </c:pt>
                <c:pt idx="2">
                  <c:v>0.11919454368301396</c:v>
                </c:pt>
                <c:pt idx="3">
                  <c:v>0.10242375739560408</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1.3450162776200041</c:v>
                </c:pt>
                <c:pt idx="1">
                  <c:v>1.3443296138196161</c:v>
                </c:pt>
                <c:pt idx="2">
                  <c:v>1.3543293232751985</c:v>
                </c:pt>
                <c:pt idx="3">
                  <c:v>1.3761135912210662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74443</c:v>
                </c:pt>
                <c:pt idx="1">
                  <c:v>85479</c:v>
                </c:pt>
                <c:pt idx="2">
                  <c:v>96083</c:v>
                </c:pt>
                <c:pt idx="3">
                  <c:v>106999</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11.334924231446019</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10.190926644711048</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11.782021099464087</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10.380825483091787</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10.760678266705014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100106</c:v>
                </c:pt>
                <c:pt idx="1">
                  <c:v>115304</c:v>
                </c:pt>
                <c:pt idx="2">
                  <c:v>131016</c:v>
                </c:pt>
                <c:pt idx="3">
                  <c:v>148880</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1.5860747963994857</c:v>
                </c:pt>
                <c:pt idx="1">
                  <c:v>1.4170778974287255</c:v>
                </c:pt>
                <c:pt idx="2">
                  <c:v>1.3261725525567196</c:v>
                </c:pt>
                <c:pt idx="3">
                  <c:v>1.3991878854491056</c:v>
                </c:pt>
                <c:pt idx="4">
                  <c:v>1.3244290703922623</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9.5875115470116317</c:v>
                </c:pt>
                <c:pt idx="1">
                  <c:v>8.8601456617711865</c:v>
                </c:pt>
                <c:pt idx="2">
                  <c:v>9.8631538932870004</c:v>
                </c:pt>
                <c:pt idx="3">
                  <c:v>9.054092163519357</c:v>
                </c:pt>
                <c:pt idx="4">
                  <c:v>9.1036886634082848</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C107-5450-4D77-BD17-F79026D38479}">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3" t="s">
        <v>8632</v>
      </c>
      <c r="B1" s="174"/>
      <c r="C1" s="174"/>
      <c r="D1" s="174"/>
      <c r="E1" s="174"/>
      <c r="F1" s="174"/>
      <c r="G1" s="174"/>
    </row>
    <row r="2" spans="1:7" x14ac:dyDescent="0.3">
      <c r="A2" s="174"/>
      <c r="B2" s="174"/>
      <c r="C2" s="174"/>
      <c r="D2" s="174"/>
      <c r="E2" s="174"/>
      <c r="F2" s="174"/>
      <c r="G2" s="174"/>
    </row>
    <row r="4" spans="1:7" x14ac:dyDescent="0.3">
      <c r="A4" s="175" t="s">
        <v>43</v>
      </c>
      <c r="B4" s="175" t="s">
        <v>8633</v>
      </c>
      <c r="C4" s="175" t="s">
        <v>8634</v>
      </c>
      <c r="D4" s="175" t="s">
        <v>8635</v>
      </c>
      <c r="E4" s="175" t="s">
        <v>238</v>
      </c>
      <c r="F4" s="175" t="s">
        <v>8636</v>
      </c>
      <c r="G4" s="175" t="s">
        <v>8637</v>
      </c>
    </row>
    <row r="5" spans="1:7" ht="15.6" x14ac:dyDescent="0.3">
      <c r="A5" s="177">
        <f>DCF!D44</f>
        <v>12103</v>
      </c>
      <c r="B5" s="177">
        <f>DCF!D42</f>
        <v>3893.0479525145083</v>
      </c>
      <c r="C5" s="179">
        <f>(B5-A5)/A5</f>
        <v>-0.67834025014339339</v>
      </c>
      <c r="D5" s="181" t="str">
        <f>IF(C5&gt;0.15,"UNDERVALUED / BUY",IF(C5&lt;-0.15,"OVERVALUED / SELL","FAIRLY VALUED / HOLD"))</f>
        <v>OVERVALUED / SELL</v>
      </c>
      <c r="E5" s="182">
        <f>DCF!D20</f>
        <v>0.12047821308641564</v>
      </c>
      <c r="F5" s="183">
        <f>'Altman''s Z Score'!I89</f>
        <v>9.1036886634082848</v>
      </c>
      <c r="G5" s="182">
        <f>'Dupont Analysis'!I78</f>
        <v>0.14094672461601998</v>
      </c>
    </row>
    <row r="7" spans="1:7" ht="15.6" x14ac:dyDescent="0.3">
      <c r="A7" s="180" t="s">
        <v>8638</v>
      </c>
    </row>
    <row r="8" spans="1:7" x14ac:dyDescent="0.3">
      <c r="A8" s="37" t="s">
        <v>8639</v>
      </c>
      <c r="B8" s="172" t="s">
        <v>8640</v>
      </c>
      <c r="C8" s="172"/>
      <c r="D8" s="172"/>
      <c r="E8" s="172"/>
      <c r="F8" s="172"/>
      <c r="G8" s="172"/>
    </row>
    <row r="9" spans="1:7" x14ac:dyDescent="0.3">
      <c r="A9" s="37" t="s">
        <v>8641</v>
      </c>
      <c r="B9" s="172" t="s">
        <v>8642</v>
      </c>
      <c r="C9" s="172"/>
      <c r="D9" s="172"/>
      <c r="E9" s="172"/>
      <c r="F9" s="172"/>
      <c r="G9" s="172"/>
    </row>
    <row r="10" spans="1:7" x14ac:dyDescent="0.3">
      <c r="A10" s="37" t="s">
        <v>8643</v>
      </c>
      <c r="B10" s="172" t="s">
        <v>8644</v>
      </c>
      <c r="C10" s="172"/>
      <c r="D10" s="172"/>
      <c r="E10" s="172"/>
      <c r="F10" s="172"/>
      <c r="G10" s="172"/>
    </row>
    <row r="11" spans="1:7" x14ac:dyDescent="0.3">
      <c r="A11" s="37" t="s">
        <v>8645</v>
      </c>
      <c r="B11" s="172" t="s">
        <v>8646</v>
      </c>
      <c r="C11" s="172"/>
      <c r="D11" s="172"/>
      <c r="E11" s="172"/>
      <c r="F11" s="172"/>
      <c r="G11" s="172"/>
    </row>
    <row r="13" spans="1:7" x14ac:dyDescent="0.3">
      <c r="A13" s="37" t="s">
        <v>8647</v>
      </c>
    </row>
    <row r="14" spans="1:7" x14ac:dyDescent="0.3">
      <c r="A14" s="184" t="s">
        <v>188</v>
      </c>
      <c r="B14" s="184" t="s">
        <v>106</v>
      </c>
      <c r="C14" s="184" t="s">
        <v>8648</v>
      </c>
      <c r="D14" s="184" t="s">
        <v>8649</v>
      </c>
      <c r="E14" s="184" t="s">
        <v>8650</v>
      </c>
      <c r="F14" s="184" t="s">
        <v>8651</v>
      </c>
      <c r="G14" s="184" t="s">
        <v>302</v>
      </c>
    </row>
    <row r="15" spans="1:7" x14ac:dyDescent="0.3">
      <c r="A15" s="160" t="s">
        <v>8652</v>
      </c>
      <c r="B15" s="185">
        <f>DCF!I8</f>
        <v>20363.564000000002</v>
      </c>
      <c r="C15" s="185">
        <f>DCF!I10</f>
        <v>14254.4948</v>
      </c>
      <c r="D15" s="46">
        <f>DCF!I11</f>
        <v>0.6278665088067843</v>
      </c>
      <c r="E15" s="185">
        <f>DCF!I12</f>
        <v>5304.5749151195396</v>
      </c>
      <c r="F15" s="186">
        <f>DCF!I14</f>
        <v>0.94470951991521901</v>
      </c>
      <c r="G15" s="185">
        <f>DCF!I16</f>
        <v>5011.2824214168941</v>
      </c>
    </row>
    <row r="16" spans="1:7" x14ac:dyDescent="0.3">
      <c r="A16" s="160" t="s">
        <v>8653</v>
      </c>
      <c r="B16" s="185">
        <f>DCF!J8</f>
        <v>21422.469328000003</v>
      </c>
      <c r="C16" s="185">
        <f>DCF!J10</f>
        <v>14995.728529600001</v>
      </c>
      <c r="D16" s="46">
        <f>DCF!J11</f>
        <v>0.5539024406887566</v>
      </c>
      <c r="E16" s="185">
        <f>DCF!J12</f>
        <v>6689.5578971485411</v>
      </c>
      <c r="F16" s="186">
        <f>DCF!J14</f>
        <v>0.84313064625591194</v>
      </c>
      <c r="G16" s="185">
        <f>DCF!J16</f>
        <v>5640.1712729891888</v>
      </c>
    </row>
    <row r="17" spans="1:7" x14ac:dyDescent="0.3">
      <c r="A17" s="160" t="s">
        <v>8654</v>
      </c>
      <c r="B17" s="185">
        <f>DCF!K8</f>
        <v>22536.437733056006</v>
      </c>
      <c r="C17" s="185">
        <f>DCF!K10</f>
        <v>15775.506413139203</v>
      </c>
      <c r="D17" s="46">
        <f>DCF!K11</f>
        <v>0.47993837257072886</v>
      </c>
      <c r="E17" s="185">
        <f>DCF!K12</f>
        <v>8204.2355387380776</v>
      </c>
      <c r="F17" s="186">
        <f>DCF!K14</f>
        <v>0.75247393158450127</v>
      </c>
      <c r="G17" s="185">
        <f>DCF!K16</f>
        <v>6173.4733714795302</v>
      </c>
    </row>
    <row r="18" spans="1:7" x14ac:dyDescent="0.3">
      <c r="A18" s="160" t="s">
        <v>8655</v>
      </c>
      <c r="B18" s="185">
        <f>DCF!L8</f>
        <v>23708.33249517492</v>
      </c>
      <c r="C18" s="185">
        <f>DCF!L10</f>
        <v>16595.832746622444</v>
      </c>
      <c r="D18" s="46">
        <f>DCF!L11</f>
        <v>0.40597430445270111</v>
      </c>
      <c r="E18" s="185">
        <f>DCF!L12</f>
        <v>9858.3510904990362</v>
      </c>
      <c r="F18" s="186">
        <f>DCF!L14</f>
        <v>0.6715649825191804</v>
      </c>
      <c r="G18" s="185">
        <f>DCF!L16</f>
        <v>6620.5233777589283</v>
      </c>
    </row>
    <row r="19" spans="1:7" x14ac:dyDescent="0.3">
      <c r="A19" s="160" t="s">
        <v>8656</v>
      </c>
      <c r="B19" s="185">
        <f>DCF!M8</f>
        <v>24941.165784924018</v>
      </c>
      <c r="C19" s="185">
        <f>DCF!M10</f>
        <v>17458.81604944681</v>
      </c>
      <c r="D19" s="46">
        <f>DCF!M11</f>
        <v>0.33201023633467341</v>
      </c>
      <c r="E19" s="185">
        <f>DCF!M12</f>
        <v>11662.310406746385</v>
      </c>
      <c r="F19" s="186">
        <f>DCF!M14</f>
        <v>0.5993556810616778</v>
      </c>
      <c r="G19" s="185">
        <f>DCF!M16</f>
        <v>6989.8719965881719</v>
      </c>
    </row>
    <row r="21" spans="1:7" x14ac:dyDescent="0.3">
      <c r="A21" s="37" t="s">
        <v>8657</v>
      </c>
    </row>
    <row r="22" spans="1:7" x14ac:dyDescent="0.3">
      <c r="A22" s="37" t="s">
        <v>8658</v>
      </c>
      <c r="B22" s="185">
        <f>DCF!D33</f>
        <v>30435.322440232711</v>
      </c>
    </row>
    <row r="23" spans="1:7" x14ac:dyDescent="0.3">
      <c r="A23" s="37" t="s">
        <v>8659</v>
      </c>
      <c r="B23" s="185">
        <f>DCF!D29</f>
        <v>150709.14671021103</v>
      </c>
    </row>
    <row r="24" spans="1:7" x14ac:dyDescent="0.3">
      <c r="A24" s="37" t="s">
        <v>8660</v>
      </c>
      <c r="B24" s="185">
        <f>DCF!D34</f>
        <v>90328.383268722857</v>
      </c>
    </row>
    <row r="25" spans="1:7" x14ac:dyDescent="0.3">
      <c r="A25" s="37" t="s">
        <v>8661</v>
      </c>
      <c r="B25" s="185">
        <f>DCF!D35</f>
        <v>120763.70570895556</v>
      </c>
    </row>
    <row r="26" spans="1:7" x14ac:dyDescent="0.3">
      <c r="A26" s="37" t="s">
        <v>8662</v>
      </c>
      <c r="B26" s="185">
        <f>DCF!D37</f>
        <v>1580</v>
      </c>
    </row>
    <row r="27" spans="1:7" x14ac:dyDescent="0.3">
      <c r="A27" s="37" t="s">
        <v>8663</v>
      </c>
      <c r="B27" s="185">
        <f>DCF!D38</f>
        <v>102</v>
      </c>
    </row>
    <row r="28" spans="1:7" x14ac:dyDescent="0.3">
      <c r="A28" s="37" t="s">
        <v>8664</v>
      </c>
      <c r="B28" s="185">
        <f>DCF!D39</f>
        <v>122241.70570895556</v>
      </c>
    </row>
    <row r="29" spans="1:7" x14ac:dyDescent="0.3">
      <c r="A29" s="37" t="s">
        <v>8665</v>
      </c>
      <c r="B29" s="185">
        <f>DCF!D40</f>
        <v>31.4</v>
      </c>
    </row>
    <row r="30" spans="1:7" x14ac:dyDescent="0.3">
      <c r="A30" s="37" t="s">
        <v>8666</v>
      </c>
      <c r="B30" s="176">
        <f>DCF!D42</f>
        <v>3893.0479525145083</v>
      </c>
    </row>
    <row r="31" spans="1:7" x14ac:dyDescent="0.3">
      <c r="A31" s="37" t="s">
        <v>8667</v>
      </c>
      <c r="B31" s="176">
        <f>DCF!D44</f>
        <v>12103</v>
      </c>
    </row>
    <row r="32" spans="1:7" x14ac:dyDescent="0.3">
      <c r="A32" s="37" t="s">
        <v>8668</v>
      </c>
      <c r="B32" s="178">
        <f>(B5-A5)/A5</f>
        <v>-0.67834025014339339</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Maruti Suzuki India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79809</v>
      </c>
      <c r="C4" s="1">
        <f>'Data Sheet'!C17</f>
        <v>86068</v>
      </c>
      <c r="D4" s="1">
        <f>'Data Sheet'!D17</f>
        <v>75660</v>
      </c>
      <c r="E4" s="1">
        <f>'Data Sheet'!E17</f>
        <v>70372</v>
      </c>
      <c r="F4" s="1">
        <f>'Data Sheet'!F17</f>
        <v>88330</v>
      </c>
      <c r="G4" s="1">
        <f>'Data Sheet'!G17</f>
        <v>118410</v>
      </c>
      <c r="H4" s="1">
        <f>'Data Sheet'!H17</f>
        <v>141858</v>
      </c>
      <c r="I4" s="1">
        <f>'Data Sheet'!I17</f>
        <v>152913</v>
      </c>
      <c r="J4" s="1">
        <f>'Data Sheet'!J17</f>
        <v>183316</v>
      </c>
      <c r="K4" s="1">
        <f>'Data Sheet'!K17</f>
        <v>197181</v>
      </c>
      <c r="L4" s="1">
        <f>SUM(Quarters!H4:K4)</f>
        <v>197180</v>
      </c>
      <c r="M4" s="1">
        <f>$K4+M23*K4</f>
        <v>220057.1456918609</v>
      </c>
      <c r="N4" s="1">
        <f>$K4+N23*L4</f>
        <v>212094.59564904319</v>
      </c>
    </row>
    <row r="5" spans="1:14" x14ac:dyDescent="0.3">
      <c r="A5" s="6" t="s">
        <v>7</v>
      </c>
      <c r="B5" s="9">
        <f>SUM('Data Sheet'!B18,'Data Sheet'!B20:B24, -1*'Data Sheet'!B19)</f>
        <v>67837.649999999994</v>
      </c>
      <c r="C5" s="9">
        <f>SUM('Data Sheet'!C18,'Data Sheet'!C20:C24, -1*'Data Sheet'!C19)</f>
        <v>75739.839999999997</v>
      </c>
      <c r="D5" s="9">
        <f>SUM('Data Sheet'!D18,'Data Sheet'!D20:D24, -1*'Data Sheet'!D19)</f>
        <v>68094</v>
      </c>
      <c r="E5" s="9">
        <f>SUM('Data Sheet'!E18,'Data Sheet'!E20:E24, -1*'Data Sheet'!E19)</f>
        <v>65445.96</v>
      </c>
      <c r="F5" s="9">
        <f>SUM('Data Sheet'!F18,'Data Sheet'!F20:F24, -1*'Data Sheet'!F19)</f>
        <v>83030.200000000012</v>
      </c>
      <c r="G5" s="9">
        <f>SUM('Data Sheet'!G18,'Data Sheet'!G20:G24, -1*'Data Sheet'!G19)</f>
        <v>105384.9</v>
      </c>
      <c r="H5" s="9">
        <f>SUM('Data Sheet'!H18,'Data Sheet'!H20:H24, -1*'Data Sheet'!H19)</f>
        <v>121997.88000000002</v>
      </c>
      <c r="I5" s="9">
        <f>SUM('Data Sheet'!I18,'Data Sheet'!I20:I24, -1*'Data Sheet'!I19)</f>
        <v>133034.31</v>
      </c>
      <c r="J5" s="9">
        <f>SUM('Data Sheet'!J18,'Data Sheet'!J20:J24, -1*'Data Sheet'!J19)</f>
        <v>161318.07999999999</v>
      </c>
      <c r="K5" s="9">
        <f>SUM('Data Sheet'!K18,'Data Sheet'!K20:K24, -1*'Data Sheet'!K19)</f>
        <v>0</v>
      </c>
      <c r="L5" s="9">
        <f>SUM(Quarters!H5:K5)</f>
        <v>176049</v>
      </c>
      <c r="M5" s="9">
        <f t="shared" ref="M5:N5" si="0">M4-M6</f>
        <v>121434.44399425856</v>
      </c>
      <c r="N5" s="9">
        <f t="shared" si="0"/>
        <v>189366.33311702026</v>
      </c>
    </row>
    <row r="6" spans="1:14" s="8" customFormat="1" x14ac:dyDescent="0.3">
      <c r="A6" s="8" t="s">
        <v>8</v>
      </c>
      <c r="B6" s="1">
        <f>B4-B5</f>
        <v>11971.350000000006</v>
      </c>
      <c r="C6" s="1">
        <f t="shared" ref="C6:K6" si="1">C4-C5</f>
        <v>10328.160000000003</v>
      </c>
      <c r="D6" s="1">
        <f t="shared" si="1"/>
        <v>7566</v>
      </c>
      <c r="E6" s="1">
        <f t="shared" si="1"/>
        <v>4926.0400000000009</v>
      </c>
      <c r="F6" s="1">
        <f t="shared" si="1"/>
        <v>5299.7999999999884</v>
      </c>
      <c r="G6" s="1">
        <f t="shared" si="1"/>
        <v>13025.100000000006</v>
      </c>
      <c r="H6" s="1">
        <f t="shared" si="1"/>
        <v>19860.119999999981</v>
      </c>
      <c r="I6" s="1">
        <f t="shared" si="1"/>
        <v>19878.690000000002</v>
      </c>
      <c r="J6" s="1">
        <f t="shared" si="1"/>
        <v>21997.920000000013</v>
      </c>
      <c r="K6" s="1">
        <f t="shared" si="1"/>
        <v>197181</v>
      </c>
      <c r="L6" s="1">
        <f>SUM(Quarters!H6:K6)</f>
        <v>21130</v>
      </c>
      <c r="M6" s="1">
        <f>M4*M24</f>
        <v>98622.701697602344</v>
      </c>
      <c r="N6" s="1">
        <f>N4*N24</f>
        <v>22728.262532022934</v>
      </c>
    </row>
    <row r="7" spans="1:14" x14ac:dyDescent="0.3">
      <c r="A7" s="6" t="s">
        <v>9</v>
      </c>
      <c r="B7" s="9">
        <f>'Data Sheet'!B25</f>
        <v>2155</v>
      </c>
      <c r="C7" s="9">
        <f>'Data Sheet'!C25</f>
        <v>2664</v>
      </c>
      <c r="D7" s="9">
        <f>'Data Sheet'!D25</f>
        <v>3410</v>
      </c>
      <c r="E7" s="9">
        <f>'Data Sheet'!E25</f>
        <v>3046</v>
      </c>
      <c r="F7" s="9">
        <f>'Data Sheet'!F25</f>
        <v>1861</v>
      </c>
      <c r="G7" s="9">
        <f>'Data Sheet'!G25</f>
        <v>2415</v>
      </c>
      <c r="H7" s="9">
        <f>'Data Sheet'!H25</f>
        <v>4248</v>
      </c>
      <c r="I7" s="9">
        <f>'Data Sheet'!I25</f>
        <v>5199</v>
      </c>
      <c r="J7" s="9">
        <f>'Data Sheet'!J25</f>
        <v>4569</v>
      </c>
      <c r="K7" s="9">
        <f>'Data Sheet'!K25</f>
        <v>4707</v>
      </c>
      <c r="L7" s="9">
        <f>SUM(Quarters!H7:K7)</f>
        <v>4707</v>
      </c>
      <c r="M7" s="9">
        <v>0</v>
      </c>
      <c r="N7" s="9">
        <v>0</v>
      </c>
    </row>
    <row r="8" spans="1:14" x14ac:dyDescent="0.3">
      <c r="A8" s="6" t="s">
        <v>10</v>
      </c>
      <c r="B8" s="9">
        <f>'Data Sheet'!B26</f>
        <v>2760</v>
      </c>
      <c r="C8" s="9">
        <f>'Data Sheet'!C26</f>
        <v>3021</v>
      </c>
      <c r="D8" s="9">
        <f>'Data Sheet'!D26</f>
        <v>3528</v>
      </c>
      <c r="E8" s="9">
        <f>'Data Sheet'!E26</f>
        <v>3034</v>
      </c>
      <c r="F8" s="9">
        <f>'Data Sheet'!F26</f>
        <v>2789</v>
      </c>
      <c r="G8" s="9">
        <f>'Data Sheet'!G26</f>
        <v>4846</v>
      </c>
      <c r="H8" s="9">
        <f>'Data Sheet'!H26</f>
        <v>5256</v>
      </c>
      <c r="I8" s="9">
        <f>'Data Sheet'!I26</f>
        <v>5608</v>
      </c>
      <c r="J8" s="9">
        <f>'Data Sheet'!J26</f>
        <v>6742</v>
      </c>
      <c r="K8" s="9">
        <f>'Data Sheet'!K26</f>
        <v>6966</v>
      </c>
      <c r="L8" s="9">
        <f>SUM(Quarters!H8:K8)</f>
        <v>6966</v>
      </c>
      <c r="M8" s="9">
        <f>+$L8</f>
        <v>6966</v>
      </c>
      <c r="N8" s="9">
        <f>+$L8</f>
        <v>6966</v>
      </c>
    </row>
    <row r="9" spans="1:14" x14ac:dyDescent="0.3">
      <c r="A9" s="6" t="s">
        <v>11</v>
      </c>
      <c r="B9" s="9">
        <f>'Data Sheet'!B27</f>
        <v>346</v>
      </c>
      <c r="C9" s="9">
        <f>'Data Sheet'!C27</f>
        <v>76</v>
      </c>
      <c r="D9" s="9">
        <f>'Data Sheet'!D27</f>
        <v>134</v>
      </c>
      <c r="E9" s="9">
        <f>'Data Sheet'!E27</f>
        <v>102</v>
      </c>
      <c r="F9" s="9">
        <f>'Data Sheet'!F27</f>
        <v>127</v>
      </c>
      <c r="G9" s="9">
        <f>'Data Sheet'!G27</f>
        <v>252</v>
      </c>
      <c r="H9" s="9">
        <f>'Data Sheet'!H27</f>
        <v>194</v>
      </c>
      <c r="I9" s="9">
        <f>'Data Sheet'!I27</f>
        <v>194</v>
      </c>
      <c r="J9" s="9">
        <f>'Data Sheet'!J27</f>
        <v>239</v>
      </c>
      <c r="K9" s="9">
        <f>'Data Sheet'!K27</f>
        <v>255</v>
      </c>
      <c r="L9" s="9">
        <f>SUM(Quarters!H9:K9)</f>
        <v>256</v>
      </c>
      <c r="M9" s="9">
        <f>+$L9</f>
        <v>256</v>
      </c>
      <c r="N9" s="9">
        <f>+$L9</f>
        <v>256</v>
      </c>
    </row>
    <row r="10" spans="1:14" x14ac:dyDescent="0.3">
      <c r="A10" s="6" t="s">
        <v>12</v>
      </c>
      <c r="B10" s="9">
        <f>'Data Sheet'!B28</f>
        <v>11167</v>
      </c>
      <c r="C10" s="9">
        <f>'Data Sheet'!C28</f>
        <v>10624</v>
      </c>
      <c r="D10" s="9">
        <f>'Data Sheet'!D28</f>
        <v>7103</v>
      </c>
      <c r="E10" s="9">
        <f>'Data Sheet'!E28</f>
        <v>5321</v>
      </c>
      <c r="F10" s="9">
        <f>'Data Sheet'!F28</f>
        <v>4697</v>
      </c>
      <c r="G10" s="9">
        <f>'Data Sheet'!G28</f>
        <v>10438</v>
      </c>
      <c r="H10" s="9">
        <f>'Data Sheet'!H28</f>
        <v>17424</v>
      </c>
      <c r="I10" s="9">
        <f>'Data Sheet'!I28</f>
        <v>19620</v>
      </c>
      <c r="J10" s="9">
        <f>'Data Sheet'!J28</f>
        <v>19118</v>
      </c>
      <c r="K10" s="9">
        <f>'Data Sheet'!K28</f>
        <v>18616</v>
      </c>
      <c r="L10" s="9">
        <f>SUM(Quarters!H10:K10)</f>
        <v>18615</v>
      </c>
      <c r="M10" s="9">
        <f>M6+M7-SUM(M8:M9)</f>
        <v>91400.701697602344</v>
      </c>
      <c r="N10" s="9">
        <f>N6+N7-SUM(N8:N9)</f>
        <v>15506.262532022934</v>
      </c>
    </row>
    <row r="11" spans="1:14" x14ac:dyDescent="0.3">
      <c r="A11" s="6" t="s">
        <v>13</v>
      </c>
      <c r="B11" s="9">
        <f>'Data Sheet'!B29</f>
        <v>11167</v>
      </c>
      <c r="C11" s="9">
        <f>'Data Sheet'!C29</f>
        <v>10624</v>
      </c>
      <c r="D11" s="9">
        <f>'Data Sheet'!D29</f>
        <v>7103</v>
      </c>
      <c r="E11" s="9">
        <f>'Data Sheet'!E29</f>
        <v>5321</v>
      </c>
      <c r="F11" s="9">
        <f>'Data Sheet'!F29</f>
        <v>4697</v>
      </c>
      <c r="G11" s="9">
        <f>'Data Sheet'!G29</f>
        <v>10438</v>
      </c>
      <c r="H11" s="9">
        <f>'Data Sheet'!H29</f>
        <v>17424</v>
      </c>
      <c r="I11" s="9">
        <f>'Data Sheet'!I29</f>
        <v>19620</v>
      </c>
      <c r="J11" s="9">
        <f>'Data Sheet'!J29</f>
        <v>19118</v>
      </c>
      <c r="K11" s="9">
        <f>'Data Sheet'!K29</f>
        <v>18616</v>
      </c>
      <c r="L11" s="9">
        <f>SUM(Quarters!H11:K11)</f>
        <v>18615</v>
      </c>
      <c r="M11" s="10">
        <f>IF($L10&gt;0,$L11/$L10,0)</f>
        <v>1</v>
      </c>
      <c r="N11" s="10">
        <f>IF($L10&gt;0,$L11/$L10,0)</f>
        <v>1</v>
      </c>
    </row>
    <row r="12" spans="1:14" s="8" customFormat="1" x14ac:dyDescent="0.3">
      <c r="A12" s="8" t="s">
        <v>14</v>
      </c>
      <c r="B12" s="1">
        <f>'Data Sheet'!B30</f>
        <v>7881</v>
      </c>
      <c r="C12" s="1">
        <f>'Data Sheet'!C30</f>
        <v>7651</v>
      </c>
      <c r="D12" s="1">
        <f>'Data Sheet'!D30</f>
        <v>5678</v>
      </c>
      <c r="E12" s="1">
        <f>'Data Sheet'!E30</f>
        <v>4389</v>
      </c>
      <c r="F12" s="1">
        <f>'Data Sheet'!F30</f>
        <v>3880</v>
      </c>
      <c r="G12" s="1">
        <f>'Data Sheet'!G30</f>
        <v>8264</v>
      </c>
      <c r="H12" s="1">
        <f>'Data Sheet'!H30</f>
        <v>13488</v>
      </c>
      <c r="I12" s="1">
        <f>'Data Sheet'!I30</f>
        <v>14500</v>
      </c>
      <c r="J12" s="1">
        <f>'Data Sheet'!J30</f>
        <v>14680</v>
      </c>
      <c r="K12" s="1">
        <f>'Data Sheet'!K30</f>
        <v>14334</v>
      </c>
      <c r="L12" s="1">
        <f>SUM(Quarters!H12:K12)</f>
        <v>14334</v>
      </c>
      <c r="M12" s="1">
        <f>M10-M11*M10</f>
        <v>0</v>
      </c>
      <c r="N12" s="1">
        <f>N10-N11*N10</f>
        <v>0</v>
      </c>
    </row>
    <row r="13" spans="1:14" x14ac:dyDescent="0.3">
      <c r="A13" s="11" t="s">
        <v>57</v>
      </c>
      <c r="B13" s="9">
        <f>IF('Data Sheet'!B93&gt;0,B12/'Data Sheet'!B93,0)</f>
        <v>260.78755790866978</v>
      </c>
      <c r="C13" s="9">
        <f>IF('Data Sheet'!C93&gt;0,C12/'Data Sheet'!C93,0)</f>
        <v>253.17670416942423</v>
      </c>
      <c r="D13" s="9">
        <f>IF('Data Sheet'!D93&gt;0,D12/'Data Sheet'!D93,0)</f>
        <v>187.88881535407015</v>
      </c>
      <c r="E13" s="9">
        <f>IF('Data Sheet'!E93&gt;0,E12/'Data Sheet'!E93,0)</f>
        <v>145.23494374586366</v>
      </c>
      <c r="F13" s="9">
        <f>IF('Data Sheet'!F93&gt;0,F12/'Data Sheet'!F93,0)</f>
        <v>128.39179351422899</v>
      </c>
      <c r="G13" s="9">
        <f>IF('Data Sheet'!G93&gt;0,G12/'Data Sheet'!G93,0)</f>
        <v>273.46128391793513</v>
      </c>
      <c r="H13" s="9">
        <f>IF('Data Sheet'!H93&gt;0,H12/'Data Sheet'!H93,0)</f>
        <v>446.32693580410324</v>
      </c>
      <c r="I13" s="9">
        <f>IF('Data Sheet'!I93&gt;0,I12/'Data Sheet'!I93,0)</f>
        <v>479.81469225678359</v>
      </c>
      <c r="J13" s="9">
        <f>IF('Data Sheet'!J93&gt;0,J12/'Data Sheet'!J93,0)</f>
        <v>485.77101257445401</v>
      </c>
      <c r="K13" s="9">
        <f>IF('Data Sheet'!K93&gt;0,K12/'Data Sheet'!K93,0)</f>
        <v>474.3216412971542</v>
      </c>
      <c r="L13" s="9">
        <f>IF('Data Sheet'!$B6&gt;0,'Profit &amp; Loss'!L12/'Data Sheet'!$B6,0)</f>
        <v>455.91281952901414</v>
      </c>
      <c r="M13" s="9">
        <f>IF('Data Sheet'!$B6&gt;0,'Profit &amp; Loss'!M12/'Data Sheet'!$B6,0)</f>
        <v>0</v>
      </c>
      <c r="N13" s="9">
        <f>IF('Data Sheet'!$B6&gt;0,'Profit &amp; Loss'!N12/'Data Sheet'!$B6,0)</f>
        <v>0</v>
      </c>
    </row>
    <row r="14" spans="1:14" x14ac:dyDescent="0.3">
      <c r="A14" s="6" t="s">
        <v>16</v>
      </c>
      <c r="B14" s="9">
        <f>IF(B15&gt;0,B15/B13,"")</f>
        <v>22.576805608425325</v>
      </c>
      <c r="C14" s="9">
        <f t="shared" ref="C14:K14" si="2">IF(C15&gt;0,C15/C13,"")</f>
        <v>35.048445824075287</v>
      </c>
      <c r="D14" s="9">
        <f t="shared" si="2"/>
        <v>36.910925149700596</v>
      </c>
      <c r="E14" s="9">
        <f t="shared" si="2"/>
        <v>43.261627249943047</v>
      </c>
      <c r="F14" s="9">
        <f t="shared" si="2"/>
        <v>53.478106443298962</v>
      </c>
      <c r="G14" s="9">
        <f t="shared" si="2"/>
        <v>26.502106243949662</v>
      </c>
      <c r="H14" s="9">
        <f t="shared" si="2"/>
        <v>19.271187351720048</v>
      </c>
      <c r="I14" s="9">
        <f t="shared" si="2"/>
        <v>24.107640275862071</v>
      </c>
      <c r="J14" s="9">
        <f t="shared" si="2"/>
        <v>24.591525000000001</v>
      </c>
      <c r="K14" s="9">
        <f t="shared" si="2"/>
        <v>31.322627319659549</v>
      </c>
      <c r="L14" s="9">
        <f t="shared" ref="L14" si="3">IF(L13&gt;0,L15/L13,0)</f>
        <v>26.546742011999445</v>
      </c>
      <c r="M14" s="9">
        <f>M25</f>
        <v>26.642133651880265</v>
      </c>
      <c r="N14" s="9">
        <f>N25</f>
        <v>25.390304700531797</v>
      </c>
    </row>
    <row r="15" spans="1:14" s="8" customFormat="1" x14ac:dyDescent="0.3">
      <c r="A15" s="8" t="s">
        <v>58</v>
      </c>
      <c r="B15" s="1">
        <f>'Data Sheet'!B90</f>
        <v>5887.75</v>
      </c>
      <c r="C15" s="1">
        <f>'Data Sheet'!C90</f>
        <v>8873.4500000000007</v>
      </c>
      <c r="D15" s="1">
        <f>'Data Sheet'!D90</f>
        <v>6935.15</v>
      </c>
      <c r="E15" s="1">
        <f>'Data Sheet'!E90</f>
        <v>6283.1</v>
      </c>
      <c r="F15" s="1">
        <f>'Data Sheet'!F90</f>
        <v>6866.15</v>
      </c>
      <c r="G15" s="1">
        <f>'Data Sheet'!G90</f>
        <v>7247.3</v>
      </c>
      <c r="H15" s="1">
        <f>'Data Sheet'!H90</f>
        <v>8601.25</v>
      </c>
      <c r="I15" s="1">
        <f>'Data Sheet'!I90</f>
        <v>11567.2</v>
      </c>
      <c r="J15" s="1">
        <f>'Data Sheet'!J90</f>
        <v>11945.85</v>
      </c>
      <c r="K15" s="1">
        <f>'Data Sheet'!K90</f>
        <v>14857</v>
      </c>
      <c r="L15" s="1">
        <f>'Data Sheet'!B8</f>
        <v>12103</v>
      </c>
      <c r="M15" s="12">
        <f>M13*M14</f>
        <v>0</v>
      </c>
      <c r="N15" s="13">
        <f>N13*N14</f>
        <v>0</v>
      </c>
    </row>
    <row r="17" spans="1:14" s="8" customFormat="1" x14ac:dyDescent="0.3">
      <c r="A17" s="8" t="s">
        <v>15</v>
      </c>
    </row>
    <row r="18" spans="1:14" x14ac:dyDescent="0.3">
      <c r="A18" s="6" t="s">
        <v>17</v>
      </c>
      <c r="B18" s="7">
        <f>IF('Data Sheet'!B30&gt;0, 'Data Sheet'!B31/'Data Sheet'!B30, 0)</f>
        <v>0.31</v>
      </c>
      <c r="C18" s="7">
        <f>IF('Data Sheet'!C30&gt;0, 'Data Sheet'!C31/'Data Sheet'!C30, 0)</f>
        <v>0.32</v>
      </c>
      <c r="D18" s="7">
        <f>IF('Data Sheet'!D30&gt;0, 'Data Sheet'!D31/'Data Sheet'!D30, 0)</f>
        <v>0.32</v>
      </c>
      <c r="E18" s="7">
        <f>IF('Data Sheet'!E30&gt;0, 'Data Sheet'!E31/'Data Sheet'!E30, 0)</f>
        <v>0.31</v>
      </c>
      <c r="F18" s="7">
        <f>IF('Data Sheet'!F30&gt;0, 'Data Sheet'!F31/'Data Sheet'!F30, 0)</f>
        <v>0.47</v>
      </c>
      <c r="G18" s="7">
        <f>IF('Data Sheet'!G30&gt;0, 'Data Sheet'!G31/'Data Sheet'!G30, 0)</f>
        <v>0.34</v>
      </c>
      <c r="H18" s="7">
        <f>IF('Data Sheet'!H30&gt;0, 'Data Sheet'!H31/'Data Sheet'!H30, 0)</f>
        <v>0.28999999999999998</v>
      </c>
      <c r="I18" s="7">
        <f>IF('Data Sheet'!I30&gt;0, 'Data Sheet'!I31/'Data Sheet'!I30, 0)</f>
        <v>0.28999999999999998</v>
      </c>
      <c r="J18" s="7">
        <f>IF('Data Sheet'!J30&gt;0, 'Data Sheet'!J31/'Data Sheet'!J30, 0)</f>
        <v>0.3</v>
      </c>
      <c r="K18" s="7">
        <f>IF('Data Sheet'!K30&gt;0, 'Data Sheet'!K31/'Data Sheet'!K30, 0)</f>
        <v>0</v>
      </c>
    </row>
    <row r="19" spans="1:14" x14ac:dyDescent="0.3">
      <c r="A19" s="6" t="s">
        <v>18</v>
      </c>
      <c r="B19" s="7">
        <f t="shared" ref="B19:L19" si="4">IF(B6&gt;0,B6/B4,0)</f>
        <v>0.15000000000000008</v>
      </c>
      <c r="C19" s="7">
        <f t="shared" ref="C19:K19" si="5">IF(C6&gt;0,C6/C4,0)</f>
        <v>0.12000000000000004</v>
      </c>
      <c r="D19" s="7">
        <f t="shared" si="5"/>
        <v>0.1</v>
      </c>
      <c r="E19" s="7">
        <f t="shared" si="5"/>
        <v>7.0000000000000007E-2</v>
      </c>
      <c r="F19" s="7">
        <f t="shared" si="5"/>
        <v>5.9999999999999866E-2</v>
      </c>
      <c r="G19" s="7">
        <f t="shared" si="5"/>
        <v>0.11000000000000006</v>
      </c>
      <c r="H19" s="7">
        <f t="shared" si="5"/>
        <v>0.13999999999999987</v>
      </c>
      <c r="I19" s="7">
        <f t="shared" si="5"/>
        <v>0.13</v>
      </c>
      <c r="J19" s="7">
        <f t="shared" si="5"/>
        <v>0.12000000000000006</v>
      </c>
      <c r="K19" s="7">
        <f t="shared" si="5"/>
        <v>1</v>
      </c>
      <c r="L19" s="7">
        <f t="shared" si="4"/>
        <v>0.10716096967238056</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0.10572189817474364</v>
      </c>
      <c r="I23" s="7">
        <f>IF(D4=0,"",POWER($K4/D4,1/7)-1)</f>
        <v>0.14664343714170847</v>
      </c>
      <c r="J23" s="7">
        <f>IF(F4=0,"",POWER($K4/F4,1/5)-1)</f>
        <v>0.17422511984604605</v>
      </c>
      <c r="K23" s="7">
        <f>IF(H4=0,"",POWER($K4/H4, 1/3)-1)</f>
        <v>0.11601597360729943</v>
      </c>
      <c r="L23" s="7">
        <f>IF(ISERROR(MAX(IF(J4=0,"",(K4-J4)/J4),IF(K4=0,"",(L4-K4)/K4))),"",MAX(IF(J4=0,"",(K4-J4)/J4),IF(K4=0,"",(L4-K4)/K4)))</f>
        <v>7.5634423618232999E-2</v>
      </c>
      <c r="M23" s="22">
        <f>MAX(K23:L23)</f>
        <v>0.11601597360729943</v>
      </c>
      <c r="N23" s="22">
        <f>MIN(H23:L23)</f>
        <v>7.5634423618232999E-2</v>
      </c>
    </row>
    <row r="24" spans="1:14" x14ac:dyDescent="0.3">
      <c r="G24" s="6" t="s">
        <v>18</v>
      </c>
      <c r="H24" s="7">
        <f>IF(SUM(B4:$K$4)=0,"",SUMPRODUCT(B19:$K$19,B4:$K$4)/SUM(B4:$K$4))</f>
        <v>0.26135332690630925</v>
      </c>
      <c r="I24" s="7">
        <f>IF(SUM(E4:$K$4)=0,"",SUMPRODUCT(E19:$K$19,E4:$K$4)/SUM(E4:$K$4))</f>
        <v>0.29627739977739975</v>
      </c>
      <c r="J24" s="7">
        <f>IF(SUM(G4:$K$4)=0,"",SUMPRODUCT(G19:$K$19,G4:$K$4)/SUM(G4:$K$4))</f>
        <v>0.34263622023037055</v>
      </c>
      <c r="K24" s="7">
        <f>IF(SUM(I4:$K$4)=0, "", SUMPRODUCT(I19:$K$19,I4:$K$4)/SUM(I4:$K$4))</f>
        <v>0.44816859451453855</v>
      </c>
      <c r="L24" s="7">
        <f>L19</f>
        <v>0.10716096967238056</v>
      </c>
      <c r="M24" s="22">
        <f>MAX(K24:L24)</f>
        <v>0.44816859451453855</v>
      </c>
      <c r="N24" s="22">
        <f>MIN(H24:L24)</f>
        <v>0.10716096967238056</v>
      </c>
    </row>
    <row r="25" spans="1:14" x14ac:dyDescent="0.3">
      <c r="G25" s="6" t="s">
        <v>23</v>
      </c>
      <c r="H25" s="9">
        <f>IF(ISERROR(AVERAGEIF(B14:$L14,"&gt;0")),"",AVERAGEIF(B14:$L14,"&gt;0"))</f>
        <v>31.237976225330364</v>
      </c>
      <c r="I25" s="9">
        <f>IF(ISERROR(AVERAGEIF(E14:$L14,"&gt;0")),"",AVERAGEIF(E14:$L14,"&gt;0"))</f>
        <v>31.135195237054099</v>
      </c>
      <c r="J25" s="9">
        <f>IF(ISERROR(AVERAGEIF(G14:$L14,"&gt;0")),"",AVERAGEIF(G14:$L14,"&gt;0"))</f>
        <v>25.390304700531797</v>
      </c>
      <c r="K25" s="9">
        <f>IF(ISERROR(AVERAGEIF(I14:$L14,"&gt;0")),"",AVERAGEIF(I14:$L14,"&gt;0"))</f>
        <v>26.642133651880265</v>
      </c>
      <c r="L25" s="9">
        <f>L14</f>
        <v>26.546742011999445</v>
      </c>
      <c r="M25" s="1">
        <f>MAX(K25:L25)</f>
        <v>26.642133651880265</v>
      </c>
      <c r="N25" s="1">
        <f>MIN(H25:L25)</f>
        <v>25.390304700531797</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Maruti Suzuki India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38471</v>
      </c>
      <c r="C4" s="1">
        <f>'Data Sheet'!C42</f>
        <v>35779</v>
      </c>
      <c r="D4" s="1">
        <f>'Data Sheet'!D42</f>
        <v>37449</v>
      </c>
      <c r="E4" s="1">
        <f>'Data Sheet'!E42</f>
        <v>38764</v>
      </c>
      <c r="F4" s="1">
        <f>'Data Sheet'!F42</f>
        <v>40920</v>
      </c>
      <c r="G4" s="1">
        <f>'Data Sheet'!G42</f>
        <v>38605</v>
      </c>
      <c r="H4" s="1">
        <f>'Data Sheet'!H42</f>
        <v>42344</v>
      </c>
      <c r="I4" s="1">
        <f>'Data Sheet'!I42</f>
        <v>49904</v>
      </c>
      <c r="J4" s="1">
        <f>'Data Sheet'!J42</f>
        <v>52462</v>
      </c>
      <c r="K4" s="1">
        <f>'Data Sheet'!K42</f>
        <v>52470</v>
      </c>
    </row>
    <row r="5" spans="1:11" x14ac:dyDescent="0.3">
      <c r="A5" s="6" t="s">
        <v>7</v>
      </c>
      <c r="B5" s="9">
        <f>'Data Sheet'!B43</f>
        <v>33250</v>
      </c>
      <c r="C5" s="9">
        <f>'Data Sheet'!C43</f>
        <v>30673</v>
      </c>
      <c r="D5" s="9">
        <f>'Data Sheet'!D43</f>
        <v>32450</v>
      </c>
      <c r="E5" s="9">
        <f>'Data Sheet'!E43</f>
        <v>33688</v>
      </c>
      <c r="F5" s="9">
        <f>'Data Sheet'!F43</f>
        <v>36076</v>
      </c>
      <c r="G5" s="9">
        <f>'Data Sheet'!G43</f>
        <v>33983</v>
      </c>
      <c r="H5" s="9">
        <f>'Data Sheet'!H43</f>
        <v>37258</v>
      </c>
      <c r="I5" s="9">
        <f>'Data Sheet'!I43</f>
        <v>44331</v>
      </c>
      <c r="J5" s="9">
        <f>'Data Sheet'!J43</f>
        <v>46304</v>
      </c>
      <c r="K5" s="9">
        <f>'Data Sheet'!K43</f>
        <v>48156</v>
      </c>
    </row>
    <row r="6" spans="1:11" s="8" customFormat="1" x14ac:dyDescent="0.3">
      <c r="A6" s="8" t="s">
        <v>8</v>
      </c>
      <c r="B6" s="1">
        <f>'Data Sheet'!B50</f>
        <v>5221</v>
      </c>
      <c r="C6" s="1">
        <f>'Data Sheet'!C50</f>
        <v>5107</v>
      </c>
      <c r="D6" s="1">
        <f>'Data Sheet'!D50</f>
        <v>4999</v>
      </c>
      <c r="E6" s="1">
        <f>'Data Sheet'!E50</f>
        <v>5076</v>
      </c>
      <c r="F6" s="1">
        <f>'Data Sheet'!F50</f>
        <v>4844</v>
      </c>
      <c r="G6" s="1">
        <f>'Data Sheet'!G50</f>
        <v>4623</v>
      </c>
      <c r="H6" s="1">
        <f>'Data Sheet'!H50</f>
        <v>5086</v>
      </c>
      <c r="I6" s="1">
        <f>'Data Sheet'!I50</f>
        <v>5573</v>
      </c>
      <c r="J6" s="1">
        <f>'Data Sheet'!J50</f>
        <v>6158</v>
      </c>
      <c r="K6" s="1">
        <f>'Data Sheet'!K50</f>
        <v>4313</v>
      </c>
    </row>
    <row r="7" spans="1:11" x14ac:dyDescent="0.3">
      <c r="A7" s="6" t="s">
        <v>9</v>
      </c>
      <c r="B7" s="9">
        <f>'Data Sheet'!B44</f>
        <v>1261</v>
      </c>
      <c r="C7" s="9">
        <f>'Data Sheet'!C44</f>
        <v>1118</v>
      </c>
      <c r="D7" s="9">
        <f>'Data Sheet'!D44</f>
        <v>1570</v>
      </c>
      <c r="E7" s="9">
        <f>'Data Sheet'!E44</f>
        <v>1125</v>
      </c>
      <c r="F7" s="9">
        <f>'Data Sheet'!F44</f>
        <v>1583</v>
      </c>
      <c r="G7" s="9">
        <f>'Data Sheet'!G44</f>
        <v>1924</v>
      </c>
      <c r="H7" s="9">
        <f>'Data Sheet'!H44</f>
        <v>1014</v>
      </c>
      <c r="I7" s="9">
        <f>'Data Sheet'!I44</f>
        <v>1140</v>
      </c>
      <c r="J7" s="9">
        <f>'Data Sheet'!J44</f>
        <v>581</v>
      </c>
      <c r="K7" s="9">
        <f>'Data Sheet'!K44</f>
        <v>1972</v>
      </c>
    </row>
    <row r="8" spans="1:11" x14ac:dyDescent="0.3">
      <c r="A8" s="6" t="s">
        <v>10</v>
      </c>
      <c r="B8" s="9">
        <f>'Data Sheet'!B45</f>
        <v>1298</v>
      </c>
      <c r="C8" s="9">
        <f>'Data Sheet'!C45</f>
        <v>1332</v>
      </c>
      <c r="D8" s="9">
        <f>'Data Sheet'!D45</f>
        <v>1386</v>
      </c>
      <c r="E8" s="9">
        <f>'Data Sheet'!E45</f>
        <v>1429</v>
      </c>
      <c r="F8" s="9">
        <f>'Data Sheet'!F45</f>
        <v>1462</v>
      </c>
      <c r="G8" s="9">
        <f>'Data Sheet'!G45</f>
        <v>1556</v>
      </c>
      <c r="H8" s="9">
        <f>'Data Sheet'!H45</f>
        <v>1703</v>
      </c>
      <c r="I8" s="9">
        <f>'Data Sheet'!I45</f>
        <v>1735</v>
      </c>
      <c r="J8" s="9">
        <f>'Data Sheet'!J45</f>
        <v>1748</v>
      </c>
      <c r="K8" s="9">
        <f>'Data Sheet'!K45</f>
        <v>1780</v>
      </c>
    </row>
    <row r="9" spans="1:11" x14ac:dyDescent="0.3">
      <c r="A9" s="6" t="s">
        <v>11</v>
      </c>
      <c r="B9" s="9">
        <f>'Data Sheet'!B46</f>
        <v>76</v>
      </c>
      <c r="C9" s="9">
        <f>'Data Sheet'!C46</f>
        <v>57</v>
      </c>
      <c r="D9" s="9">
        <f>'Data Sheet'!D46</f>
        <v>43</v>
      </c>
      <c r="E9" s="9">
        <f>'Data Sheet'!E46</f>
        <v>46</v>
      </c>
      <c r="F9" s="9">
        <f>'Data Sheet'!F46</f>
        <v>48</v>
      </c>
      <c r="G9" s="9">
        <f>'Data Sheet'!G46</f>
        <v>47</v>
      </c>
      <c r="H9" s="9">
        <f>'Data Sheet'!H46</f>
        <v>57</v>
      </c>
      <c r="I9" s="9">
        <f>'Data Sheet'!I46</f>
        <v>62</v>
      </c>
      <c r="J9" s="9">
        <f>'Data Sheet'!J46</f>
        <v>73</v>
      </c>
      <c r="K9" s="9">
        <f>'Data Sheet'!K46</f>
        <v>64</v>
      </c>
    </row>
    <row r="10" spans="1:11" x14ac:dyDescent="0.3">
      <c r="A10" s="6" t="s">
        <v>12</v>
      </c>
      <c r="B10" s="9">
        <f>'Data Sheet'!B47</f>
        <v>5108</v>
      </c>
      <c r="C10" s="9">
        <f>'Data Sheet'!C47</f>
        <v>4836</v>
      </c>
      <c r="D10" s="9">
        <f>'Data Sheet'!D47</f>
        <v>5141</v>
      </c>
      <c r="E10" s="9">
        <f>'Data Sheet'!E47</f>
        <v>4726</v>
      </c>
      <c r="F10" s="9">
        <f>'Data Sheet'!F47</f>
        <v>4918</v>
      </c>
      <c r="G10" s="9">
        <f>'Data Sheet'!G47</f>
        <v>4944</v>
      </c>
      <c r="H10" s="9">
        <f>'Data Sheet'!H47</f>
        <v>4339</v>
      </c>
      <c r="I10" s="9">
        <f>'Data Sheet'!I47</f>
        <v>4917</v>
      </c>
      <c r="J10" s="9">
        <f>'Data Sheet'!J47</f>
        <v>4918</v>
      </c>
      <c r="K10" s="9">
        <f>'Data Sheet'!K47</f>
        <v>4441</v>
      </c>
    </row>
    <row r="11" spans="1:11" x14ac:dyDescent="0.3">
      <c r="A11" s="6" t="s">
        <v>13</v>
      </c>
      <c r="B11" s="9">
        <f>'Data Sheet'!B48</f>
        <v>5108</v>
      </c>
      <c r="C11" s="9">
        <f>'Data Sheet'!C48</f>
        <v>4836</v>
      </c>
      <c r="D11" s="9">
        <f>'Data Sheet'!D48</f>
        <v>5141</v>
      </c>
      <c r="E11" s="9">
        <f>'Data Sheet'!E48</f>
        <v>4726</v>
      </c>
      <c r="F11" s="9">
        <f>'Data Sheet'!F48</f>
        <v>4918</v>
      </c>
      <c r="G11" s="9">
        <f>'Data Sheet'!G48</f>
        <v>4944</v>
      </c>
      <c r="H11" s="9">
        <f>'Data Sheet'!H48</f>
        <v>4339</v>
      </c>
      <c r="I11" s="9">
        <f>'Data Sheet'!I48</f>
        <v>4917</v>
      </c>
      <c r="J11" s="9">
        <f>'Data Sheet'!J48</f>
        <v>4918</v>
      </c>
      <c r="K11" s="9">
        <f>'Data Sheet'!K48</f>
        <v>4441</v>
      </c>
    </row>
    <row r="12" spans="1:11" s="8" customFormat="1" x14ac:dyDescent="0.3">
      <c r="A12" s="8" t="s">
        <v>14</v>
      </c>
      <c r="B12" s="1">
        <f>'Data Sheet'!B49</f>
        <v>3952</v>
      </c>
      <c r="C12" s="1">
        <f>'Data Sheet'!C49</f>
        <v>3760</v>
      </c>
      <c r="D12" s="1">
        <f>'Data Sheet'!D49</f>
        <v>3102</v>
      </c>
      <c r="E12" s="1">
        <f>'Data Sheet'!E49</f>
        <v>3727</v>
      </c>
      <c r="F12" s="1">
        <f>'Data Sheet'!F49</f>
        <v>3911</v>
      </c>
      <c r="G12" s="1">
        <f>'Data Sheet'!G49</f>
        <v>3792</v>
      </c>
      <c r="H12" s="1">
        <f>'Data Sheet'!H49</f>
        <v>3349</v>
      </c>
      <c r="I12" s="1">
        <f>'Data Sheet'!I49</f>
        <v>3879</v>
      </c>
      <c r="J12" s="1">
        <f>'Data Sheet'!J49</f>
        <v>3659</v>
      </c>
      <c r="K12" s="1">
        <f>'Data Sheet'!K49</f>
        <v>3447</v>
      </c>
    </row>
    <row r="14" spans="1:11" s="8" customFormat="1" x14ac:dyDescent="0.3">
      <c r="A14" s="2" t="s">
        <v>18</v>
      </c>
      <c r="B14" s="14">
        <f>IF(B4&gt;0,B6/B4,"")</f>
        <v>0.13571261469678458</v>
      </c>
      <c r="C14" s="14">
        <f t="shared" ref="C14:K14" si="0">IF(C4&gt;0,C6/C4,"")</f>
        <v>0.14273735990385422</v>
      </c>
      <c r="D14" s="14">
        <f t="shared" si="0"/>
        <v>0.13348821063312771</v>
      </c>
      <c r="E14" s="14">
        <f t="shared" si="0"/>
        <v>0.13094623877824785</v>
      </c>
      <c r="F14" s="14">
        <f t="shared" si="0"/>
        <v>0.11837732160312806</v>
      </c>
      <c r="G14" s="14">
        <f t="shared" si="0"/>
        <v>0.11975132754824505</v>
      </c>
      <c r="H14" s="14">
        <f t="shared" si="0"/>
        <v>0.12011146797657284</v>
      </c>
      <c r="I14" s="14">
        <f t="shared" si="0"/>
        <v>0.111674414876563</v>
      </c>
      <c r="J14" s="14">
        <f t="shared" si="0"/>
        <v>0.11738019900118181</v>
      </c>
      <c r="K14" s="14">
        <f t="shared" si="0"/>
        <v>8.2199352010672772E-2</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Maruti Suzuki India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151</v>
      </c>
      <c r="C4" s="19">
        <f>'Data Sheet'!C57</f>
        <v>151</v>
      </c>
      <c r="D4" s="19">
        <f>'Data Sheet'!D57</f>
        <v>151</v>
      </c>
      <c r="E4" s="19">
        <f>'Data Sheet'!E57</f>
        <v>151</v>
      </c>
      <c r="F4" s="19">
        <f>'Data Sheet'!F57</f>
        <v>151</v>
      </c>
      <c r="G4" s="19">
        <f>'Data Sheet'!G57</f>
        <v>151</v>
      </c>
      <c r="H4" s="19">
        <f>'Data Sheet'!H57</f>
        <v>157</v>
      </c>
      <c r="I4" s="19">
        <f>'Data Sheet'!I57</f>
        <v>157</v>
      </c>
      <c r="J4" s="19">
        <f>'Data Sheet'!J57</f>
        <v>157</v>
      </c>
      <c r="K4" s="19">
        <f>'Data Sheet'!K57</f>
        <v>157</v>
      </c>
    </row>
    <row r="5" spans="1:11" s="6" customFormat="1" x14ac:dyDescent="0.3">
      <c r="A5" s="6" t="s">
        <v>25</v>
      </c>
      <c r="B5" s="19">
        <f>'Data Sheet'!B58</f>
        <v>36924</v>
      </c>
      <c r="C5" s="19">
        <f>'Data Sheet'!C58</f>
        <v>42408</v>
      </c>
      <c r="D5" s="19">
        <f>'Data Sheet'!D58</f>
        <v>46941</v>
      </c>
      <c r="E5" s="19">
        <f>'Data Sheet'!E58</f>
        <v>49262</v>
      </c>
      <c r="F5" s="19">
        <f>'Data Sheet'!F58</f>
        <v>52350</v>
      </c>
      <c r="G5" s="19">
        <f>'Data Sheet'!G58</f>
        <v>55182</v>
      </c>
      <c r="H5" s="19">
        <f>'Data Sheet'!H58</f>
        <v>74443</v>
      </c>
      <c r="I5" s="19">
        <f>'Data Sheet'!I58</f>
        <v>85479</v>
      </c>
      <c r="J5" s="19">
        <f>'Data Sheet'!J58</f>
        <v>96083</v>
      </c>
      <c r="K5" s="19">
        <f>'Data Sheet'!K58</f>
        <v>106999</v>
      </c>
    </row>
    <row r="6" spans="1:11" x14ac:dyDescent="0.3">
      <c r="A6" s="11" t="s">
        <v>71</v>
      </c>
      <c r="B6" s="19">
        <f>'Data Sheet'!B59</f>
        <v>484</v>
      </c>
      <c r="C6" s="19">
        <f>'Data Sheet'!C59</f>
        <v>121</v>
      </c>
      <c r="D6" s="19">
        <f>'Data Sheet'!D59</f>
        <v>160</v>
      </c>
      <c r="E6" s="19">
        <f>'Data Sheet'!E59</f>
        <v>184</v>
      </c>
      <c r="F6" s="19">
        <f>'Data Sheet'!F59</f>
        <v>541</v>
      </c>
      <c r="G6" s="19">
        <f>'Data Sheet'!G59</f>
        <v>426</v>
      </c>
      <c r="H6" s="19">
        <f>'Data Sheet'!H59</f>
        <v>1248</v>
      </c>
      <c r="I6" s="19">
        <f>'Data Sheet'!I59</f>
        <v>119</v>
      </c>
      <c r="J6" s="19">
        <f>'Data Sheet'!J59</f>
        <v>87</v>
      </c>
      <c r="K6" s="19">
        <f>'Data Sheet'!K59</f>
        <v>102</v>
      </c>
    </row>
    <row r="7" spans="1:11" s="6" customFormat="1" x14ac:dyDescent="0.3">
      <c r="A7" s="11" t="s">
        <v>72</v>
      </c>
      <c r="B7" s="19">
        <f>'Data Sheet'!B60</f>
        <v>14402</v>
      </c>
      <c r="C7" s="19">
        <f>'Data Sheet'!C60</f>
        <v>17568</v>
      </c>
      <c r="D7" s="19">
        <f>'Data Sheet'!D60</f>
        <v>16717</v>
      </c>
      <c r="E7" s="19">
        <f>'Data Sheet'!E60</f>
        <v>14031</v>
      </c>
      <c r="F7" s="19">
        <f>'Data Sheet'!F60</f>
        <v>18335</v>
      </c>
      <c r="G7" s="19">
        <f>'Data Sheet'!G60</f>
        <v>18896</v>
      </c>
      <c r="H7" s="19">
        <f>'Data Sheet'!H60</f>
        <v>24258</v>
      </c>
      <c r="I7" s="19">
        <f>'Data Sheet'!I60</f>
        <v>29550</v>
      </c>
      <c r="J7" s="19">
        <f>'Data Sheet'!J60</f>
        <v>34689</v>
      </c>
      <c r="K7" s="19">
        <f>'Data Sheet'!K60</f>
        <v>41622</v>
      </c>
    </row>
    <row r="8" spans="1:11" s="8" customFormat="1" x14ac:dyDescent="0.3">
      <c r="A8" s="8" t="s">
        <v>26</v>
      </c>
      <c r="B8" s="20">
        <f>'Data Sheet'!B61</f>
        <v>51960</v>
      </c>
      <c r="C8" s="20">
        <f>'Data Sheet'!C61</f>
        <v>60248</v>
      </c>
      <c r="D8" s="20">
        <f>'Data Sheet'!D61</f>
        <v>63969</v>
      </c>
      <c r="E8" s="20">
        <f>'Data Sheet'!E61</f>
        <v>63628</v>
      </c>
      <c r="F8" s="20">
        <f>'Data Sheet'!F61</f>
        <v>71376</v>
      </c>
      <c r="G8" s="20">
        <f>'Data Sheet'!G61</f>
        <v>74656</v>
      </c>
      <c r="H8" s="20">
        <f>'Data Sheet'!H61</f>
        <v>100106</v>
      </c>
      <c r="I8" s="20">
        <f>'Data Sheet'!I61</f>
        <v>115304</v>
      </c>
      <c r="J8" s="20">
        <f>'Data Sheet'!J61</f>
        <v>131016</v>
      </c>
      <c r="K8" s="20">
        <f>'Data Sheet'!K61</f>
        <v>148880</v>
      </c>
    </row>
    <row r="9" spans="1:11" s="8" customFormat="1" x14ac:dyDescent="0.3">
      <c r="B9" s="20"/>
      <c r="C9" s="20"/>
      <c r="D9" s="20"/>
      <c r="E9" s="20"/>
      <c r="F9" s="20"/>
      <c r="G9" s="20"/>
      <c r="H9" s="20"/>
      <c r="I9" s="20"/>
      <c r="J9" s="20"/>
      <c r="K9" s="20"/>
    </row>
    <row r="10" spans="1:11" x14ac:dyDescent="0.3">
      <c r="A10" s="6" t="s">
        <v>27</v>
      </c>
      <c r="B10" s="19">
        <f>'Data Sheet'!B62</f>
        <v>13311</v>
      </c>
      <c r="C10" s="19">
        <f>'Data Sheet'!C62</f>
        <v>13389</v>
      </c>
      <c r="D10" s="19">
        <f>'Data Sheet'!D62</f>
        <v>15437</v>
      </c>
      <c r="E10" s="19">
        <f>'Data Sheet'!E62</f>
        <v>15744</v>
      </c>
      <c r="F10" s="19">
        <f>'Data Sheet'!F62</f>
        <v>14989</v>
      </c>
      <c r="G10" s="19">
        <f>'Data Sheet'!G62</f>
        <v>13747</v>
      </c>
      <c r="H10" s="19">
        <f>'Data Sheet'!H62</f>
        <v>27941</v>
      </c>
      <c r="I10" s="19">
        <f>'Data Sheet'!I62</f>
        <v>27865</v>
      </c>
      <c r="J10" s="19">
        <f>'Data Sheet'!J62</f>
        <v>32983</v>
      </c>
      <c r="K10" s="19">
        <f>'Data Sheet'!K62</f>
        <v>34523</v>
      </c>
    </row>
    <row r="11" spans="1:11" x14ac:dyDescent="0.3">
      <c r="A11" s="6" t="s">
        <v>28</v>
      </c>
      <c r="B11" s="19">
        <f>'Data Sheet'!B63</f>
        <v>1252</v>
      </c>
      <c r="C11" s="19">
        <f>'Data Sheet'!C63</f>
        <v>2132</v>
      </c>
      <c r="D11" s="19">
        <f>'Data Sheet'!D63</f>
        <v>1607</v>
      </c>
      <c r="E11" s="19">
        <f>'Data Sheet'!E63</f>
        <v>1415</v>
      </c>
      <c r="F11" s="19">
        <f>'Data Sheet'!F63</f>
        <v>1497</v>
      </c>
      <c r="G11" s="19">
        <f>'Data Sheet'!G63</f>
        <v>2936</v>
      </c>
      <c r="H11" s="19">
        <f>'Data Sheet'!H63</f>
        <v>4143</v>
      </c>
      <c r="I11" s="19">
        <f>'Data Sheet'!I63</f>
        <v>7735</v>
      </c>
      <c r="J11" s="19">
        <f>'Data Sheet'!J63</f>
        <v>7929</v>
      </c>
      <c r="K11" s="19">
        <f>'Data Sheet'!K63</f>
        <v>9838</v>
      </c>
    </row>
    <row r="12" spans="1:11" x14ac:dyDescent="0.3">
      <c r="A12" s="6" t="s">
        <v>29</v>
      </c>
      <c r="B12" s="19">
        <f>'Data Sheet'!B64</f>
        <v>29151</v>
      </c>
      <c r="C12" s="19">
        <f>'Data Sheet'!C64</f>
        <v>36123</v>
      </c>
      <c r="D12" s="19">
        <f>'Data Sheet'!D64</f>
        <v>37504</v>
      </c>
      <c r="E12" s="19">
        <f>'Data Sheet'!E64</f>
        <v>37488</v>
      </c>
      <c r="F12" s="19">
        <f>'Data Sheet'!F64</f>
        <v>42945</v>
      </c>
      <c r="G12" s="19">
        <f>'Data Sheet'!G64</f>
        <v>42035</v>
      </c>
      <c r="H12" s="19">
        <f>'Data Sheet'!H64</f>
        <v>49184</v>
      </c>
      <c r="I12" s="19">
        <f>'Data Sheet'!I64</f>
        <v>57296</v>
      </c>
      <c r="J12" s="19">
        <f>'Data Sheet'!J64</f>
        <v>66265</v>
      </c>
      <c r="K12" s="19">
        <f>'Data Sheet'!K64</f>
        <v>76838</v>
      </c>
    </row>
    <row r="13" spans="1:11" x14ac:dyDescent="0.3">
      <c r="A13" s="11" t="s">
        <v>73</v>
      </c>
      <c r="B13" s="19">
        <f>'Data Sheet'!B65</f>
        <v>8247</v>
      </c>
      <c r="C13" s="19">
        <f>'Data Sheet'!C65</f>
        <v>8604</v>
      </c>
      <c r="D13" s="19">
        <f>'Data Sheet'!D65</f>
        <v>9421</v>
      </c>
      <c r="E13" s="19">
        <f>'Data Sheet'!E65</f>
        <v>8980</v>
      </c>
      <c r="F13" s="19">
        <f>'Data Sheet'!F65</f>
        <v>11946</v>
      </c>
      <c r="G13" s="19">
        <f>'Data Sheet'!G65</f>
        <v>15937</v>
      </c>
      <c r="H13" s="19">
        <f>'Data Sheet'!H65</f>
        <v>18837</v>
      </c>
      <c r="I13" s="19">
        <f>'Data Sheet'!I65</f>
        <v>22408</v>
      </c>
      <c r="J13" s="19">
        <f>'Data Sheet'!J65</f>
        <v>23839</v>
      </c>
      <c r="K13" s="19">
        <f>'Data Sheet'!K65</f>
        <v>27680</v>
      </c>
    </row>
    <row r="14" spans="1:11" s="8" customFormat="1" x14ac:dyDescent="0.3">
      <c r="A14" s="8" t="s">
        <v>26</v>
      </c>
      <c r="B14" s="19">
        <f>'Data Sheet'!B66</f>
        <v>51960</v>
      </c>
      <c r="C14" s="19">
        <f>'Data Sheet'!C66</f>
        <v>60248</v>
      </c>
      <c r="D14" s="19">
        <f>'Data Sheet'!D66</f>
        <v>63969</v>
      </c>
      <c r="E14" s="19">
        <f>'Data Sheet'!E66</f>
        <v>63628</v>
      </c>
      <c r="F14" s="19">
        <f>'Data Sheet'!F66</f>
        <v>71376</v>
      </c>
      <c r="G14" s="19">
        <f>'Data Sheet'!G66</f>
        <v>74656</v>
      </c>
      <c r="H14" s="19">
        <f>'Data Sheet'!H66</f>
        <v>100106</v>
      </c>
      <c r="I14" s="19">
        <f>'Data Sheet'!I66</f>
        <v>115304</v>
      </c>
      <c r="J14" s="19">
        <f>'Data Sheet'!J66</f>
        <v>131016</v>
      </c>
      <c r="K14" s="19">
        <f>'Data Sheet'!K66</f>
        <v>148880</v>
      </c>
    </row>
    <row r="15" spans="1:11" x14ac:dyDescent="0.3">
      <c r="A15" s="6"/>
      <c r="B15" s="21"/>
      <c r="C15" s="21"/>
      <c r="D15" s="21"/>
      <c r="E15" s="21"/>
      <c r="F15" s="21"/>
      <c r="G15" s="21"/>
      <c r="H15" s="21"/>
      <c r="I15" s="21"/>
      <c r="J15" s="21"/>
      <c r="K15" s="21"/>
    </row>
    <row r="16" spans="1:11" x14ac:dyDescent="0.3">
      <c r="A16" s="29" t="s">
        <v>30</v>
      </c>
      <c r="B16" s="21">
        <f>B13-B7</f>
        <v>-6155</v>
      </c>
      <c r="C16" s="21">
        <f t="shared" ref="C16:K16" si="0">C13-C7</f>
        <v>-8964</v>
      </c>
      <c r="D16" s="21">
        <f t="shared" si="0"/>
        <v>-7296</v>
      </c>
      <c r="E16" s="21">
        <f t="shared" si="0"/>
        <v>-5051</v>
      </c>
      <c r="F16" s="21">
        <f t="shared" si="0"/>
        <v>-6389</v>
      </c>
      <c r="G16" s="21">
        <f t="shared" si="0"/>
        <v>-2959</v>
      </c>
      <c r="H16" s="21">
        <f t="shared" si="0"/>
        <v>-5421</v>
      </c>
      <c r="I16" s="21">
        <f t="shared" si="0"/>
        <v>-7142</v>
      </c>
      <c r="J16" s="21">
        <f t="shared" si="0"/>
        <v>-10850</v>
      </c>
      <c r="K16" s="21">
        <f t="shared" si="0"/>
        <v>-13942</v>
      </c>
    </row>
    <row r="17" spans="1:11" x14ac:dyDescent="0.3">
      <c r="A17" s="11" t="s">
        <v>44</v>
      </c>
      <c r="B17" s="21">
        <f>'Data Sheet'!B67</f>
        <v>1203</v>
      </c>
      <c r="C17" s="21">
        <f>'Data Sheet'!C67</f>
        <v>1465</v>
      </c>
      <c r="D17" s="21">
        <f>'Data Sheet'!D67</f>
        <v>2313</v>
      </c>
      <c r="E17" s="21">
        <f>'Data Sheet'!E67</f>
        <v>1978</v>
      </c>
      <c r="F17" s="21">
        <f>'Data Sheet'!F67</f>
        <v>1280</v>
      </c>
      <c r="G17" s="21">
        <f>'Data Sheet'!G67</f>
        <v>2034</v>
      </c>
      <c r="H17" s="21">
        <f>'Data Sheet'!H67</f>
        <v>3285</v>
      </c>
      <c r="I17" s="21">
        <f>'Data Sheet'!I67</f>
        <v>4597</v>
      </c>
      <c r="J17" s="21">
        <f>'Data Sheet'!J67</f>
        <v>6540</v>
      </c>
      <c r="K17" s="21">
        <f>'Data Sheet'!K67</f>
        <v>5342</v>
      </c>
    </row>
    <row r="18" spans="1:11" x14ac:dyDescent="0.3">
      <c r="A18" s="11" t="s">
        <v>45</v>
      </c>
      <c r="B18" s="21">
        <f>'Data Sheet'!B68</f>
        <v>3264</v>
      </c>
      <c r="C18" s="21">
        <f>'Data Sheet'!C68</f>
        <v>3160</v>
      </c>
      <c r="D18" s="21">
        <f>'Data Sheet'!D68</f>
        <v>3323</v>
      </c>
      <c r="E18" s="21">
        <f>'Data Sheet'!E68</f>
        <v>3214</v>
      </c>
      <c r="F18" s="21">
        <f>'Data Sheet'!F68</f>
        <v>3049</v>
      </c>
      <c r="G18" s="21">
        <f>'Data Sheet'!G68</f>
        <v>3532</v>
      </c>
      <c r="H18" s="21">
        <f>'Data Sheet'!H68</f>
        <v>5444</v>
      </c>
      <c r="I18" s="21">
        <f>'Data Sheet'!I68</f>
        <v>5318</v>
      </c>
      <c r="J18" s="21">
        <f>'Data Sheet'!J68</f>
        <v>6913</v>
      </c>
      <c r="K18" s="21">
        <f>'Data Sheet'!K68</f>
        <v>11321</v>
      </c>
    </row>
    <row r="20" spans="1:11" x14ac:dyDescent="0.3">
      <c r="A20" s="11" t="s">
        <v>46</v>
      </c>
      <c r="B20" s="5">
        <f>IF('Profit &amp; Loss'!B4&gt;0,'Balance Sheet'!B17/('Profit &amp; Loss'!B4/365),0)</f>
        <v>5.5018231026575952</v>
      </c>
      <c r="C20" s="5">
        <f>IF('Profit &amp; Loss'!C4&gt;0,'Balance Sheet'!C17/('Profit &amp; Loss'!C4/365),0)</f>
        <v>6.2128200957382536</v>
      </c>
      <c r="D20" s="5">
        <f>IF('Profit &amp; Loss'!D4&gt;0,'Balance Sheet'!D17/('Profit &amp; Loss'!D4/365),0)</f>
        <v>11.158406026962728</v>
      </c>
      <c r="E20" s="5">
        <f>IF('Profit &amp; Loss'!E4&gt;0,'Balance Sheet'!E17/('Profit &amp; Loss'!E4/365),0)</f>
        <v>10.259336099585061</v>
      </c>
      <c r="F20" s="5">
        <f>IF('Profit &amp; Loss'!F4&gt;0,'Balance Sheet'!F17/('Profit &amp; Loss'!F4/365),0)</f>
        <v>5.2892561983471076</v>
      </c>
      <c r="G20" s="5">
        <f>IF('Profit &amp; Loss'!G4&gt;0,'Balance Sheet'!G17/('Profit &amp; Loss'!G4/365),0)</f>
        <v>6.2698251836838104</v>
      </c>
      <c r="H20" s="5">
        <f>IF('Profit &amp; Loss'!H4&gt;0,'Balance Sheet'!H17/('Profit &amp; Loss'!H4/365),0)</f>
        <v>8.4522903184875009</v>
      </c>
      <c r="I20" s="5">
        <f>IF('Profit &amp; Loss'!I4&gt;0,'Balance Sheet'!I17/('Profit &amp; Loss'!I4/365),0)</f>
        <v>10.972938860659328</v>
      </c>
      <c r="J20" s="5">
        <f>IF('Profit &amp; Loss'!J4&gt;0,'Balance Sheet'!J17/('Profit &amp; Loss'!J4/365),0)</f>
        <v>13.021776604333501</v>
      </c>
      <c r="K20" s="5">
        <f>IF('Profit &amp; Loss'!K4&gt;0,'Balance Sheet'!K17/('Profit &amp; Loss'!K4/365),0)</f>
        <v>9.8885288136280884</v>
      </c>
    </row>
    <row r="21" spans="1:11" x14ac:dyDescent="0.3">
      <c r="A21" s="11" t="s">
        <v>47</v>
      </c>
      <c r="B21" s="5">
        <f>IF('Balance Sheet'!B18&gt;0,'Profit &amp; Loss'!B4/'Balance Sheet'!B18,0)</f>
        <v>24.451286764705884</v>
      </c>
      <c r="C21" s="5">
        <f>IF('Balance Sheet'!C18&gt;0,'Profit &amp; Loss'!C4/'Balance Sheet'!C18,0)</f>
        <v>27.236708860759492</v>
      </c>
      <c r="D21" s="5">
        <f>IF('Balance Sheet'!D18&gt;0,'Profit &amp; Loss'!D4/'Balance Sheet'!D18,0)</f>
        <v>22.768582606078844</v>
      </c>
      <c r="E21" s="5">
        <f>IF('Balance Sheet'!E18&gt;0,'Profit &amp; Loss'!E4/'Balance Sheet'!E18,0)</f>
        <v>21.895457373988798</v>
      </c>
      <c r="F21" s="5">
        <f>IF('Balance Sheet'!F18&gt;0,'Profit &amp; Loss'!F4/'Balance Sheet'!F18,0)</f>
        <v>28.97015414890128</v>
      </c>
      <c r="G21" s="5">
        <f>IF('Balance Sheet'!G18&gt;0,'Profit &amp; Loss'!G4/'Balance Sheet'!G18,0)</f>
        <v>33.524915062287654</v>
      </c>
      <c r="H21" s="5">
        <f>IF('Balance Sheet'!H18&gt;0,'Profit &amp; Loss'!H4/'Balance Sheet'!H18,0)</f>
        <v>26.057678177810434</v>
      </c>
      <c r="I21" s="5">
        <f>IF('Balance Sheet'!I18&gt;0,'Profit &amp; Loss'!I4/'Balance Sheet'!I18,0)</f>
        <v>28.753854832643849</v>
      </c>
      <c r="J21" s="5">
        <f>IF('Balance Sheet'!J18&gt;0,'Profit &amp; Loss'!J4/'Balance Sheet'!J18,0)</f>
        <v>26.517575582236365</v>
      </c>
      <c r="K21" s="5">
        <f>IF('Balance Sheet'!K18&gt;0,'Profit &amp; Loss'!K4/'Balance Sheet'!K18,0)</f>
        <v>17.417277625651444</v>
      </c>
    </row>
    <row r="23" spans="1:11" s="8" customFormat="1" x14ac:dyDescent="0.3">
      <c r="A23" s="8" t="s">
        <v>59</v>
      </c>
      <c r="B23" s="14">
        <f>IF(SUM('Balance Sheet'!B4:B5)&gt;0,'Profit &amp; Loss'!B12/SUM('Balance Sheet'!B4:B5),"")</f>
        <v>0.21256911665542819</v>
      </c>
      <c r="C23" s="14">
        <f>IF(SUM('Balance Sheet'!C4:C5)&gt;0,'Profit &amp; Loss'!C12/SUM('Balance Sheet'!C4:C5),"")</f>
        <v>0.17977396085434338</v>
      </c>
      <c r="D23" s="14">
        <f>IF(SUM('Balance Sheet'!D4:D5)&gt;0,'Profit &amp; Loss'!D12/SUM('Balance Sheet'!D4:D5),"")</f>
        <v>0.12057249639004501</v>
      </c>
      <c r="E23" s="14">
        <f>IF(SUM('Balance Sheet'!E4:E5)&gt;0,'Profit &amp; Loss'!E12/SUM('Balance Sheet'!E4:E5),"")</f>
        <v>8.882277943051424E-2</v>
      </c>
      <c r="F23" s="14">
        <f>IF(SUM('Balance Sheet'!F4:F5)&gt;0,'Profit &amp; Loss'!F12/SUM('Balance Sheet'!F4:F5),"")</f>
        <v>7.3903354221824341E-2</v>
      </c>
      <c r="G23" s="14">
        <f>IF(SUM('Balance Sheet'!G4:G5)&gt;0,'Profit &amp; Loss'!G12/SUM('Balance Sheet'!G4:G5),"")</f>
        <v>0.14935029729094754</v>
      </c>
      <c r="H23" s="14">
        <f>IF(SUM('Balance Sheet'!H4:H5)&gt;0,'Profit &amp; Loss'!H12/SUM('Balance Sheet'!H4:H5),"")</f>
        <v>0.18080428954423591</v>
      </c>
      <c r="I23" s="14">
        <f>IF(SUM('Balance Sheet'!I4:I5)&gt;0,'Profit &amp; Loss'!I12/SUM('Balance Sheet'!I4:I5),"")</f>
        <v>0.16932131346629922</v>
      </c>
      <c r="J23" s="14">
        <f>IF(SUM('Balance Sheet'!J4:J5)&gt;0,'Profit &amp; Loss'!J12/SUM('Balance Sheet'!J4:J5),"")</f>
        <v>0.15253532834580216</v>
      </c>
      <c r="K23" s="14">
        <f>IF(SUM('Balance Sheet'!K4:K5)&gt;0,'Profit &amp; Loss'!K12/SUM('Balance Sheet'!K4:K5),"")</f>
        <v>0.13376759117548248</v>
      </c>
    </row>
    <row r="24" spans="1:11" s="8" customFormat="1" x14ac:dyDescent="0.3">
      <c r="A24" s="8" t="s">
        <v>60</v>
      </c>
      <c r="B24" s="14"/>
      <c r="C24" s="14">
        <f>IF((B4+B5+B6+C4+C5+C6)&gt;0,('Profit &amp; Loss'!C10+'Profit &amp; Loss'!C9)*2/(B4+B5+B6+C4+C5+C6),"")</f>
        <v>0.26670322411794761</v>
      </c>
      <c r="D24" s="14">
        <f>IF((C4+C5+C6+D4+D5+D6)&gt;0,('Profit &amp; Loss'!D10+'Profit &amp; Loss'!D9)*2/(C4+C5+C6+D4+D5+D6),"")</f>
        <v>0.16094382422274608</v>
      </c>
      <c r="E24" s="14">
        <f>IF((D4+D5+D6+E4+E5+E6)&gt;0,('Profit &amp; Loss'!E10+'Profit &amp; Loss'!E9)*2/(D4+D5+D6+E4+E5+E6),"")</f>
        <v>0.11198876601720203</v>
      </c>
      <c r="F24" s="14">
        <f>IF((E4+E5+E6+F4+F5+F6)&gt;0,('Profit &amp; Loss'!F10+'Profit &amp; Loss'!F9)*2/(E4+E5+E6+F4+F5+F6),"")</f>
        <v>9.399935696957297E-2</v>
      </c>
      <c r="G24" s="14">
        <f>IF((F4+F5+F6+G4+G5+G6)&gt;0,('Profit &amp; Loss'!G10+'Profit &amp; Loss'!G9)*2/(F4+F5+F6+G4+G5+G6),"")</f>
        <v>0.19650554682401816</v>
      </c>
      <c r="H24" s="14">
        <f>IF((G4+G5+G6+H4+H5+H6)&gt;0,('Profit &amp; Loss'!H10+'Profit &amp; Loss'!H9)*2/(G4+G5+G6+H4+H5+H6),"")</f>
        <v>0.26773651857423997</v>
      </c>
      <c r="I24" s="14">
        <f>IF((H4+H5+H6+I4+I5+I6)&gt;0,('Profit &amp; Loss'!I10+'Profit &amp; Loss'!I9)*2/(H4+H5+H6+I4+I5+I6),"")</f>
        <v>0.2452182199587879</v>
      </c>
      <c r="J24" s="14">
        <f>IF((I4+I5+I6+J4+J5+J6)&gt;0,('Profit &amp; Loss'!J10+'Profit &amp; Loss'!J9)*2/(I4+I5+I6+J4+J5+J6),"")</f>
        <v>0.21261849057018267</v>
      </c>
      <c r="K24" s="14">
        <f>IF((J4+J5+J6+K4+K5+K6)&gt;0,('Profit &amp; Loss'!K10+'Profit &amp; Loss'!K9)*2/(J4+J5+J6+K4+K5+K6),"")</f>
        <v>0.18538693911633961</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Maruti Suzuki India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10282</v>
      </c>
      <c r="C4" s="1">
        <f>'Data Sheet'!C82</f>
        <v>11788</v>
      </c>
      <c r="D4" s="1">
        <f>'Data Sheet'!D82</f>
        <v>6601</v>
      </c>
      <c r="E4" s="1">
        <f>'Data Sheet'!E82</f>
        <v>3496</v>
      </c>
      <c r="F4" s="1">
        <f>'Data Sheet'!F82</f>
        <v>8856</v>
      </c>
      <c r="G4" s="1">
        <f>'Data Sheet'!G82</f>
        <v>1840</v>
      </c>
      <c r="H4" s="1">
        <f>'Data Sheet'!H82</f>
        <v>10815</v>
      </c>
      <c r="I4" s="1">
        <f>'Data Sheet'!I82</f>
        <v>16801</v>
      </c>
      <c r="J4" s="1">
        <f>'Data Sheet'!J82</f>
        <v>16180</v>
      </c>
      <c r="K4" s="1">
        <f>'Data Sheet'!K82</f>
        <v>19100</v>
      </c>
    </row>
    <row r="5" spans="1:11" x14ac:dyDescent="0.3">
      <c r="A5" s="6" t="s">
        <v>33</v>
      </c>
      <c r="B5" s="9">
        <f>'Data Sheet'!B83</f>
        <v>-9173</v>
      </c>
      <c r="C5" s="9">
        <f>'Data Sheet'!C83</f>
        <v>-8302</v>
      </c>
      <c r="D5" s="9">
        <f>'Data Sheet'!D83</f>
        <v>-3540</v>
      </c>
      <c r="E5" s="9">
        <f>'Data Sheet'!E83</f>
        <v>-557</v>
      </c>
      <c r="F5" s="9">
        <f>'Data Sheet'!F83</f>
        <v>-7291</v>
      </c>
      <c r="G5" s="9">
        <f>'Data Sheet'!G83</f>
        <v>-239</v>
      </c>
      <c r="H5" s="9">
        <f>'Data Sheet'!H83</f>
        <v>-8820</v>
      </c>
      <c r="I5" s="9">
        <f>'Data Sheet'!I83</f>
        <v>-11865</v>
      </c>
      <c r="J5" s="9">
        <f>'Data Sheet'!J83</f>
        <v>-14500</v>
      </c>
      <c r="K5" s="9">
        <f>'Data Sheet'!K83</f>
        <v>-14734</v>
      </c>
    </row>
    <row r="6" spans="1:11" x14ac:dyDescent="0.3">
      <c r="A6" s="6" t="s">
        <v>34</v>
      </c>
      <c r="B6" s="9">
        <f>'Data Sheet'!B84</f>
        <v>-1129</v>
      </c>
      <c r="C6" s="9">
        <f>'Data Sheet'!C84</f>
        <v>-3436</v>
      </c>
      <c r="D6" s="9">
        <f>'Data Sheet'!D84</f>
        <v>-2948</v>
      </c>
      <c r="E6" s="9">
        <f>'Data Sheet'!E84</f>
        <v>-3104</v>
      </c>
      <c r="F6" s="9">
        <f>'Data Sheet'!F84</f>
        <v>-1545</v>
      </c>
      <c r="G6" s="9">
        <f>'Data Sheet'!G84</f>
        <v>-1607</v>
      </c>
      <c r="H6" s="9">
        <f>'Data Sheet'!H84</f>
        <v>-1214</v>
      </c>
      <c r="I6" s="9">
        <f>'Data Sheet'!I84</f>
        <v>-4062</v>
      </c>
      <c r="J6" s="9">
        <f>'Data Sheet'!J84</f>
        <v>-4155</v>
      </c>
      <c r="K6" s="9">
        <f>'Data Sheet'!K84</f>
        <v>-4484</v>
      </c>
    </row>
    <row r="7" spans="1:11" s="8" customFormat="1" x14ac:dyDescent="0.3">
      <c r="A7" s="8" t="s">
        <v>35</v>
      </c>
      <c r="B7" s="1">
        <f>'Data Sheet'!B85</f>
        <v>-20</v>
      </c>
      <c r="C7" s="1">
        <f>'Data Sheet'!C85</f>
        <v>50</v>
      </c>
      <c r="D7" s="1">
        <f>'Data Sheet'!D85</f>
        <v>113</v>
      </c>
      <c r="E7" s="1">
        <f>'Data Sheet'!E85</f>
        <v>-165</v>
      </c>
      <c r="F7" s="1">
        <f>'Data Sheet'!F85</f>
        <v>20</v>
      </c>
      <c r="G7" s="1">
        <f>'Data Sheet'!G85</f>
        <v>-6</v>
      </c>
      <c r="H7" s="1">
        <f>'Data Sheet'!H85</f>
        <v>780</v>
      </c>
      <c r="I7" s="1">
        <f>'Data Sheet'!I85</f>
        <v>874</v>
      </c>
      <c r="J7" s="1">
        <f>'Data Sheet'!J85</f>
        <v>-2475</v>
      </c>
      <c r="K7" s="1">
        <f>'Data Sheet'!K85</f>
        <v>-118</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Maruti Suzuki India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0.69</v>
      </c>
      <c r="D7" s="36">
        <f>'Data Sheet'!C18/'Data Sheet'!C$17</f>
        <v>0.69</v>
      </c>
      <c r="E7" s="36">
        <f>'Data Sheet'!D18/'Data Sheet'!D$17</f>
        <v>0.7</v>
      </c>
      <c r="F7" s="36">
        <f>'Data Sheet'!E18/'Data Sheet'!E$17</f>
        <v>0.72</v>
      </c>
      <c r="G7" s="36">
        <f>'Data Sheet'!F18/'Data Sheet'!F$17</f>
        <v>0.75</v>
      </c>
      <c r="H7" s="36">
        <f>'Data Sheet'!G18/'Data Sheet'!G$17</f>
        <v>0.72</v>
      </c>
      <c r="I7" s="36">
        <f>'Data Sheet'!H18/'Data Sheet'!H$17</f>
        <v>0.70000000000000007</v>
      </c>
      <c r="J7" s="36">
        <f>'Data Sheet'!I18/'Data Sheet'!I$17</f>
        <v>0.70000000000000007</v>
      </c>
      <c r="K7" s="36">
        <f>'Data Sheet'!J18/'Data Sheet'!J$17</f>
        <v>0.72</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0.01</v>
      </c>
      <c r="D10" s="36">
        <f>'Data Sheet'!C21/'Data Sheet'!C$17</f>
        <v>0.02</v>
      </c>
      <c r="E10" s="36">
        <f>'Data Sheet'!D21/'Data Sheet'!D$17</f>
        <v>0.01</v>
      </c>
      <c r="F10" s="36">
        <f>'Data Sheet'!E21/'Data Sheet'!E$17</f>
        <v>0.02</v>
      </c>
      <c r="G10" s="36">
        <f>'Data Sheet'!F21/'Data Sheet'!F$17</f>
        <v>0.02</v>
      </c>
      <c r="H10" s="36">
        <f>'Data Sheet'!G21/'Data Sheet'!G$17</f>
        <v>1.9999999999999997E-2</v>
      </c>
      <c r="I10" s="36">
        <f>'Data Sheet'!H21/'Data Sheet'!H$17</f>
        <v>0.02</v>
      </c>
      <c r="J10" s="36">
        <f>'Data Sheet'!I21/'Data Sheet'!I$17</f>
        <v>0.02</v>
      </c>
      <c r="K10" s="36">
        <f>'Data Sheet'!J21/'Data Sheet'!J$17</f>
        <v>0.02</v>
      </c>
      <c r="L10" s="36">
        <f>'Data Sheet'!K21/'Data Sheet'!K$17</f>
        <v>0</v>
      </c>
    </row>
    <row r="11" spans="2:12" x14ac:dyDescent="0.3">
      <c r="B11" s="33" t="str">
        <f>'Data Sheet'!A22</f>
        <v>Employee Cost</v>
      </c>
      <c r="C11" s="36">
        <f>'Data Sheet'!B22/'Data Sheet'!B$17</f>
        <v>0.04</v>
      </c>
      <c r="D11" s="36">
        <f>'Data Sheet'!C22/'Data Sheet'!C$17</f>
        <v>0.04</v>
      </c>
      <c r="E11" s="36">
        <f>'Data Sheet'!D22/'Data Sheet'!D$17</f>
        <v>0.05</v>
      </c>
      <c r="F11" s="36">
        <f>'Data Sheet'!E22/'Data Sheet'!E$17</f>
        <v>4.9999999999999996E-2</v>
      </c>
      <c r="G11" s="36">
        <f>'Data Sheet'!F22/'Data Sheet'!F$17</f>
        <v>0.05</v>
      </c>
      <c r="H11" s="36">
        <f>'Data Sheet'!G22/'Data Sheet'!G$17</f>
        <v>3.9999999999999994E-2</v>
      </c>
      <c r="I11" s="36">
        <f>'Data Sheet'!H22/'Data Sheet'!H$17</f>
        <v>0.04</v>
      </c>
      <c r="J11" s="36">
        <f>'Data Sheet'!I22/'Data Sheet'!I$17</f>
        <v>4.9999999999999996E-2</v>
      </c>
      <c r="K11" s="36">
        <f>'Data Sheet'!J22/'Data Sheet'!J$17</f>
        <v>4.9999999999999996E-2</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0.11</v>
      </c>
      <c r="D13" s="36">
        <f>'Data Sheet'!C24/'Data Sheet'!C$17</f>
        <v>0.13</v>
      </c>
      <c r="E13" s="36">
        <f>'Data Sheet'!D24/'Data Sheet'!D$17</f>
        <v>0.13999999999999999</v>
      </c>
      <c r="F13" s="36">
        <f>'Data Sheet'!E24/'Data Sheet'!E$17</f>
        <v>0.13999999999999999</v>
      </c>
      <c r="G13" s="36">
        <f>'Data Sheet'!F24/'Data Sheet'!F$17</f>
        <v>0.12000000000000001</v>
      </c>
      <c r="H13" s="36">
        <f>'Data Sheet'!G24/'Data Sheet'!G$17</f>
        <v>0.11</v>
      </c>
      <c r="I13" s="36">
        <f>'Data Sheet'!H24/'Data Sheet'!H$17</f>
        <v>9.9999999999999992E-2</v>
      </c>
      <c r="J13" s="36">
        <f>'Data Sheet'!I24/'Data Sheet'!I$17</f>
        <v>9.9999999999999992E-2</v>
      </c>
      <c r="K13" s="36">
        <f>'Data Sheet'!J24/'Data Sheet'!J$17</f>
        <v>0.09</v>
      </c>
      <c r="L13" s="36">
        <f>'Data Sheet'!K24/'Data Sheet'!K$17</f>
        <v>0</v>
      </c>
    </row>
    <row r="14" spans="2:12" x14ac:dyDescent="0.3">
      <c r="B14" s="33" t="str">
        <f>'Data Sheet'!A25</f>
        <v>Other Income</v>
      </c>
      <c r="C14" s="36">
        <f>'Data Sheet'!B25/'Data Sheet'!B$17</f>
        <v>2.7001967196682079E-2</v>
      </c>
      <c r="D14" s="36">
        <f>'Data Sheet'!C25/'Data Sheet'!C$17</f>
        <v>3.0952270297903983E-2</v>
      </c>
      <c r="E14" s="36">
        <f>'Data Sheet'!D25/'Data Sheet'!D$17</f>
        <v>4.5070050224689399E-2</v>
      </c>
      <c r="F14" s="36">
        <f>'Data Sheet'!E25/'Data Sheet'!E$17</f>
        <v>4.3284260785539701E-2</v>
      </c>
      <c r="G14" s="36">
        <f>'Data Sheet'!F25/'Data Sheet'!F$17</f>
        <v>2.1068719574323561E-2</v>
      </c>
      <c r="H14" s="36">
        <f>'Data Sheet'!G25/'Data Sheet'!G$17</f>
        <v>2.0395236888776286E-2</v>
      </c>
      <c r="I14" s="36">
        <f>'Data Sheet'!H25/'Data Sheet'!H$17</f>
        <v>2.994543839614262E-2</v>
      </c>
      <c r="J14" s="36">
        <f>'Data Sheet'!I25/'Data Sheet'!I$17</f>
        <v>3.3999725334013457E-2</v>
      </c>
      <c r="K14" s="36">
        <f>'Data Sheet'!J25/'Data Sheet'!J$17</f>
        <v>2.4924174649239565E-2</v>
      </c>
      <c r="L14" s="36">
        <f>'Data Sheet'!K25/'Data Sheet'!K$17</f>
        <v>2.3871468346341684E-2</v>
      </c>
    </row>
    <row r="15" spans="2:12" x14ac:dyDescent="0.3">
      <c r="B15" s="33" t="str">
        <f>'Data Sheet'!A26</f>
        <v>Depreciation</v>
      </c>
      <c r="C15" s="36">
        <f>'Data Sheet'!B26/'Data Sheet'!B$17</f>
        <v>3.4582565876029016E-2</v>
      </c>
      <c r="D15" s="36">
        <f>'Data Sheet'!C26/'Data Sheet'!C$17</f>
        <v>3.5100153367105077E-2</v>
      </c>
      <c r="E15" s="36">
        <f>'Data Sheet'!D26/'Data Sheet'!D$17</f>
        <v>4.6629659000793022E-2</v>
      </c>
      <c r="F15" s="36">
        <f>'Data Sheet'!E26/'Data Sheet'!E$17</f>
        <v>4.3113738418689249E-2</v>
      </c>
      <c r="G15" s="36">
        <f>'Data Sheet'!F26/'Data Sheet'!F$17</f>
        <v>3.1574776406656853E-2</v>
      </c>
      <c r="H15" s="36">
        <f>'Data Sheet'!G26/'Data Sheet'!G$17</f>
        <v>4.0925597500211131E-2</v>
      </c>
      <c r="I15" s="36">
        <f>'Data Sheet'!H26/'Data Sheet'!H$17</f>
        <v>3.7051135642684939E-2</v>
      </c>
      <c r="J15" s="36">
        <f>'Data Sheet'!I26/'Data Sheet'!I$17</f>
        <v>3.6674448869618674E-2</v>
      </c>
      <c r="K15" s="36">
        <f>'Data Sheet'!J26/'Data Sheet'!J$17</f>
        <v>3.6778022649414127E-2</v>
      </c>
      <c r="L15" s="36">
        <f>'Data Sheet'!K26/'Data Sheet'!K$17</f>
        <v>3.5327947418868959E-2</v>
      </c>
    </row>
    <row r="16" spans="2:12" x14ac:dyDescent="0.3">
      <c r="B16" s="33" t="str">
        <f>'Data Sheet'!A27</f>
        <v>Interest</v>
      </c>
      <c r="C16" s="36">
        <f>'Data Sheet'!B27/'Data Sheet'!B$17</f>
        <v>4.3353506496761019E-3</v>
      </c>
      <c r="D16" s="36">
        <f>'Data Sheet'!C27/'Data Sheet'!C$17</f>
        <v>8.8302272621647998E-4</v>
      </c>
      <c r="E16" s="36">
        <f>'Data Sheet'!D27/'Data Sheet'!D$17</f>
        <v>1.7710811525244515E-3</v>
      </c>
      <c r="F16" s="36">
        <f>'Data Sheet'!E27/'Data Sheet'!E$17</f>
        <v>1.449440118228841E-3</v>
      </c>
      <c r="G16" s="36">
        <f>'Data Sheet'!F27/'Data Sheet'!F$17</f>
        <v>1.437790105286992E-3</v>
      </c>
      <c r="H16" s="36">
        <f>'Data Sheet'!G27/'Data Sheet'!G$17</f>
        <v>2.1281986318723079E-3</v>
      </c>
      <c r="I16" s="36">
        <f>'Data Sheet'!H27/'Data Sheet'!H$17</f>
        <v>1.3675647478464379E-3</v>
      </c>
      <c r="J16" s="36">
        <f>'Data Sheet'!I27/'Data Sheet'!I$17</f>
        <v>1.2686952711672651E-3</v>
      </c>
      <c r="K16" s="36">
        <f>'Data Sheet'!J27/'Data Sheet'!J$17</f>
        <v>1.3037596281830282E-3</v>
      </c>
      <c r="L16" s="36">
        <f>'Data Sheet'!K27/'Data Sheet'!K$17</f>
        <v>1.2932280493556682E-3</v>
      </c>
    </row>
    <row r="17" spans="2:12" x14ac:dyDescent="0.3">
      <c r="B17" s="33" t="str">
        <f>'Data Sheet'!A28</f>
        <v>Profit before tax</v>
      </c>
      <c r="C17" s="36">
        <f>'Data Sheet'!B28/'Data Sheet'!B$17</f>
        <v>0.1399215627310203</v>
      </c>
      <c r="D17" s="36">
        <f>'Data Sheet'!C28/'Data Sheet'!C$17</f>
        <v>0.12343728214899846</v>
      </c>
      <c r="E17" s="36">
        <f>'Data Sheet'!D28/'Data Sheet'!D$17</f>
        <v>9.3880518107322231E-2</v>
      </c>
      <c r="F17" s="36">
        <f>'Data Sheet'!E28/'Data Sheet'!E$17</f>
        <v>7.5612459500937867E-2</v>
      </c>
      <c r="G17" s="36">
        <f>'Data Sheet'!F28/'Data Sheet'!F$17</f>
        <v>5.3175591531755918E-2</v>
      </c>
      <c r="H17" s="36">
        <f>'Data Sheet'!G28/'Data Sheet'!G$17</f>
        <v>8.8151338569377582E-2</v>
      </c>
      <c r="I17" s="36">
        <f>'Data Sheet'!H28/'Data Sheet'!H$17</f>
        <v>0.12282705240451719</v>
      </c>
      <c r="J17" s="36">
        <f>'Data Sheet'!I28/'Data Sheet'!I$17</f>
        <v>0.12830825371289556</v>
      </c>
      <c r="K17" s="36">
        <f>'Data Sheet'!J28/'Data Sheet'!J$17</f>
        <v>0.10428986013223068</v>
      </c>
      <c r="L17" s="36">
        <f>'Data Sheet'!K28/'Data Sheet'!K$17</f>
        <v>9.441071908551027E-2</v>
      </c>
    </row>
    <row r="18" spans="2:12" x14ac:dyDescent="0.3">
      <c r="B18" s="33" t="str">
        <f>'Data Sheet'!A29</f>
        <v>Tax</v>
      </c>
      <c r="C18" s="36">
        <f>'Data Sheet'!B29/'Data Sheet'!B$17</f>
        <v>0.1399215627310203</v>
      </c>
      <c r="D18" s="36">
        <f>'Data Sheet'!C29/'Data Sheet'!C$17</f>
        <v>0.12343728214899846</v>
      </c>
      <c r="E18" s="36">
        <f>'Data Sheet'!D29/'Data Sheet'!D$17</f>
        <v>9.3880518107322231E-2</v>
      </c>
      <c r="F18" s="36">
        <f>'Data Sheet'!E29/'Data Sheet'!E$17</f>
        <v>7.5612459500937867E-2</v>
      </c>
      <c r="G18" s="36">
        <f>'Data Sheet'!F29/'Data Sheet'!F$17</f>
        <v>5.3175591531755918E-2</v>
      </c>
      <c r="H18" s="36">
        <f>'Data Sheet'!G29/'Data Sheet'!G$17</f>
        <v>8.8151338569377582E-2</v>
      </c>
      <c r="I18" s="36">
        <f>'Data Sheet'!H29/'Data Sheet'!H$17</f>
        <v>0.12282705240451719</v>
      </c>
      <c r="J18" s="36">
        <f>'Data Sheet'!I29/'Data Sheet'!I$17</f>
        <v>0.12830825371289556</v>
      </c>
      <c r="K18" s="36">
        <f>'Data Sheet'!J29/'Data Sheet'!J$17</f>
        <v>0.10428986013223068</v>
      </c>
      <c r="L18" s="36">
        <f>'Data Sheet'!K29/'Data Sheet'!K$17</f>
        <v>9.441071908551027E-2</v>
      </c>
    </row>
    <row r="19" spans="2:12" x14ac:dyDescent="0.3">
      <c r="B19" s="33" t="str">
        <f>'Data Sheet'!A30</f>
        <v>Net profit</v>
      </c>
      <c r="C19" s="36">
        <f>'Data Sheet'!B30/'Data Sheet'!B$17</f>
        <v>9.8748261474269822E-2</v>
      </c>
      <c r="D19" s="36">
        <f>'Data Sheet'!C30/'Data Sheet'!C$17</f>
        <v>8.8894827345819591E-2</v>
      </c>
      <c r="E19" s="36">
        <f>'Data Sheet'!D30/'Data Sheet'!D$17</f>
        <v>7.5046259582342054E-2</v>
      </c>
      <c r="F19" s="36">
        <f>'Data Sheet'!E30/'Data Sheet'!E$17</f>
        <v>6.236855567555278E-2</v>
      </c>
      <c r="G19" s="36">
        <f>'Data Sheet'!F30/'Data Sheet'!F$17</f>
        <v>4.3926185893807312E-2</v>
      </c>
      <c r="H19" s="36">
        <f>'Data Sheet'!G30/'Data Sheet'!G$17</f>
        <v>6.9791402753145854E-2</v>
      </c>
      <c r="I19" s="36">
        <f>'Data Sheet'!H30/'Data Sheet'!H$17</f>
        <v>9.5080996489447192E-2</v>
      </c>
      <c r="J19" s="36">
        <f>'Data Sheet'!I30/'Data Sheet'!I$17</f>
        <v>9.4825162020233722E-2</v>
      </c>
      <c r="K19" s="36">
        <f>'Data Sheet'!J30/'Data Sheet'!J$17</f>
        <v>8.0080298500949179E-2</v>
      </c>
      <c r="L19" s="36">
        <f>'Data Sheet'!K30/'Data Sheet'!K$17</f>
        <v>7.2694630821428033E-2</v>
      </c>
    </row>
    <row r="20" spans="2:12" x14ac:dyDescent="0.3">
      <c r="B20" s="33" t="str">
        <f>'Data Sheet'!A31</f>
        <v>Dividend Amount</v>
      </c>
      <c r="C20" s="36">
        <f>'Data Sheet'!B31/'Data Sheet'!B$17</f>
        <v>3.0611961057023646E-2</v>
      </c>
      <c r="D20" s="36">
        <f>'Data Sheet'!C31/'Data Sheet'!C$17</f>
        <v>2.844634475066227E-2</v>
      </c>
      <c r="E20" s="36">
        <f>'Data Sheet'!D31/'Data Sheet'!D$17</f>
        <v>2.4014803066349458E-2</v>
      </c>
      <c r="F20" s="36">
        <f>'Data Sheet'!E31/'Data Sheet'!E$17</f>
        <v>1.9334252259421359E-2</v>
      </c>
      <c r="G20" s="36">
        <f>'Data Sheet'!F31/'Data Sheet'!F$17</f>
        <v>2.0645307370089436E-2</v>
      </c>
      <c r="H20" s="36">
        <f>'Data Sheet'!G31/'Data Sheet'!G$17</f>
        <v>2.3729076936069592E-2</v>
      </c>
      <c r="I20" s="36">
        <f>'Data Sheet'!H31/'Data Sheet'!H$17</f>
        <v>2.7573488981939686E-2</v>
      </c>
      <c r="J20" s="36">
        <f>'Data Sheet'!I31/'Data Sheet'!I$17</f>
        <v>2.7499296985867783E-2</v>
      </c>
      <c r="K20" s="36">
        <f>'Data Sheet'!J31/'Data Sheet'!J$17</f>
        <v>2.4024089550284754E-2</v>
      </c>
      <c r="L20" s="36">
        <f>'Data Sheet'!K31/'Data Sheet'!K$17</f>
        <v>0</v>
      </c>
    </row>
    <row r="21" spans="2:12" x14ac:dyDescent="0.3">
      <c r="B21" s="33" t="str">
        <f>'Data Sheet'!A32</f>
        <v>EBITDA</v>
      </c>
      <c r="C21" s="36">
        <f>'Data Sheet'!B32/'Data Sheet'!B$17</f>
        <v>0.17883947925672544</v>
      </c>
      <c r="D21" s="36">
        <f>'Data Sheet'!C32/'Data Sheet'!C$17</f>
        <v>0.15942045824232001</v>
      </c>
      <c r="E21" s="36">
        <f>'Data Sheet'!D32/'Data Sheet'!D$17</f>
        <v>0.1422812582606397</v>
      </c>
      <c r="F21" s="36">
        <f>'Data Sheet'!E32/'Data Sheet'!E$17</f>
        <v>0.12017563803785597</v>
      </c>
      <c r="G21" s="36">
        <f>'Data Sheet'!F32/'Data Sheet'!F$17</f>
        <v>8.6188158043699767E-2</v>
      </c>
      <c r="H21" s="36">
        <f>'Data Sheet'!G32/'Data Sheet'!G$17</f>
        <v>0.13120513470146103</v>
      </c>
      <c r="I21" s="36">
        <f>'Data Sheet'!H32/'Data Sheet'!H$17</f>
        <v>0.16124575279504857</v>
      </c>
      <c r="J21" s="36">
        <f>'Data Sheet'!I32/'Data Sheet'!I$17</f>
        <v>0.16625139785368151</v>
      </c>
      <c r="K21" s="36">
        <f>'Data Sheet'!J32/'Data Sheet'!J$17</f>
        <v>0.14237164240982783</v>
      </c>
      <c r="L21" s="36">
        <f>'Data Sheet'!K32/'Data Sheet'!K$17</f>
        <v>0.1310318945537349</v>
      </c>
    </row>
    <row r="23" spans="2:12" x14ac:dyDescent="0.3">
      <c r="B23" s="161" t="str">
        <f>"Common Size Balance Sheet - "&amp;'Data Sheet'!$B$1</f>
        <v>Common Size Balance Sheet - Maruti Suzuki India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2.9060816012317168E-3</v>
      </c>
      <c r="D28" s="36">
        <f>'Data Sheet'!C57/'Data Sheet'!C$61</f>
        <v>2.5063072633116452E-3</v>
      </c>
      <c r="E28" s="36">
        <f>'Data Sheet'!D57/'Data Sheet'!D$61</f>
        <v>2.360518376088418E-3</v>
      </c>
      <c r="F28" s="36">
        <f>'Data Sheet'!E57/'Data Sheet'!E$61</f>
        <v>2.3731690450744954E-3</v>
      </c>
      <c r="G28" s="36">
        <f>'Data Sheet'!F57/'Data Sheet'!F$61</f>
        <v>2.1155570499887919E-3</v>
      </c>
      <c r="H28" s="36">
        <f>'Data Sheet'!G57/'Data Sheet'!G$61</f>
        <v>2.0226103729104159E-3</v>
      </c>
      <c r="I28" s="36">
        <f>'Data Sheet'!H57/'Data Sheet'!H$61</f>
        <v>1.5683375621840848E-3</v>
      </c>
      <c r="J28" s="36">
        <f>'Data Sheet'!I57/'Data Sheet'!I$61</f>
        <v>1.3616179837646568E-3</v>
      </c>
      <c r="K28" s="36">
        <f>'Data Sheet'!J57/'Data Sheet'!J$61</f>
        <v>1.1983269219026683E-3</v>
      </c>
      <c r="L28" s="36">
        <f>'Data Sheet'!K57/'Data Sheet'!K$61</f>
        <v>1.0545405695862439E-3</v>
      </c>
    </row>
    <row r="29" spans="2:12" x14ac:dyDescent="0.3">
      <c r="B29" s="33" t="str">
        <f>'Data Sheet'!A58</f>
        <v>Reserves</v>
      </c>
      <c r="C29" s="36">
        <f>'Data Sheet'!B58/'Data Sheet'!B$61</f>
        <v>0.71062355658198617</v>
      </c>
      <c r="D29" s="36">
        <f>'Data Sheet'!C58/'Data Sheet'!C$61</f>
        <v>0.70389058557960427</v>
      </c>
      <c r="E29" s="36">
        <f>'Data Sheet'!D58/'Data Sheet'!D$61</f>
        <v>0.73380856352295643</v>
      </c>
      <c r="F29" s="36">
        <f>'Data Sheet'!E58/'Data Sheet'!E$61</f>
        <v>0.77421889734079341</v>
      </c>
      <c r="G29" s="36">
        <f>'Data Sheet'!F58/'Data Sheet'!F$61</f>
        <v>0.73343981170141226</v>
      </c>
      <c r="H29" s="36">
        <f>'Data Sheet'!G58/'Data Sheet'!G$61</f>
        <v>0.73915023574796401</v>
      </c>
      <c r="I29" s="36">
        <f>'Data Sheet'!H58/'Data Sheet'!H$61</f>
        <v>0.74364173975585879</v>
      </c>
      <c r="J29" s="36">
        <f>'Data Sheet'!I58/'Data Sheet'!I$61</f>
        <v>0.74133594671477143</v>
      </c>
      <c r="K29" s="36">
        <f>'Data Sheet'!J58/'Data Sheet'!J$61</f>
        <v>0.73336844354887953</v>
      </c>
      <c r="L29" s="36">
        <f>'Data Sheet'!K58/'Data Sheet'!K$61</f>
        <v>0.71869290703922617</v>
      </c>
    </row>
    <row r="30" spans="2:12" x14ac:dyDescent="0.3">
      <c r="B30" s="33" t="str">
        <f>'Data Sheet'!A59</f>
        <v>Borrowings</v>
      </c>
      <c r="C30" s="36">
        <f>'Data Sheet'!B59/'Data Sheet'!B$61</f>
        <v>9.3148575827559661E-3</v>
      </c>
      <c r="D30" s="36">
        <f>'Data Sheet'!C59/'Data Sheet'!C$61</f>
        <v>2.0083654229186032E-3</v>
      </c>
      <c r="E30" s="36">
        <f>'Data Sheet'!D59/'Data Sheet'!D$61</f>
        <v>2.5012115243320983E-3</v>
      </c>
      <c r="F30" s="36">
        <f>'Data Sheet'!E59/'Data Sheet'!E$61</f>
        <v>2.8918086377066701E-3</v>
      </c>
      <c r="G30" s="36">
        <f>'Data Sheet'!F59/'Data Sheet'!F$61</f>
        <v>7.5795785698273927E-3</v>
      </c>
      <c r="H30" s="36">
        <f>'Data Sheet'!G59/'Data Sheet'!G$61</f>
        <v>5.7061723103300471E-3</v>
      </c>
      <c r="I30" s="36">
        <f>'Data Sheet'!H59/'Data Sheet'!H$61</f>
        <v>1.2466785207679859E-2</v>
      </c>
      <c r="J30" s="36">
        <f>'Data Sheet'!I59/'Data Sheet'!I$61</f>
        <v>1.0320543953375426E-3</v>
      </c>
      <c r="K30" s="36">
        <f>'Data Sheet'!J59/'Data Sheet'!J$61</f>
        <v>6.6404103315625572E-4</v>
      </c>
      <c r="L30" s="36">
        <f>'Data Sheet'!K59/'Data Sheet'!K$61</f>
        <v>6.8511552928533044E-4</v>
      </c>
    </row>
    <row r="31" spans="2:12" x14ac:dyDescent="0.3">
      <c r="B31" s="33" t="str">
        <f>'Data Sheet'!A60</f>
        <v>Other Liabilities</v>
      </c>
      <c r="C31" s="36">
        <f>'Data Sheet'!B60/'Data Sheet'!B$61</f>
        <v>0.27717474980754425</v>
      </c>
      <c r="D31" s="36">
        <f>'Data Sheet'!C60/'Data Sheet'!C$61</f>
        <v>0.29159474173416544</v>
      </c>
      <c r="E31" s="36">
        <f>'Data Sheet'!D60/'Data Sheet'!D$61</f>
        <v>0.26132970657662308</v>
      </c>
      <c r="F31" s="36">
        <f>'Data Sheet'!E60/'Data Sheet'!E$61</f>
        <v>0.22051612497642548</v>
      </c>
      <c r="G31" s="36">
        <f>'Data Sheet'!F60/'Data Sheet'!F$61</f>
        <v>0.2568790629903609</v>
      </c>
      <c r="H31" s="36">
        <f>'Data Sheet'!G60/'Data Sheet'!G$61</f>
        <v>0.25310758679811401</v>
      </c>
      <c r="I31" s="36">
        <f>'Data Sheet'!H60/'Data Sheet'!H$61</f>
        <v>0.24232313747427728</v>
      </c>
      <c r="J31" s="36">
        <f>'Data Sheet'!I60/'Data Sheet'!I$61</f>
        <v>0.25627905363213765</v>
      </c>
      <c r="K31" s="36">
        <f>'Data Sheet'!J60/'Data Sheet'!J$61</f>
        <v>0.26476918849606157</v>
      </c>
      <c r="L31" s="36">
        <f>'Data Sheet'!K60/'Data Sheet'!K$61</f>
        <v>0.27956743686190222</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0.25617782909930714</v>
      </c>
      <c r="D34" s="36">
        <f>'Data Sheet'!C62/'Data Sheet'!C$66</f>
        <v>0.22223144336741468</v>
      </c>
      <c r="E34" s="36">
        <f>'Data Sheet'!D62/'Data Sheet'!D$66</f>
        <v>0.24132001438196626</v>
      </c>
      <c r="F34" s="36">
        <f>'Data Sheet'!E62/'Data Sheet'!E$66</f>
        <v>0.24743823473942289</v>
      </c>
      <c r="G34" s="36">
        <f>'Data Sheet'!F62/'Data Sheet'!F$66</f>
        <v>0.21000056041246357</v>
      </c>
      <c r="H34" s="36">
        <f>'Data Sheet'!G62/'Data Sheet'!G$66</f>
        <v>0.18413791255893699</v>
      </c>
      <c r="I34" s="36">
        <f>'Data Sheet'!H62/'Data Sheet'!H$66</f>
        <v>0.27911413901264659</v>
      </c>
      <c r="J34" s="36">
        <f>'Data Sheet'!I62/'Data Sheet'!I$66</f>
        <v>0.24166551030319849</v>
      </c>
      <c r="K34" s="36">
        <f>'Data Sheet'!J62/'Data Sheet'!J$66</f>
        <v>0.25174787812175614</v>
      </c>
      <c r="L34" s="36">
        <f>'Data Sheet'!K62/'Data Sheet'!K$66</f>
        <v>0.23188473938742613</v>
      </c>
    </row>
    <row r="35" spans="2:12" x14ac:dyDescent="0.3">
      <c r="B35" s="33" t="str">
        <f>'Data Sheet'!A63</f>
        <v>Capital Work in Progress</v>
      </c>
      <c r="C35" s="36">
        <f>'Data Sheet'!B63/'Data Sheet'!B$66</f>
        <v>2.4095458044649732E-2</v>
      </c>
      <c r="D35" s="36">
        <f>'Data Sheet'!C63/'Data Sheet'!C$66</f>
        <v>3.5387066790598859E-2</v>
      </c>
      <c r="E35" s="36">
        <f>'Data Sheet'!D63/'Data Sheet'!D$66</f>
        <v>2.5121543247510512E-2</v>
      </c>
      <c r="F35" s="36">
        <f>'Data Sheet'!E63/'Data Sheet'!E$66</f>
        <v>2.2238637078015967E-2</v>
      </c>
      <c r="G35" s="36">
        <f>'Data Sheet'!F63/'Data Sheet'!F$66</f>
        <v>2.097343644922663E-2</v>
      </c>
      <c r="H35" s="36">
        <f>'Data Sheet'!G63/'Data Sheet'!G$66</f>
        <v>3.9327046720960136E-2</v>
      </c>
      <c r="I35" s="36">
        <f>'Data Sheet'!H63/'Data Sheet'!H$66</f>
        <v>4.1386130701456456E-2</v>
      </c>
      <c r="J35" s="36">
        <f>'Data Sheet'!I63/'Data Sheet'!I$66</f>
        <v>6.7083535696940269E-2</v>
      </c>
      <c r="K35" s="36">
        <f>'Data Sheet'!J63/'Data Sheet'!J$66</f>
        <v>6.0519325883861511E-2</v>
      </c>
      <c r="L35" s="36">
        <f>'Data Sheet'!K63/'Data Sheet'!K$66</f>
        <v>6.6080064481461587E-2</v>
      </c>
    </row>
    <row r="36" spans="2:12" x14ac:dyDescent="0.3">
      <c r="B36" s="33" t="str">
        <f>'Data Sheet'!A64</f>
        <v>Investments</v>
      </c>
      <c r="C36" s="36">
        <f>'Data Sheet'!B64/'Data Sheet'!B$66</f>
        <v>0.56102771362586601</v>
      </c>
      <c r="D36" s="36">
        <f>'Data Sheet'!C64/'Data Sheet'!C$66</f>
        <v>0.59957177001726203</v>
      </c>
      <c r="E36" s="36">
        <f>'Data Sheet'!D64/'Data Sheet'!D$66</f>
        <v>0.58628398130344384</v>
      </c>
      <c r="F36" s="36">
        <f>'Data Sheet'!E64/'Data Sheet'!E$66</f>
        <v>0.58917457723015021</v>
      </c>
      <c r="G36" s="36">
        <f>'Data Sheet'!F64/'Data Sheet'!F$66</f>
        <v>0.60167283120376602</v>
      </c>
      <c r="H36" s="36">
        <f>'Data Sheet'!G64/'Data Sheet'!G$66</f>
        <v>0.56304918559794259</v>
      </c>
      <c r="I36" s="36">
        <f>'Data Sheet'!H64/'Data Sheet'!H$66</f>
        <v>0.49131920164625498</v>
      </c>
      <c r="J36" s="36">
        <f>'Data Sheet'!I64/'Data Sheet'!I$66</f>
        <v>0.4969125095399986</v>
      </c>
      <c r="K36" s="36">
        <f>'Data Sheet'!J64/'Data Sheet'!J$66</f>
        <v>0.5057779202540148</v>
      </c>
      <c r="L36" s="36">
        <f>'Data Sheet'!K64/'Data Sheet'!K$66</f>
        <v>0.51610693175711986</v>
      </c>
    </row>
    <row r="37" spans="2:12" x14ac:dyDescent="0.3">
      <c r="B37" s="33" t="str">
        <f>'Data Sheet'!A65</f>
        <v>Other Assets</v>
      </c>
      <c r="C37" s="36">
        <f>'Data Sheet'!B74/'Data Sheet'!B66</f>
        <v>7.2286374133949186E-2</v>
      </c>
      <c r="D37" s="36">
        <f>'Data Sheet'!C74/'Data Sheet'!C66</f>
        <v>6.4815429557827639E-2</v>
      </c>
      <c r="E37" s="36">
        <f>'Data Sheet'!D74/'Data Sheet'!D66</f>
        <v>5.6230361581390984E-2</v>
      </c>
      <c r="F37" s="36">
        <f>'Data Sheet'!E74/'Data Sheet'!E66</f>
        <v>5.9077764506192246E-2</v>
      </c>
      <c r="G37" s="36">
        <f>'Data Sheet'!F74/'Data Sheet'!F66</f>
        <v>6.402712396323694E-2</v>
      </c>
      <c r="H37" s="36">
        <f>'Data Sheet'!G74/'Data Sheet'!G66</f>
        <v>9.8170274324903564E-2</v>
      </c>
      <c r="I37" s="36">
        <f>'Data Sheet'!H74/'Data Sheet'!H66</f>
        <v>7.3522066609394046E-2</v>
      </c>
      <c r="J37" s="36">
        <f>'Data Sheet'!I74/'Data Sheet'!I66</f>
        <v>8.3830569624644413E-2</v>
      </c>
      <c r="K37" s="36">
        <f>'Data Sheet'!J74/'Data Sheet'!J66</f>
        <v>7.5051902057763936E-2</v>
      </c>
      <c r="L37" s="36">
        <f>'Data Sheet'!K74/'Data Sheet'!K66</f>
        <v>6.338662009672219E-2</v>
      </c>
    </row>
    <row r="38" spans="2:12" x14ac:dyDescent="0.3">
      <c r="B38" s="33" t="str">
        <f>'Data Sheet'!A67</f>
        <v>Receivables</v>
      </c>
      <c r="C38" s="36">
        <f>'Data Sheet'!B67/'Data Sheet'!B$66</f>
        <v>2.3152424942263279E-2</v>
      </c>
      <c r="D38" s="36">
        <f>'Data Sheet'!C67/'Data Sheet'!C$66</f>
        <v>2.4316159872526888E-2</v>
      </c>
      <c r="E38" s="36">
        <f>'Data Sheet'!D67/'Data Sheet'!D$66</f>
        <v>3.6158139098625898E-2</v>
      </c>
      <c r="F38" s="36">
        <f>'Data Sheet'!E67/'Data Sheet'!E$66</f>
        <v>3.1086942855346703E-2</v>
      </c>
      <c r="G38" s="36">
        <f>'Data Sheet'!F67/'Data Sheet'!F$66</f>
        <v>1.7933198834342075E-2</v>
      </c>
      <c r="H38" s="36">
        <f>'Data Sheet'!G67/'Data Sheet'!G$66</f>
        <v>2.7244963566223745E-2</v>
      </c>
      <c r="I38" s="36">
        <f>'Data Sheet'!H67/'Data Sheet'!H$66</f>
        <v>3.2815215871176556E-2</v>
      </c>
      <c r="J38" s="36">
        <f>'Data Sheet'!I67/'Data Sheet'!I$66</f>
        <v>3.9868521473669601E-2</v>
      </c>
      <c r="K38" s="36">
        <f>'Data Sheet'!J67/'Data Sheet'!J$66</f>
        <v>4.9917567320021984E-2</v>
      </c>
      <c r="L38" s="36">
        <f>'Data Sheet'!K67/'Data Sheet'!K$66</f>
        <v>3.5881246641590543E-2</v>
      </c>
    </row>
    <row r="39" spans="2:12" x14ac:dyDescent="0.3">
      <c r="B39" s="33" t="str">
        <f>'Data Sheet'!A68</f>
        <v>Inventory</v>
      </c>
      <c r="C39" s="36">
        <f>'Data Sheet'!B68/'Data Sheet'!B$66</f>
        <v>6.2817551963048501E-2</v>
      </c>
      <c r="D39" s="36">
        <f>'Data Sheet'!C68/'Data Sheet'!C$66</f>
        <v>5.2449873854733764E-2</v>
      </c>
      <c r="E39" s="36">
        <f>'Data Sheet'!D68/'Data Sheet'!D$66</f>
        <v>5.1947036845972266E-2</v>
      </c>
      <c r="F39" s="36">
        <f>'Data Sheet'!E68/'Data Sheet'!E$66</f>
        <v>5.0512353052115419E-2</v>
      </c>
      <c r="G39" s="36">
        <f>'Data Sheet'!F68/'Data Sheet'!F$66</f>
        <v>4.2717440035866396E-2</v>
      </c>
      <c r="H39" s="36">
        <f>'Data Sheet'!G68/'Data Sheet'!G$66</f>
        <v>4.7310330047149594E-2</v>
      </c>
      <c r="I39" s="36">
        <f>'Data Sheet'!H68/'Data Sheet'!H$66</f>
        <v>5.4382354704013744E-2</v>
      </c>
      <c r="J39" s="36">
        <f>'Data Sheet'!I68/'Data Sheet'!I$66</f>
        <v>4.612155692777354E-2</v>
      </c>
      <c r="K39" s="36">
        <f>'Data Sheet'!J68/'Data Sheet'!J$66</f>
        <v>5.2764547841485009E-2</v>
      </c>
      <c r="L39" s="36">
        <f>'Data Sheet'!K68/'Data Sheet'!K$66</f>
        <v>7.6041106931757113E-2</v>
      </c>
    </row>
    <row r="40" spans="2:12" x14ac:dyDescent="0.3">
      <c r="B40" s="33" t="str">
        <f>'Data Sheet'!A69</f>
        <v>Cash &amp; Bank</v>
      </c>
      <c r="C40" s="36">
        <f>'Data Sheet'!B69/'Data Sheet'!B$66</f>
        <v>4.6189376443418013E-4</v>
      </c>
      <c r="D40" s="36">
        <f>'Data Sheet'!C69/'Data Sheet'!C$66</f>
        <v>1.2282565396361704E-3</v>
      </c>
      <c r="E40" s="36">
        <f>'Data Sheet'!D69/'Data Sheet'!D$66</f>
        <v>2.9389235410902156E-3</v>
      </c>
      <c r="F40" s="36">
        <f>'Data Sheet'!E69/'Data Sheet'!E$66</f>
        <v>4.557741874646382E-4</v>
      </c>
      <c r="G40" s="36">
        <f>'Data Sheet'!F69/'Data Sheet'!F$66</f>
        <v>4.2689419412687737E-2</v>
      </c>
      <c r="H40" s="36">
        <f>'Data Sheet'!G69/'Data Sheet'!G$66</f>
        <v>4.0746892413201889E-2</v>
      </c>
      <c r="I40" s="36">
        <f>'Data Sheet'!H69/'Data Sheet'!H$66</f>
        <v>2.7450902043833537E-2</v>
      </c>
      <c r="J40" s="36">
        <f>'Data Sheet'!I69/'Data Sheet'!I$66</f>
        <v>2.4517796433775066E-2</v>
      </c>
      <c r="K40" s="36">
        <f>'Data Sheet'!J69/'Data Sheet'!J$66</f>
        <v>4.2208585210966598E-3</v>
      </c>
      <c r="L40" s="36">
        <f>'Data Sheet'!K69/'Data Sheet'!K$66</f>
        <v>1.061257388500806E-2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8611</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31.440221432702636</v>
      </c>
    </row>
    <row r="7" spans="1:11" x14ac:dyDescent="0.3">
      <c r="A7" s="5" t="s">
        <v>31</v>
      </c>
      <c r="B7">
        <v>5</v>
      </c>
    </row>
    <row r="8" spans="1:11" x14ac:dyDescent="0.3">
      <c r="A8" s="5" t="s">
        <v>43</v>
      </c>
      <c r="B8">
        <v>12103</v>
      </c>
    </row>
    <row r="9" spans="1:11" x14ac:dyDescent="0.3">
      <c r="A9" s="5" t="s">
        <v>79</v>
      </c>
      <c r="B9">
        <v>380521</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280</v>
      </c>
    </row>
    <row r="17" spans="1:11" s="9" customFormat="1" x14ac:dyDescent="0.3">
      <c r="A17" s="9" t="s">
        <v>6</v>
      </c>
      <c r="B17">
        <v>79809</v>
      </c>
      <c r="C17">
        <v>86068</v>
      </c>
      <c r="D17">
        <v>75660</v>
      </c>
      <c r="E17">
        <v>70372</v>
      </c>
      <c r="F17">
        <v>88330</v>
      </c>
      <c r="G17">
        <v>118410</v>
      </c>
      <c r="H17">
        <v>141858</v>
      </c>
      <c r="I17">
        <v>152913</v>
      </c>
      <c r="J17">
        <v>183316</v>
      </c>
      <c r="K17">
        <v>197181</v>
      </c>
    </row>
    <row r="18" spans="1:11" s="9" customFormat="1" x14ac:dyDescent="0.3">
      <c r="A18" s="5" t="s">
        <v>80</v>
      </c>
      <c r="B18">
        <v>55068.21</v>
      </c>
      <c r="C18">
        <v>59386.92</v>
      </c>
      <c r="D18">
        <v>52962</v>
      </c>
      <c r="E18">
        <v>50667.839999999997</v>
      </c>
      <c r="F18">
        <v>66247.5</v>
      </c>
      <c r="G18">
        <v>85255.2</v>
      </c>
      <c r="H18">
        <v>99300.6</v>
      </c>
      <c r="I18">
        <v>107039.1</v>
      </c>
      <c r="J18">
        <v>131987.51999999999</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798.09</v>
      </c>
      <c r="C21">
        <v>1721.36</v>
      </c>
      <c r="D21">
        <v>756.6</v>
      </c>
      <c r="E21">
        <v>1407.44</v>
      </c>
      <c r="F21">
        <v>1766.6</v>
      </c>
      <c r="G21">
        <v>2368.1999999999998</v>
      </c>
      <c r="H21">
        <v>2837.16</v>
      </c>
      <c r="I21">
        <v>3058.26</v>
      </c>
      <c r="J21">
        <v>3666.32</v>
      </c>
      <c r="K21">
        <v>0</v>
      </c>
    </row>
    <row r="22" spans="1:11" s="9" customFormat="1" x14ac:dyDescent="0.3">
      <c r="A22" s="5" t="s">
        <v>84</v>
      </c>
      <c r="B22">
        <v>3192.36</v>
      </c>
      <c r="C22">
        <v>3442.72</v>
      </c>
      <c r="D22">
        <v>3783</v>
      </c>
      <c r="E22">
        <v>3518.6</v>
      </c>
      <c r="F22">
        <v>4416.5</v>
      </c>
      <c r="G22">
        <v>4736.3999999999996</v>
      </c>
      <c r="H22">
        <v>5674.32</v>
      </c>
      <c r="I22">
        <v>7645.65</v>
      </c>
      <c r="J22">
        <v>9165.7999999999993</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8778.99</v>
      </c>
      <c r="C24">
        <v>11188.84</v>
      </c>
      <c r="D24">
        <v>10592.4</v>
      </c>
      <c r="E24">
        <v>9852.08</v>
      </c>
      <c r="F24">
        <v>10599.6</v>
      </c>
      <c r="G24">
        <v>13025.1</v>
      </c>
      <c r="H24">
        <v>14185.8</v>
      </c>
      <c r="I24">
        <v>15291.3</v>
      </c>
      <c r="J24">
        <v>16498.439999999999</v>
      </c>
      <c r="K24">
        <v>0</v>
      </c>
    </row>
    <row r="25" spans="1:11" s="9" customFormat="1" x14ac:dyDescent="0.3">
      <c r="A25" s="9" t="s">
        <v>9</v>
      </c>
      <c r="B25">
        <v>2155</v>
      </c>
      <c r="C25">
        <v>2664</v>
      </c>
      <c r="D25">
        <v>3410</v>
      </c>
      <c r="E25">
        <v>3046</v>
      </c>
      <c r="F25">
        <v>1861</v>
      </c>
      <c r="G25">
        <v>2415</v>
      </c>
      <c r="H25">
        <v>4248</v>
      </c>
      <c r="I25">
        <v>5199</v>
      </c>
      <c r="J25">
        <v>4569</v>
      </c>
      <c r="K25">
        <v>4707</v>
      </c>
    </row>
    <row r="26" spans="1:11" s="9" customFormat="1" x14ac:dyDescent="0.3">
      <c r="A26" s="9" t="s">
        <v>10</v>
      </c>
      <c r="B26">
        <v>2760</v>
      </c>
      <c r="C26">
        <v>3021</v>
      </c>
      <c r="D26">
        <v>3528</v>
      </c>
      <c r="E26">
        <v>3034</v>
      </c>
      <c r="F26">
        <v>2789</v>
      </c>
      <c r="G26">
        <v>4846</v>
      </c>
      <c r="H26">
        <v>5256</v>
      </c>
      <c r="I26">
        <v>5608</v>
      </c>
      <c r="J26">
        <v>6742</v>
      </c>
      <c r="K26">
        <v>6966</v>
      </c>
    </row>
    <row r="27" spans="1:11" s="9" customFormat="1" x14ac:dyDescent="0.3">
      <c r="A27" s="9" t="s">
        <v>11</v>
      </c>
      <c r="B27">
        <v>346</v>
      </c>
      <c r="C27">
        <v>76</v>
      </c>
      <c r="D27">
        <v>134</v>
      </c>
      <c r="E27">
        <v>102</v>
      </c>
      <c r="F27">
        <v>127</v>
      </c>
      <c r="G27">
        <v>252</v>
      </c>
      <c r="H27">
        <v>194</v>
      </c>
      <c r="I27">
        <v>194</v>
      </c>
      <c r="J27">
        <v>239</v>
      </c>
      <c r="K27">
        <v>255</v>
      </c>
    </row>
    <row r="28" spans="1:11" s="9" customFormat="1" x14ac:dyDescent="0.3">
      <c r="A28" s="9" t="s">
        <v>12</v>
      </c>
      <c r="B28">
        <v>11167</v>
      </c>
      <c r="C28">
        <v>10624</v>
      </c>
      <c r="D28">
        <v>7103</v>
      </c>
      <c r="E28">
        <v>5321</v>
      </c>
      <c r="F28">
        <v>4697</v>
      </c>
      <c r="G28">
        <v>10438</v>
      </c>
      <c r="H28">
        <v>17424</v>
      </c>
      <c r="I28">
        <v>19620</v>
      </c>
      <c r="J28">
        <v>19118</v>
      </c>
      <c r="K28">
        <v>18616</v>
      </c>
    </row>
    <row r="29" spans="1:11" s="9" customFormat="1" x14ac:dyDescent="0.3">
      <c r="A29" s="9" t="s">
        <v>13</v>
      </c>
      <c r="B29">
        <v>11167</v>
      </c>
      <c r="C29">
        <v>10624</v>
      </c>
      <c r="D29">
        <v>7103</v>
      </c>
      <c r="E29">
        <v>5321</v>
      </c>
      <c r="F29">
        <v>4697</v>
      </c>
      <c r="G29">
        <v>10438</v>
      </c>
      <c r="H29">
        <v>17424</v>
      </c>
      <c r="I29">
        <v>19620</v>
      </c>
      <c r="J29">
        <v>19118</v>
      </c>
      <c r="K29">
        <v>18616</v>
      </c>
    </row>
    <row r="30" spans="1:11" s="9" customFormat="1" x14ac:dyDescent="0.3">
      <c r="A30" s="9" t="s">
        <v>14</v>
      </c>
      <c r="B30">
        <v>7881</v>
      </c>
      <c r="C30">
        <v>7651</v>
      </c>
      <c r="D30">
        <v>5678</v>
      </c>
      <c r="E30">
        <v>4389</v>
      </c>
      <c r="F30">
        <v>3880</v>
      </c>
      <c r="G30">
        <v>8264</v>
      </c>
      <c r="H30">
        <v>13488</v>
      </c>
      <c r="I30">
        <v>14500</v>
      </c>
      <c r="J30">
        <v>14680</v>
      </c>
      <c r="K30">
        <v>14334</v>
      </c>
    </row>
    <row r="31" spans="1:11" s="9" customFormat="1" x14ac:dyDescent="0.3">
      <c r="A31" s="9" t="s">
        <v>70</v>
      </c>
      <c r="B31">
        <v>2443.11</v>
      </c>
      <c r="C31">
        <v>2448.3200000000002</v>
      </c>
      <c r="D31">
        <v>1816.96</v>
      </c>
      <c r="E31">
        <v>1360.59</v>
      </c>
      <c r="F31">
        <v>1823.6</v>
      </c>
      <c r="G31">
        <v>2809.76</v>
      </c>
      <c r="H31">
        <v>3911.52</v>
      </c>
      <c r="I31">
        <v>4205</v>
      </c>
      <c r="J31">
        <v>4404</v>
      </c>
      <c r="K31">
        <v>0</v>
      </c>
    </row>
    <row r="32" spans="1:11" s="9" customFormat="1" x14ac:dyDescent="0.3">
      <c r="A32" s="9" t="s">
        <v>94</v>
      </c>
      <c r="B32" s="9">
        <f>SUM(B26:B28)</f>
        <v>14273</v>
      </c>
      <c r="C32" s="9">
        <f t="shared" ref="C32:K32" si="0">SUM(C26:C28)</f>
        <v>13721</v>
      </c>
      <c r="D32" s="9">
        <f t="shared" si="0"/>
        <v>10765</v>
      </c>
      <c r="E32" s="9">
        <f t="shared" si="0"/>
        <v>8457</v>
      </c>
      <c r="F32" s="9">
        <f t="shared" si="0"/>
        <v>7613</v>
      </c>
      <c r="G32" s="9">
        <f t="shared" si="0"/>
        <v>15536</v>
      </c>
      <c r="H32" s="9">
        <f t="shared" si="0"/>
        <v>22874</v>
      </c>
      <c r="I32" s="9">
        <f t="shared" si="0"/>
        <v>25422</v>
      </c>
      <c r="J32" s="9">
        <f t="shared" si="0"/>
        <v>26099</v>
      </c>
      <c r="K32" s="9">
        <f t="shared" si="0"/>
        <v>25837</v>
      </c>
    </row>
    <row r="33" spans="1:11" x14ac:dyDescent="0.3">
      <c r="A33" s="9"/>
      <c r="B33" s="5">
        <f>B30+B29+B27+B26</f>
        <v>22154</v>
      </c>
      <c r="C33" s="5">
        <f>C30+C29+C27+C26</f>
        <v>21372</v>
      </c>
      <c r="D33" s="5">
        <f>D30+D29+D27+D26</f>
        <v>16443</v>
      </c>
      <c r="E33" s="5">
        <f>E30+E29+E27+E26</f>
        <v>12846</v>
      </c>
      <c r="F33" s="5">
        <f>F30+F29+F27+F26</f>
        <v>11493</v>
      </c>
      <c r="G33" s="5">
        <f>G30+G29+G27+G26</f>
        <v>23800</v>
      </c>
      <c r="H33" s="5">
        <f>H30+H29+H27+H26</f>
        <v>36362</v>
      </c>
      <c r="I33" s="5">
        <f>I30+I29+I27+I26</f>
        <v>39922</v>
      </c>
      <c r="J33" s="5">
        <f>J30+J29+J27+J26</f>
        <v>40779</v>
      </c>
      <c r="K33" s="5">
        <f>K30+K29+K27+K26</f>
        <v>40171</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38471</v>
      </c>
      <c r="C42">
        <v>35779</v>
      </c>
      <c r="D42">
        <v>37449</v>
      </c>
      <c r="E42">
        <v>38764</v>
      </c>
      <c r="F42">
        <v>40920</v>
      </c>
      <c r="G42">
        <v>38605</v>
      </c>
      <c r="H42">
        <v>42344</v>
      </c>
      <c r="I42">
        <v>49904</v>
      </c>
      <c r="J42">
        <v>52462</v>
      </c>
      <c r="K42">
        <v>52470</v>
      </c>
    </row>
    <row r="43" spans="1:11" s="9" customFormat="1" x14ac:dyDescent="0.3">
      <c r="A43" s="9" t="s">
        <v>7</v>
      </c>
      <c r="B43">
        <v>33250</v>
      </c>
      <c r="C43">
        <v>30673</v>
      </c>
      <c r="D43">
        <v>32450</v>
      </c>
      <c r="E43">
        <v>33688</v>
      </c>
      <c r="F43">
        <v>36076</v>
      </c>
      <c r="G43">
        <v>33983</v>
      </c>
      <c r="H43">
        <v>37258</v>
      </c>
      <c r="I43">
        <v>44331</v>
      </c>
      <c r="J43">
        <v>46304</v>
      </c>
      <c r="K43">
        <v>48156</v>
      </c>
    </row>
    <row r="44" spans="1:11" s="9" customFormat="1" x14ac:dyDescent="0.3">
      <c r="A44" s="9" t="s">
        <v>9</v>
      </c>
      <c r="B44">
        <v>1261</v>
      </c>
      <c r="C44">
        <v>1118</v>
      </c>
      <c r="D44">
        <v>1570</v>
      </c>
      <c r="E44">
        <v>1125</v>
      </c>
      <c r="F44">
        <v>1583</v>
      </c>
      <c r="G44">
        <v>1924</v>
      </c>
      <c r="H44">
        <v>1014</v>
      </c>
      <c r="I44">
        <v>1140</v>
      </c>
      <c r="J44">
        <v>581</v>
      </c>
      <c r="K44">
        <v>1972</v>
      </c>
    </row>
    <row r="45" spans="1:11" s="9" customFormat="1" x14ac:dyDescent="0.3">
      <c r="A45" s="9" t="s">
        <v>10</v>
      </c>
      <c r="B45">
        <v>1298</v>
      </c>
      <c r="C45">
        <v>1332</v>
      </c>
      <c r="D45">
        <v>1386</v>
      </c>
      <c r="E45">
        <v>1429</v>
      </c>
      <c r="F45">
        <v>1462</v>
      </c>
      <c r="G45">
        <v>1556</v>
      </c>
      <c r="H45">
        <v>1703</v>
      </c>
      <c r="I45">
        <v>1735</v>
      </c>
      <c r="J45">
        <v>1748</v>
      </c>
      <c r="K45">
        <v>1780</v>
      </c>
    </row>
    <row r="46" spans="1:11" s="9" customFormat="1" x14ac:dyDescent="0.3">
      <c r="A46" s="9" t="s">
        <v>11</v>
      </c>
      <c r="B46">
        <v>76</v>
      </c>
      <c r="C46">
        <v>57</v>
      </c>
      <c r="D46">
        <v>43</v>
      </c>
      <c r="E46">
        <v>46</v>
      </c>
      <c r="F46">
        <v>48</v>
      </c>
      <c r="G46">
        <v>47</v>
      </c>
      <c r="H46">
        <v>57</v>
      </c>
      <c r="I46">
        <v>62</v>
      </c>
      <c r="J46">
        <v>73</v>
      </c>
      <c r="K46">
        <v>64</v>
      </c>
    </row>
    <row r="47" spans="1:11" s="9" customFormat="1" x14ac:dyDescent="0.3">
      <c r="A47" s="9" t="s">
        <v>12</v>
      </c>
      <c r="B47">
        <v>5108</v>
      </c>
      <c r="C47">
        <v>4836</v>
      </c>
      <c r="D47">
        <v>5141</v>
      </c>
      <c r="E47">
        <v>4726</v>
      </c>
      <c r="F47">
        <v>4918</v>
      </c>
      <c r="G47">
        <v>4944</v>
      </c>
      <c r="H47">
        <v>4339</v>
      </c>
      <c r="I47">
        <v>4917</v>
      </c>
      <c r="J47">
        <v>4918</v>
      </c>
      <c r="K47">
        <v>4441</v>
      </c>
    </row>
    <row r="48" spans="1:11" s="9" customFormat="1" x14ac:dyDescent="0.3">
      <c r="A48" s="9" t="s">
        <v>13</v>
      </c>
      <c r="B48">
        <v>5108</v>
      </c>
      <c r="C48">
        <v>4836</v>
      </c>
      <c r="D48">
        <v>5141</v>
      </c>
      <c r="E48">
        <v>4726</v>
      </c>
      <c r="F48">
        <v>4918</v>
      </c>
      <c r="G48">
        <v>4944</v>
      </c>
      <c r="H48">
        <v>4339</v>
      </c>
      <c r="I48">
        <v>4917</v>
      </c>
      <c r="J48">
        <v>4918</v>
      </c>
      <c r="K48">
        <v>4441</v>
      </c>
    </row>
    <row r="49" spans="1:11" s="9" customFormat="1" x14ac:dyDescent="0.3">
      <c r="A49" s="9" t="s">
        <v>14</v>
      </c>
      <c r="B49">
        <v>3952</v>
      </c>
      <c r="C49">
        <v>3760</v>
      </c>
      <c r="D49">
        <v>3102</v>
      </c>
      <c r="E49">
        <v>3727</v>
      </c>
      <c r="F49">
        <v>3911</v>
      </c>
      <c r="G49">
        <v>3792</v>
      </c>
      <c r="H49">
        <v>3349</v>
      </c>
      <c r="I49">
        <v>3879</v>
      </c>
      <c r="J49">
        <v>3659</v>
      </c>
      <c r="K49">
        <v>3447</v>
      </c>
    </row>
    <row r="50" spans="1:11" x14ac:dyDescent="0.3">
      <c r="A50" s="9" t="s">
        <v>8</v>
      </c>
      <c r="B50">
        <v>5221</v>
      </c>
      <c r="C50">
        <v>5107</v>
      </c>
      <c r="D50">
        <v>4999</v>
      </c>
      <c r="E50">
        <v>5076</v>
      </c>
      <c r="F50">
        <v>4844</v>
      </c>
      <c r="G50">
        <v>4623</v>
      </c>
      <c r="H50">
        <v>5086</v>
      </c>
      <c r="I50">
        <v>5573</v>
      </c>
      <c r="J50">
        <v>6158</v>
      </c>
      <c r="K50">
        <v>4313</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151</v>
      </c>
      <c r="C57">
        <v>151</v>
      </c>
      <c r="D57">
        <v>151</v>
      </c>
      <c r="E57">
        <v>151</v>
      </c>
      <c r="F57">
        <v>151</v>
      </c>
      <c r="G57">
        <v>151</v>
      </c>
      <c r="H57">
        <v>157</v>
      </c>
      <c r="I57">
        <v>157</v>
      </c>
      <c r="J57">
        <v>157</v>
      </c>
      <c r="K57">
        <v>157</v>
      </c>
    </row>
    <row r="58" spans="1:11" x14ac:dyDescent="0.3">
      <c r="A58" s="9" t="s">
        <v>25</v>
      </c>
      <c r="B58">
        <v>36924</v>
      </c>
      <c r="C58">
        <v>42408</v>
      </c>
      <c r="D58">
        <v>46941</v>
      </c>
      <c r="E58">
        <v>49262</v>
      </c>
      <c r="F58">
        <v>52350</v>
      </c>
      <c r="G58">
        <v>55182</v>
      </c>
      <c r="H58">
        <v>74443</v>
      </c>
      <c r="I58">
        <v>85479</v>
      </c>
      <c r="J58">
        <v>96083</v>
      </c>
      <c r="K58">
        <v>106999</v>
      </c>
    </row>
    <row r="59" spans="1:11" x14ac:dyDescent="0.3">
      <c r="A59" s="9" t="s">
        <v>71</v>
      </c>
      <c r="B59">
        <v>484</v>
      </c>
      <c r="C59">
        <v>121</v>
      </c>
      <c r="D59">
        <v>160</v>
      </c>
      <c r="E59">
        <v>184</v>
      </c>
      <c r="F59">
        <v>541</v>
      </c>
      <c r="G59">
        <v>426</v>
      </c>
      <c r="H59">
        <v>1248</v>
      </c>
      <c r="I59">
        <v>119</v>
      </c>
      <c r="J59">
        <v>87</v>
      </c>
      <c r="K59">
        <v>102</v>
      </c>
    </row>
    <row r="60" spans="1:11" x14ac:dyDescent="0.3">
      <c r="A60" s="9" t="s">
        <v>72</v>
      </c>
      <c r="B60">
        <v>14402</v>
      </c>
      <c r="C60">
        <v>17568</v>
      </c>
      <c r="D60">
        <v>16717</v>
      </c>
      <c r="E60">
        <v>14031</v>
      </c>
      <c r="F60">
        <v>18335</v>
      </c>
      <c r="G60">
        <v>18896</v>
      </c>
      <c r="H60">
        <v>24258</v>
      </c>
      <c r="I60">
        <v>29550</v>
      </c>
      <c r="J60">
        <v>34689</v>
      </c>
      <c r="K60">
        <v>41622</v>
      </c>
    </row>
    <row r="61" spans="1:11" s="1" customFormat="1" x14ac:dyDescent="0.3">
      <c r="A61" s="1" t="s">
        <v>26</v>
      </c>
      <c r="B61">
        <v>51960</v>
      </c>
      <c r="C61">
        <v>60248</v>
      </c>
      <c r="D61">
        <v>63969</v>
      </c>
      <c r="E61">
        <v>63628</v>
      </c>
      <c r="F61">
        <v>71376</v>
      </c>
      <c r="G61">
        <v>74656</v>
      </c>
      <c r="H61">
        <v>100106</v>
      </c>
      <c r="I61">
        <v>115304</v>
      </c>
      <c r="J61">
        <v>131016</v>
      </c>
      <c r="K61">
        <v>148880</v>
      </c>
    </row>
    <row r="62" spans="1:11" x14ac:dyDescent="0.3">
      <c r="A62" s="9" t="s">
        <v>27</v>
      </c>
      <c r="B62">
        <v>13311</v>
      </c>
      <c r="C62">
        <v>13389</v>
      </c>
      <c r="D62">
        <v>15437</v>
      </c>
      <c r="E62">
        <v>15744</v>
      </c>
      <c r="F62">
        <v>14989</v>
      </c>
      <c r="G62">
        <v>13747</v>
      </c>
      <c r="H62">
        <v>27941</v>
      </c>
      <c r="I62">
        <v>27865</v>
      </c>
      <c r="J62">
        <v>32983</v>
      </c>
      <c r="K62">
        <v>34523</v>
      </c>
    </row>
    <row r="63" spans="1:11" x14ac:dyDescent="0.3">
      <c r="A63" s="9" t="s">
        <v>28</v>
      </c>
      <c r="B63">
        <v>1252</v>
      </c>
      <c r="C63">
        <v>2132</v>
      </c>
      <c r="D63">
        <v>1607</v>
      </c>
      <c r="E63">
        <v>1415</v>
      </c>
      <c r="F63">
        <v>1497</v>
      </c>
      <c r="G63">
        <v>2936</v>
      </c>
      <c r="H63">
        <v>4143</v>
      </c>
      <c r="I63">
        <v>7735</v>
      </c>
      <c r="J63">
        <v>7929</v>
      </c>
      <c r="K63">
        <v>9838</v>
      </c>
    </row>
    <row r="64" spans="1:11" x14ac:dyDescent="0.3">
      <c r="A64" s="9" t="s">
        <v>29</v>
      </c>
      <c r="B64">
        <v>29151</v>
      </c>
      <c r="C64">
        <v>36123</v>
      </c>
      <c r="D64">
        <v>37504</v>
      </c>
      <c r="E64">
        <v>37488</v>
      </c>
      <c r="F64">
        <v>42945</v>
      </c>
      <c r="G64">
        <v>42035</v>
      </c>
      <c r="H64">
        <v>49184</v>
      </c>
      <c r="I64">
        <v>57296</v>
      </c>
      <c r="J64">
        <v>66265</v>
      </c>
      <c r="K64">
        <v>76838</v>
      </c>
    </row>
    <row r="65" spans="1:11" x14ac:dyDescent="0.3">
      <c r="A65" s="9" t="s">
        <v>73</v>
      </c>
      <c r="B65">
        <v>8247</v>
      </c>
      <c r="C65">
        <v>8604</v>
      </c>
      <c r="D65">
        <v>9421</v>
      </c>
      <c r="E65">
        <v>8980</v>
      </c>
      <c r="F65">
        <v>11946</v>
      </c>
      <c r="G65">
        <v>15937</v>
      </c>
      <c r="H65">
        <v>18837</v>
      </c>
      <c r="I65">
        <v>22408</v>
      </c>
      <c r="J65">
        <v>23839</v>
      </c>
      <c r="K65">
        <v>27680</v>
      </c>
    </row>
    <row r="66" spans="1:11" s="1" customFormat="1" x14ac:dyDescent="0.3">
      <c r="A66" s="1" t="s">
        <v>26</v>
      </c>
      <c r="B66">
        <v>51960</v>
      </c>
      <c r="C66">
        <v>60248</v>
      </c>
      <c r="D66">
        <v>63969</v>
      </c>
      <c r="E66">
        <v>63628</v>
      </c>
      <c r="F66">
        <v>71376</v>
      </c>
      <c r="G66">
        <v>74656</v>
      </c>
      <c r="H66">
        <v>100106</v>
      </c>
      <c r="I66">
        <v>115304</v>
      </c>
      <c r="J66">
        <v>131016</v>
      </c>
      <c r="K66">
        <v>148880</v>
      </c>
    </row>
    <row r="67" spans="1:11" s="9" customFormat="1" x14ac:dyDescent="0.3">
      <c r="A67" s="9" t="s">
        <v>78</v>
      </c>
      <c r="B67">
        <v>1203</v>
      </c>
      <c r="C67">
        <v>1465</v>
      </c>
      <c r="D67">
        <v>2313</v>
      </c>
      <c r="E67">
        <v>1978</v>
      </c>
      <c r="F67">
        <v>1280</v>
      </c>
      <c r="G67">
        <v>2034</v>
      </c>
      <c r="H67">
        <v>3285</v>
      </c>
      <c r="I67">
        <v>4597</v>
      </c>
      <c r="J67">
        <v>6540</v>
      </c>
      <c r="K67">
        <v>5342</v>
      </c>
    </row>
    <row r="68" spans="1:11" x14ac:dyDescent="0.3">
      <c r="A68" s="9" t="s">
        <v>45</v>
      </c>
      <c r="B68">
        <v>3264</v>
      </c>
      <c r="C68">
        <v>3160</v>
      </c>
      <c r="D68">
        <v>3323</v>
      </c>
      <c r="E68">
        <v>3214</v>
      </c>
      <c r="F68">
        <v>3049</v>
      </c>
      <c r="G68">
        <v>3532</v>
      </c>
      <c r="H68">
        <v>5444</v>
      </c>
      <c r="I68">
        <v>5318</v>
      </c>
      <c r="J68">
        <v>6913</v>
      </c>
      <c r="K68">
        <v>11321</v>
      </c>
    </row>
    <row r="69" spans="1:11" x14ac:dyDescent="0.3">
      <c r="A69" s="5" t="s">
        <v>87</v>
      </c>
      <c r="B69">
        <v>24</v>
      </c>
      <c r="C69">
        <v>74</v>
      </c>
      <c r="D69">
        <v>188</v>
      </c>
      <c r="E69">
        <v>29</v>
      </c>
      <c r="F69">
        <v>3047</v>
      </c>
      <c r="G69">
        <v>3042</v>
      </c>
      <c r="H69">
        <v>2748</v>
      </c>
      <c r="I69">
        <v>2827</v>
      </c>
      <c r="J69">
        <v>553</v>
      </c>
      <c r="K69">
        <v>1580</v>
      </c>
    </row>
    <row r="70" spans="1:11" x14ac:dyDescent="0.3">
      <c r="A70" s="5" t="s">
        <v>74</v>
      </c>
      <c r="B70">
        <v>302000000</v>
      </c>
      <c r="C70">
        <v>302000000</v>
      </c>
      <c r="D70">
        <v>302000000</v>
      </c>
      <c r="E70">
        <v>302000000</v>
      </c>
      <c r="F70">
        <v>302000000</v>
      </c>
      <c r="G70">
        <v>302000000</v>
      </c>
      <c r="H70">
        <v>314000000</v>
      </c>
      <c r="I70">
        <v>314000000</v>
      </c>
      <c r="J70">
        <v>314000000</v>
      </c>
      <c r="K70">
        <v>314000000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3756</v>
      </c>
      <c r="C74" s="5">
        <f t="shared" ref="C74:K74" si="1">C65-SUM(C67:C69)</f>
        <v>3905</v>
      </c>
      <c r="D74" s="5">
        <f t="shared" si="1"/>
        <v>3597</v>
      </c>
      <c r="E74" s="5">
        <f t="shared" si="1"/>
        <v>3759</v>
      </c>
      <c r="F74" s="5">
        <f t="shared" si="1"/>
        <v>4570</v>
      </c>
      <c r="G74" s="5">
        <f t="shared" si="1"/>
        <v>7329</v>
      </c>
      <c r="H74" s="5">
        <f t="shared" si="1"/>
        <v>7360</v>
      </c>
      <c r="I74" s="5">
        <f t="shared" si="1"/>
        <v>9666</v>
      </c>
      <c r="J74" s="5">
        <f t="shared" si="1"/>
        <v>9833</v>
      </c>
      <c r="K74" s="5">
        <f t="shared" si="1"/>
        <v>9437</v>
      </c>
    </row>
    <row r="75" spans="1:11" x14ac:dyDescent="0.3">
      <c r="A75" s="9" t="s">
        <v>73</v>
      </c>
      <c r="B75" s="5">
        <f>B65-SUM(B67:B69)</f>
        <v>3756</v>
      </c>
      <c r="C75" s="5">
        <f>C65-SUM(C67:C69)</f>
        <v>3905</v>
      </c>
      <c r="D75" s="5">
        <f>D65-SUM(D67:D69)</f>
        <v>3597</v>
      </c>
      <c r="E75" s="5">
        <f>E65-SUM(E67:E69)</f>
        <v>3759</v>
      </c>
      <c r="F75" s="5">
        <f>F65-SUM(F67:F69)</f>
        <v>4570</v>
      </c>
      <c r="G75" s="5">
        <f>G65-SUM(G67:G69)</f>
        <v>7329</v>
      </c>
      <c r="H75" s="5">
        <f>H65-SUM(H67:H69)</f>
        <v>7360</v>
      </c>
      <c r="I75" s="5">
        <f>I65-SUM(I67:I69)</f>
        <v>9666</v>
      </c>
      <c r="J75" s="5">
        <f>J65-SUM(J67:J69)</f>
        <v>9833</v>
      </c>
      <c r="K75" s="5">
        <f>K65-SUM(K67:K69)</f>
        <v>9437</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10282</v>
      </c>
      <c r="C82">
        <v>11788</v>
      </c>
      <c r="D82">
        <v>6601</v>
      </c>
      <c r="E82">
        <v>3496</v>
      </c>
      <c r="F82">
        <v>8856</v>
      </c>
      <c r="G82">
        <v>1840</v>
      </c>
      <c r="H82">
        <v>10815</v>
      </c>
      <c r="I82">
        <v>16801</v>
      </c>
      <c r="J82">
        <v>16180</v>
      </c>
      <c r="K82">
        <v>19100</v>
      </c>
    </row>
    <row r="83" spans="1:11" s="9" customFormat="1" x14ac:dyDescent="0.3">
      <c r="A83" s="9" t="s">
        <v>33</v>
      </c>
      <c r="B83">
        <v>-9173</v>
      </c>
      <c r="C83">
        <v>-8302</v>
      </c>
      <c r="D83">
        <v>-3540</v>
      </c>
      <c r="E83">
        <v>-557</v>
      </c>
      <c r="F83">
        <v>-7291</v>
      </c>
      <c r="G83">
        <v>-239</v>
      </c>
      <c r="H83">
        <v>-8820</v>
      </c>
      <c r="I83">
        <v>-11865</v>
      </c>
      <c r="J83">
        <v>-14500</v>
      </c>
      <c r="K83">
        <v>-14734</v>
      </c>
    </row>
    <row r="84" spans="1:11" s="9" customFormat="1" x14ac:dyDescent="0.3">
      <c r="A84" s="9" t="s">
        <v>34</v>
      </c>
      <c r="B84">
        <v>-1129</v>
      </c>
      <c r="C84">
        <v>-3436</v>
      </c>
      <c r="D84">
        <v>-2948</v>
      </c>
      <c r="E84">
        <v>-3104</v>
      </c>
      <c r="F84">
        <v>-1545</v>
      </c>
      <c r="G84">
        <v>-1607</v>
      </c>
      <c r="H84">
        <v>-1214</v>
      </c>
      <c r="I84">
        <v>-4062</v>
      </c>
      <c r="J84">
        <v>-4155</v>
      </c>
      <c r="K84">
        <v>-4484</v>
      </c>
    </row>
    <row r="85" spans="1:11" s="1" customFormat="1" x14ac:dyDescent="0.3">
      <c r="A85" s="9" t="s">
        <v>35</v>
      </c>
      <c r="B85">
        <v>-20</v>
      </c>
      <c r="C85">
        <v>50</v>
      </c>
      <c r="D85">
        <v>113</v>
      </c>
      <c r="E85">
        <v>-165</v>
      </c>
      <c r="F85">
        <v>20</v>
      </c>
      <c r="G85">
        <v>-6</v>
      </c>
      <c r="H85">
        <v>780</v>
      </c>
      <c r="I85">
        <v>874</v>
      </c>
      <c r="J85">
        <v>-2475</v>
      </c>
      <c r="K85">
        <v>-118</v>
      </c>
    </row>
    <row r="86" spans="1:11" x14ac:dyDescent="0.3">
      <c r="A86" s="9"/>
    </row>
    <row r="87" spans="1:11" x14ac:dyDescent="0.3">
      <c r="A87" s="9"/>
    </row>
    <row r="88" spans="1:11" x14ac:dyDescent="0.3">
      <c r="A88" s="9"/>
    </row>
    <row r="89" spans="1:11" x14ac:dyDescent="0.3">
      <c r="A89" s="9"/>
    </row>
    <row r="90" spans="1:11" s="1" customFormat="1" x14ac:dyDescent="0.3">
      <c r="A90" s="1" t="s">
        <v>77</v>
      </c>
      <c r="B90">
        <v>5887.75</v>
      </c>
      <c r="C90">
        <v>8873.4500000000007</v>
      </c>
      <c r="D90">
        <v>6935.15</v>
      </c>
      <c r="E90">
        <v>6283.1</v>
      </c>
      <c r="F90">
        <v>6866.15</v>
      </c>
      <c r="G90">
        <v>7247.3</v>
      </c>
      <c r="H90">
        <v>8601.25</v>
      </c>
      <c r="I90">
        <v>11567.2</v>
      </c>
      <c r="J90">
        <v>11945.85</v>
      </c>
      <c r="K90">
        <v>14857</v>
      </c>
    </row>
    <row r="92" spans="1:11" s="1" customFormat="1" x14ac:dyDescent="0.3">
      <c r="A92" s="1" t="s">
        <v>76</v>
      </c>
    </row>
    <row r="93" spans="1:11" x14ac:dyDescent="0.3">
      <c r="A93" s="5" t="s">
        <v>89</v>
      </c>
      <c r="B93" s="31">
        <v>30.22</v>
      </c>
      <c r="C93" s="31">
        <v>30.22</v>
      </c>
      <c r="D93" s="31">
        <v>30.22</v>
      </c>
      <c r="E93" s="31">
        <v>30.22</v>
      </c>
      <c r="F93" s="31">
        <v>30.22</v>
      </c>
      <c r="G93" s="31">
        <v>30.22</v>
      </c>
      <c r="H93" s="31">
        <v>30.22</v>
      </c>
      <c r="I93" s="31">
        <v>30.22</v>
      </c>
      <c r="J93" s="31">
        <v>30.22</v>
      </c>
      <c r="K93" s="31">
        <v>30.22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8622</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6449</v>
      </c>
      <c r="D6" s="48">
        <v>8482</v>
      </c>
      <c r="E6" s="48">
        <v>10282</v>
      </c>
      <c r="F6" s="48">
        <v>11788</v>
      </c>
      <c r="G6" s="48">
        <v>6601</v>
      </c>
      <c r="H6" s="48">
        <v>3496</v>
      </c>
      <c r="I6" s="48">
        <v>8856</v>
      </c>
      <c r="J6" s="48">
        <v>1840</v>
      </c>
      <c r="K6" s="48">
        <v>10815</v>
      </c>
      <c r="L6" s="48">
        <v>16801</v>
      </c>
      <c r="M6" s="48">
        <v>16180</v>
      </c>
      <c r="N6" s="48">
        <v>19100</v>
      </c>
    </row>
    <row r="7" spans="2:28" x14ac:dyDescent="0.3">
      <c r="B7" t="s">
        <v>130</v>
      </c>
      <c r="C7" s="48">
        <v>6779</v>
      </c>
      <c r="D7" s="48">
        <v>8935</v>
      </c>
      <c r="E7" s="48">
        <v>10413</v>
      </c>
      <c r="F7" s="48">
        <v>12036</v>
      </c>
      <c r="G7" s="48">
        <v>11060</v>
      </c>
      <c r="H7" s="48">
        <v>7503</v>
      </c>
      <c r="I7" s="48">
        <v>5531</v>
      </c>
      <c r="J7" s="48">
        <v>5832</v>
      </c>
      <c r="K7" s="48">
        <v>13176</v>
      </c>
      <c r="L7" s="48">
        <v>18676</v>
      </c>
      <c r="M7" s="48">
        <v>20322</v>
      </c>
      <c r="N7" s="48">
        <v>21802</v>
      </c>
    </row>
    <row r="8" spans="2:28" x14ac:dyDescent="0.3">
      <c r="B8" t="s">
        <v>78</v>
      </c>
      <c r="C8">
        <v>345</v>
      </c>
      <c r="D8">
        <v>-204</v>
      </c>
      <c r="E8">
        <v>122</v>
      </c>
      <c r="F8">
        <v>-262</v>
      </c>
      <c r="G8">
        <v>-851</v>
      </c>
      <c r="H8" s="48">
        <v>340</v>
      </c>
      <c r="I8">
        <v>696</v>
      </c>
      <c r="J8">
        <v>-764</v>
      </c>
      <c r="K8">
        <v>-1270</v>
      </c>
      <c r="L8">
        <v>-1316</v>
      </c>
      <c r="M8" s="48">
        <v>-1969</v>
      </c>
      <c r="N8">
        <v>1236</v>
      </c>
    </row>
    <row r="9" spans="2:28" x14ac:dyDescent="0.3">
      <c r="B9" t="s">
        <v>45</v>
      </c>
      <c r="C9">
        <v>-982</v>
      </c>
      <c r="D9">
        <v>-450</v>
      </c>
      <c r="E9">
        <v>-131</v>
      </c>
      <c r="F9">
        <v>104</v>
      </c>
      <c r="G9">
        <v>-162</v>
      </c>
      <c r="H9">
        <v>109</v>
      </c>
      <c r="I9" s="48">
        <v>165</v>
      </c>
      <c r="J9">
        <v>-483</v>
      </c>
      <c r="K9" s="48">
        <v>-1050</v>
      </c>
      <c r="L9" s="48">
        <v>125</v>
      </c>
      <c r="M9" s="48">
        <v>-1595</v>
      </c>
      <c r="N9" s="48">
        <v>-4407</v>
      </c>
    </row>
    <row r="10" spans="2:28" x14ac:dyDescent="0.3">
      <c r="B10" t="s">
        <v>131</v>
      </c>
      <c r="C10">
        <v>712</v>
      </c>
      <c r="D10">
        <v>1789</v>
      </c>
      <c r="E10">
        <v>979</v>
      </c>
      <c r="F10" s="48">
        <v>2128</v>
      </c>
      <c r="G10">
        <v>-858</v>
      </c>
      <c r="H10">
        <v>-2155</v>
      </c>
      <c r="I10" s="48">
        <v>2680</v>
      </c>
      <c r="J10" s="48">
        <v>-396</v>
      </c>
      <c r="K10" s="48">
        <v>2491</v>
      </c>
      <c r="L10">
        <v>3321</v>
      </c>
      <c r="M10" s="48">
        <v>2606</v>
      </c>
      <c r="N10">
        <v>5194</v>
      </c>
    </row>
    <row r="11" spans="2:28" x14ac:dyDescent="0.3">
      <c r="B11" t="s">
        <v>132</v>
      </c>
      <c r="C11">
        <v>745</v>
      </c>
      <c r="D11">
        <v>1460</v>
      </c>
      <c r="E11">
        <v>2192</v>
      </c>
      <c r="F11" s="48">
        <v>2808</v>
      </c>
      <c r="G11">
        <v>-1315</v>
      </c>
      <c r="H11">
        <v>-2570</v>
      </c>
      <c r="I11">
        <v>4336</v>
      </c>
      <c r="J11">
        <v>-2813</v>
      </c>
      <c r="K11">
        <v>-97</v>
      </c>
      <c r="L11" s="48">
        <v>1722</v>
      </c>
      <c r="M11" s="48">
        <v>-335</v>
      </c>
      <c r="N11" s="48">
        <v>1635</v>
      </c>
    </row>
    <row r="12" spans="2:28" x14ac:dyDescent="0.3">
      <c r="B12" t="s">
        <v>133</v>
      </c>
      <c r="C12" s="48">
        <v>-1075</v>
      </c>
      <c r="D12" s="48">
        <v>-1912</v>
      </c>
      <c r="E12" s="48">
        <v>-2323</v>
      </c>
      <c r="F12" s="48">
        <v>-3056</v>
      </c>
      <c r="G12" s="48">
        <v>-3144</v>
      </c>
      <c r="H12" s="48">
        <v>-1438</v>
      </c>
      <c r="I12" s="48">
        <v>-1011</v>
      </c>
      <c r="J12" s="48">
        <v>-1178</v>
      </c>
      <c r="K12" s="48">
        <v>-2265</v>
      </c>
      <c r="L12" s="48">
        <v>-3597</v>
      </c>
      <c r="M12" s="48">
        <v>-3807</v>
      </c>
      <c r="N12" s="48">
        <v>-4337</v>
      </c>
    </row>
    <row r="13" spans="2:28" x14ac:dyDescent="0.3">
      <c r="B13" t="s">
        <v>134</v>
      </c>
      <c r="C13" s="48">
        <v>-4491</v>
      </c>
      <c r="D13" s="48">
        <v>-7230</v>
      </c>
      <c r="E13" s="48">
        <v>-9173</v>
      </c>
      <c r="F13" s="48">
        <v>-8302</v>
      </c>
      <c r="G13" s="48">
        <v>-3540</v>
      </c>
      <c r="H13" s="48">
        <v>-557</v>
      </c>
      <c r="I13" s="48">
        <v>-7291</v>
      </c>
      <c r="J13" s="48">
        <v>-239</v>
      </c>
      <c r="K13" s="48">
        <v>-8820</v>
      </c>
      <c r="L13" s="48">
        <v>-11865</v>
      </c>
      <c r="M13">
        <v>-14500</v>
      </c>
      <c r="N13" s="48">
        <v>-14734</v>
      </c>
    </row>
    <row r="14" spans="2:28" x14ac:dyDescent="0.3">
      <c r="B14" t="s">
        <v>135</v>
      </c>
      <c r="C14" s="48">
        <v>-3058</v>
      </c>
      <c r="D14" s="48">
        <v>-2469</v>
      </c>
      <c r="E14" s="48">
        <v>-3391</v>
      </c>
      <c r="F14" s="48">
        <v>-3912</v>
      </c>
      <c r="G14" s="48">
        <v>-4872</v>
      </c>
      <c r="H14" s="48">
        <v>-3437</v>
      </c>
      <c r="I14" s="48">
        <v>-2370</v>
      </c>
      <c r="J14" s="48">
        <v>-3459</v>
      </c>
      <c r="K14" s="48">
        <v>-8065</v>
      </c>
      <c r="L14" s="48">
        <v>-9200</v>
      </c>
      <c r="M14" s="48">
        <v>-10621</v>
      </c>
      <c r="N14" s="48">
        <v>-10398</v>
      </c>
    </row>
    <row r="15" spans="2:28" x14ac:dyDescent="0.3">
      <c r="B15" t="s">
        <v>136</v>
      </c>
      <c r="C15">
        <v>16</v>
      </c>
      <c r="D15">
        <v>12</v>
      </c>
      <c r="E15">
        <v>16</v>
      </c>
      <c r="F15">
        <v>26</v>
      </c>
      <c r="G15">
        <v>170</v>
      </c>
      <c r="H15">
        <v>37</v>
      </c>
      <c r="I15">
        <v>42</v>
      </c>
      <c r="J15">
        <v>136</v>
      </c>
      <c r="K15">
        <v>109</v>
      </c>
      <c r="L15">
        <v>45</v>
      </c>
      <c r="M15">
        <v>42</v>
      </c>
      <c r="N15">
        <v>52</v>
      </c>
    </row>
    <row r="16" spans="2:28" x14ac:dyDescent="0.3">
      <c r="B16" t="s">
        <v>137</v>
      </c>
      <c r="C16" s="48">
        <v>-17354</v>
      </c>
      <c r="D16" s="48">
        <v>-12044</v>
      </c>
      <c r="E16" s="48">
        <v>-17716</v>
      </c>
      <c r="F16" s="48">
        <v>-47069</v>
      </c>
      <c r="G16" s="48">
        <v>-52957</v>
      </c>
      <c r="H16" s="48">
        <v>-44205</v>
      </c>
      <c r="I16" s="48">
        <v>-44869</v>
      </c>
      <c r="J16" s="48">
        <v>-60525</v>
      </c>
      <c r="K16" s="48">
        <v>-66597</v>
      </c>
      <c r="L16" s="48">
        <v>-65736</v>
      </c>
      <c r="M16" s="48">
        <v>-73882</v>
      </c>
      <c r="N16" s="48">
        <v>-108034</v>
      </c>
    </row>
    <row r="17" spans="2:14" x14ac:dyDescent="0.3">
      <c r="B17" t="s">
        <v>138</v>
      </c>
      <c r="C17" s="48">
        <v>15270</v>
      </c>
      <c r="D17" s="48">
        <v>7378</v>
      </c>
      <c r="E17" s="48">
        <v>11839</v>
      </c>
      <c r="F17" s="48">
        <v>42564</v>
      </c>
      <c r="G17" s="48">
        <v>53986</v>
      </c>
      <c r="H17" s="48">
        <v>46969</v>
      </c>
      <c r="I17" s="48">
        <v>42920</v>
      </c>
      <c r="J17" s="48">
        <v>63579</v>
      </c>
      <c r="K17" s="48">
        <v>61605</v>
      </c>
      <c r="L17" s="48">
        <v>61933</v>
      </c>
      <c r="M17" s="48">
        <v>69795</v>
      </c>
      <c r="N17" s="48">
        <v>101969</v>
      </c>
    </row>
    <row r="18" spans="2:14" x14ac:dyDescent="0.3">
      <c r="B18" t="s">
        <v>139</v>
      </c>
      <c r="C18">
        <v>152</v>
      </c>
      <c r="D18">
        <v>67</v>
      </c>
      <c r="E18">
        <v>36</v>
      </c>
      <c r="F18">
        <v>68</v>
      </c>
      <c r="G18" s="48">
        <v>124</v>
      </c>
      <c r="H18" s="48">
        <v>96</v>
      </c>
      <c r="I18" s="48">
        <v>67</v>
      </c>
      <c r="J18" s="48">
        <v>174</v>
      </c>
      <c r="K18" s="48">
        <v>313</v>
      </c>
      <c r="L18" s="48">
        <v>372</v>
      </c>
      <c r="M18" s="48">
        <v>444</v>
      </c>
      <c r="N18">
        <v>354</v>
      </c>
    </row>
    <row r="19" spans="2:14" x14ac:dyDescent="0.3">
      <c r="B19" t="s">
        <v>140</v>
      </c>
      <c r="C19">
        <v>54</v>
      </c>
      <c r="D19">
        <v>11</v>
      </c>
      <c r="E19">
        <v>13</v>
      </c>
      <c r="F19">
        <v>20</v>
      </c>
      <c r="G19">
        <v>9</v>
      </c>
      <c r="H19">
        <v>4</v>
      </c>
      <c r="I19">
        <v>3</v>
      </c>
      <c r="J19">
        <v>3</v>
      </c>
      <c r="K19">
        <v>6</v>
      </c>
      <c r="L19">
        <v>6</v>
      </c>
      <c r="M19">
        <v>9</v>
      </c>
      <c r="N19">
        <v>11</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0</v>
      </c>
      <c r="L21">
        <v>0</v>
      </c>
      <c r="M21">
        <v>0</v>
      </c>
      <c r="N21">
        <v>0</v>
      </c>
    </row>
    <row r="22" spans="2:14" x14ac:dyDescent="0.3">
      <c r="B22" t="s">
        <v>141</v>
      </c>
      <c r="C22">
        <v>0</v>
      </c>
      <c r="D22">
        <v>0</v>
      </c>
      <c r="E22">
        <v>22</v>
      </c>
      <c r="F22">
        <v>0</v>
      </c>
      <c r="G22">
        <v>0</v>
      </c>
      <c r="H22">
        <v>0</v>
      </c>
      <c r="I22">
        <v>0</v>
      </c>
      <c r="J22">
        <v>0</v>
      </c>
      <c r="K22">
        <v>0</v>
      </c>
      <c r="L22">
        <v>0</v>
      </c>
      <c r="M22">
        <v>0</v>
      </c>
      <c r="N22">
        <v>0</v>
      </c>
    </row>
    <row r="23" spans="2:14" x14ac:dyDescent="0.3">
      <c r="B23" t="s">
        <v>142</v>
      </c>
      <c r="C23" s="48">
        <v>428</v>
      </c>
      <c r="D23" s="48">
        <v>-186</v>
      </c>
      <c r="E23" s="48">
        <v>7</v>
      </c>
      <c r="F23" s="48">
        <v>0</v>
      </c>
      <c r="G23" s="48">
        <v>0</v>
      </c>
      <c r="H23" s="48">
        <v>-5</v>
      </c>
      <c r="I23" s="48">
        <v>-3019</v>
      </c>
      <c r="J23" s="48">
        <v>-1</v>
      </c>
      <c r="K23">
        <v>3808</v>
      </c>
      <c r="L23" s="48">
        <v>795</v>
      </c>
      <c r="M23">
        <v>-269</v>
      </c>
      <c r="N23" s="48">
        <v>1311</v>
      </c>
    </row>
    <row r="24" spans="2:14" x14ac:dyDescent="0.3">
      <c r="B24" t="s">
        <v>143</v>
      </c>
      <c r="C24" s="48">
        <v>-2004</v>
      </c>
      <c r="D24" s="48">
        <v>-1237</v>
      </c>
      <c r="E24" s="48">
        <v>-1129</v>
      </c>
      <c r="F24" s="48">
        <v>-3436</v>
      </c>
      <c r="G24" s="48">
        <v>-2948</v>
      </c>
      <c r="H24" s="48">
        <v>-3104</v>
      </c>
      <c r="I24" s="48">
        <v>-1545</v>
      </c>
      <c r="J24" s="48">
        <v>-1607</v>
      </c>
      <c r="K24" s="48">
        <v>-1214</v>
      </c>
      <c r="L24" s="48">
        <v>-4062</v>
      </c>
      <c r="M24" s="48">
        <v>-4155</v>
      </c>
      <c r="N24" s="48">
        <v>-4484</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92</v>
      </c>
      <c r="D26">
        <v>77</v>
      </c>
      <c r="E26">
        <v>484</v>
      </c>
      <c r="F26">
        <v>10</v>
      </c>
      <c r="G26">
        <v>39</v>
      </c>
      <c r="H26">
        <v>0</v>
      </c>
      <c r="I26">
        <v>380</v>
      </c>
      <c r="J26">
        <v>0</v>
      </c>
      <c r="K26">
        <v>831</v>
      </c>
      <c r="L26">
        <v>0</v>
      </c>
      <c r="M26">
        <v>0</v>
      </c>
      <c r="N26" s="48">
        <v>0</v>
      </c>
    </row>
    <row r="27" spans="2:14" x14ac:dyDescent="0.3">
      <c r="B27" t="s">
        <v>146</v>
      </c>
      <c r="C27">
        <v>-1449</v>
      </c>
      <c r="D27">
        <v>-313</v>
      </c>
      <c r="E27">
        <v>-231</v>
      </c>
      <c r="F27">
        <v>-373</v>
      </c>
      <c r="G27">
        <v>0</v>
      </c>
      <c r="H27">
        <v>-46</v>
      </c>
      <c r="I27">
        <v>0</v>
      </c>
      <c r="J27">
        <v>-110</v>
      </c>
      <c r="K27">
        <v>0</v>
      </c>
      <c r="L27">
        <v>-1183</v>
      </c>
      <c r="M27">
        <v>-33</v>
      </c>
      <c r="N27">
        <v>0</v>
      </c>
    </row>
    <row r="28" spans="2:14" x14ac:dyDescent="0.3">
      <c r="B28" t="s">
        <v>147</v>
      </c>
      <c r="C28">
        <v>-222</v>
      </c>
      <c r="D28">
        <v>-92</v>
      </c>
      <c r="E28">
        <v>-110</v>
      </c>
      <c r="F28">
        <v>-346</v>
      </c>
      <c r="G28">
        <v>-73</v>
      </c>
      <c r="H28">
        <v>-136</v>
      </c>
      <c r="I28">
        <v>-102</v>
      </c>
      <c r="J28">
        <v>-130</v>
      </c>
      <c r="K28">
        <v>-186</v>
      </c>
      <c r="L28">
        <v>-147</v>
      </c>
      <c r="M28">
        <v>-167</v>
      </c>
      <c r="N28">
        <v>-204</v>
      </c>
    </row>
    <row r="29" spans="2:14" x14ac:dyDescent="0.3">
      <c r="B29" t="s">
        <v>148</v>
      </c>
      <c r="C29" s="48">
        <v>-362</v>
      </c>
      <c r="D29" s="48">
        <v>-755</v>
      </c>
      <c r="E29" s="48">
        <v>-1057</v>
      </c>
      <c r="F29" s="48">
        <v>-2266</v>
      </c>
      <c r="G29" s="48">
        <v>-2417</v>
      </c>
      <c r="H29" s="48">
        <v>-2417</v>
      </c>
      <c r="I29" s="48">
        <v>-1812</v>
      </c>
      <c r="J29" s="48">
        <v>-1359</v>
      </c>
      <c r="K29" s="48">
        <v>-1812</v>
      </c>
      <c r="L29" s="48">
        <v>-2719</v>
      </c>
      <c r="M29" s="48">
        <v>-3930</v>
      </c>
      <c r="N29" s="48">
        <v>-4244</v>
      </c>
    </row>
    <row r="30" spans="2:14" x14ac:dyDescent="0.3">
      <c r="B30" t="s">
        <v>149</v>
      </c>
      <c r="C30">
        <v>0</v>
      </c>
      <c r="D30">
        <v>0</v>
      </c>
      <c r="E30">
        <v>0</v>
      </c>
      <c r="F30">
        <v>0</v>
      </c>
      <c r="G30">
        <v>0</v>
      </c>
      <c r="H30">
        <v>-10</v>
      </c>
      <c r="I30">
        <v>-11</v>
      </c>
      <c r="J30">
        <v>-8</v>
      </c>
      <c r="K30">
        <v>-47</v>
      </c>
      <c r="L30">
        <v>-13</v>
      </c>
      <c r="M30">
        <v>-25</v>
      </c>
      <c r="N30">
        <v>-36</v>
      </c>
    </row>
    <row r="31" spans="2:14" x14ac:dyDescent="0.3">
      <c r="B31" t="s">
        <v>150</v>
      </c>
      <c r="C31">
        <v>-62</v>
      </c>
      <c r="D31">
        <v>-154</v>
      </c>
      <c r="E31" s="48">
        <v>-215</v>
      </c>
      <c r="F31" s="48">
        <v>-461</v>
      </c>
      <c r="G31" s="48">
        <v>-497</v>
      </c>
      <c r="H31" s="48">
        <v>-497</v>
      </c>
      <c r="I31">
        <v>0</v>
      </c>
      <c r="J31">
        <v>0</v>
      </c>
      <c r="K31">
        <v>0</v>
      </c>
      <c r="L31">
        <v>0</v>
      </c>
      <c r="M31">
        <v>0</v>
      </c>
      <c r="N31">
        <v>0</v>
      </c>
    </row>
    <row r="32" spans="2:14" x14ac:dyDescent="0.3">
      <c r="B32" t="s">
        <v>35</v>
      </c>
      <c r="C32">
        <v>-45</v>
      </c>
      <c r="D32">
        <v>16</v>
      </c>
      <c r="E32">
        <v>-20</v>
      </c>
      <c r="F32">
        <v>50</v>
      </c>
      <c r="G32">
        <v>113</v>
      </c>
      <c r="H32">
        <v>-165</v>
      </c>
      <c r="I32">
        <v>20</v>
      </c>
      <c r="J32">
        <v>-6</v>
      </c>
      <c r="K32">
        <v>780</v>
      </c>
      <c r="L32">
        <v>874</v>
      </c>
      <c r="M32">
        <v>-2475</v>
      </c>
      <c r="N32">
        <v>-118</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Maruti Suzuki India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79809</v>
      </c>
      <c r="D7" s="106">
        <f>'Data Sheet'!C17</f>
        <v>86068</v>
      </c>
      <c r="E7" s="106">
        <f>'Data Sheet'!D17</f>
        <v>75660</v>
      </c>
      <c r="F7" s="106">
        <f>'Data Sheet'!E17</f>
        <v>70372</v>
      </c>
      <c r="G7" s="106">
        <f>'Data Sheet'!F17</f>
        <v>88330</v>
      </c>
      <c r="H7" s="106">
        <f>'Data Sheet'!G17</f>
        <v>118410</v>
      </c>
      <c r="I7" s="106">
        <f>'Data Sheet'!H17</f>
        <v>141858</v>
      </c>
      <c r="J7" s="106">
        <f>'Data Sheet'!I17</f>
        <v>152913</v>
      </c>
      <c r="K7" s="106">
        <f>'Data Sheet'!J17</f>
        <v>183316</v>
      </c>
      <c r="L7" s="106">
        <f>'Data Sheet'!K17</f>
        <v>197181</v>
      </c>
    </row>
    <row r="8" spans="1:14" x14ac:dyDescent="0.3">
      <c r="B8" t="s">
        <v>22</v>
      </c>
      <c r="C8" s="110" t="s">
        <v>120</v>
      </c>
      <c r="D8" s="111">
        <f>D7/C7-1</f>
        <v>7.8424739064516524E-2</v>
      </c>
      <c r="E8" s="111">
        <f t="shared" ref="E8:L8" si="0">E7/D7-1</f>
        <v>-0.1209276386113306</v>
      </c>
      <c r="F8" s="111">
        <f t="shared" si="0"/>
        <v>-6.9891620407084298E-2</v>
      </c>
      <c r="G8" s="111">
        <f t="shared" si="0"/>
        <v>0.25518672199170123</v>
      </c>
      <c r="H8" s="111">
        <f t="shared" si="0"/>
        <v>0.34054115249632066</v>
      </c>
      <c r="I8" s="111">
        <f t="shared" si="0"/>
        <v>0.19802381555611848</v>
      </c>
      <c r="J8" s="111">
        <f t="shared" si="0"/>
        <v>7.7930042718775017E-2</v>
      </c>
      <c r="K8" s="111">
        <f t="shared" si="0"/>
        <v>0.19882547592421829</v>
      </c>
      <c r="L8" s="111">
        <f t="shared" si="0"/>
        <v>7.5634423618232915E-2</v>
      </c>
    </row>
    <row r="10" spans="1:14" x14ac:dyDescent="0.3">
      <c r="B10" t="s">
        <v>99</v>
      </c>
      <c r="C10" s="106">
        <f>SUM('Data Sheet'!B18,'Data Sheet'!B20:B22)-'Data Sheet'!B19</f>
        <v>59058.659999999996</v>
      </c>
      <c r="D10" s="106">
        <f>SUM('Data Sheet'!C18,'Data Sheet'!C20:C22)-'Data Sheet'!C19</f>
        <v>64551</v>
      </c>
      <c r="E10" s="106">
        <f>SUM('Data Sheet'!D18,'Data Sheet'!D20:D22)-'Data Sheet'!D19</f>
        <v>57501.599999999999</v>
      </c>
      <c r="F10" s="106">
        <f>SUM('Data Sheet'!E18,'Data Sheet'!E20:E22)-'Data Sheet'!E19</f>
        <v>55593.88</v>
      </c>
      <c r="G10" s="106">
        <f>SUM('Data Sheet'!F18,'Data Sheet'!F20:F22)-'Data Sheet'!F19</f>
        <v>72430.600000000006</v>
      </c>
      <c r="H10" s="106">
        <f>SUM('Data Sheet'!G18,'Data Sheet'!G20:G22)-'Data Sheet'!G19</f>
        <v>92359.799999999988</v>
      </c>
      <c r="I10" s="106">
        <f>SUM('Data Sheet'!H18,'Data Sheet'!H20:H22)-'Data Sheet'!H19</f>
        <v>107812.08000000002</v>
      </c>
      <c r="J10" s="106">
        <f>SUM('Data Sheet'!I18,'Data Sheet'!I20:I22)-'Data Sheet'!I19</f>
        <v>117743.01</v>
      </c>
      <c r="K10" s="106">
        <f>SUM('Data Sheet'!J18,'Data Sheet'!J20:J22)-'Data Sheet'!J19</f>
        <v>144819.63999999998</v>
      </c>
      <c r="L10" s="106">
        <f>SUM('Data Sheet'!K18,'Data Sheet'!K20:K22)-'Data Sheet'!K19</f>
        <v>0</v>
      </c>
    </row>
    <row r="11" spans="1:14" x14ac:dyDescent="0.3">
      <c r="B11" t="s">
        <v>98</v>
      </c>
      <c r="C11" s="112">
        <f>C10/C7</f>
        <v>0.74</v>
      </c>
      <c r="D11" s="112">
        <f t="shared" ref="D11:L11" si="1">D10/D7</f>
        <v>0.75</v>
      </c>
      <c r="E11" s="112">
        <f t="shared" si="1"/>
        <v>0.76</v>
      </c>
      <c r="F11" s="112">
        <f t="shared" si="1"/>
        <v>0.78999999999999992</v>
      </c>
      <c r="G11" s="112">
        <f t="shared" si="1"/>
        <v>0.82000000000000006</v>
      </c>
      <c r="H11" s="112">
        <f t="shared" si="1"/>
        <v>0.77999999999999992</v>
      </c>
      <c r="I11" s="112">
        <f t="shared" si="1"/>
        <v>0.76000000000000012</v>
      </c>
      <c r="J11" s="112">
        <f t="shared" si="1"/>
        <v>0.77</v>
      </c>
      <c r="K11" s="112">
        <f t="shared" si="1"/>
        <v>0.78999999999999992</v>
      </c>
      <c r="L11" s="112">
        <f t="shared" si="1"/>
        <v>0</v>
      </c>
    </row>
    <row r="13" spans="1:14" x14ac:dyDescent="0.3">
      <c r="B13" t="s">
        <v>100</v>
      </c>
      <c r="C13" s="106">
        <f>C7-C10</f>
        <v>20750.340000000004</v>
      </c>
      <c r="D13" s="106">
        <f t="shared" ref="D13:L13" si="2">D7-D10</f>
        <v>21517</v>
      </c>
      <c r="E13" s="106">
        <f t="shared" si="2"/>
        <v>18158.400000000001</v>
      </c>
      <c r="F13" s="106">
        <f t="shared" si="2"/>
        <v>14778.120000000003</v>
      </c>
      <c r="G13" s="106">
        <f t="shared" si="2"/>
        <v>15899.399999999994</v>
      </c>
      <c r="H13" s="106">
        <f t="shared" si="2"/>
        <v>26050.200000000012</v>
      </c>
      <c r="I13" s="106">
        <f t="shared" si="2"/>
        <v>34045.919999999984</v>
      </c>
      <c r="J13" s="106">
        <f t="shared" si="2"/>
        <v>35169.990000000005</v>
      </c>
      <c r="K13" s="106">
        <f t="shared" si="2"/>
        <v>38496.360000000015</v>
      </c>
      <c r="L13" s="106">
        <f t="shared" si="2"/>
        <v>197181</v>
      </c>
    </row>
    <row r="14" spans="1:14" x14ac:dyDescent="0.3">
      <c r="B14" t="s">
        <v>101</v>
      </c>
      <c r="C14" s="112">
        <f>C13/C7</f>
        <v>0.26000000000000006</v>
      </c>
      <c r="D14" s="112">
        <f t="shared" ref="D14:L14" si="3">D13/D7</f>
        <v>0.25</v>
      </c>
      <c r="E14" s="112">
        <f t="shared" si="3"/>
        <v>0.24000000000000002</v>
      </c>
      <c r="F14" s="112">
        <f t="shared" si="3"/>
        <v>0.21000000000000005</v>
      </c>
      <c r="G14" s="112">
        <f t="shared" si="3"/>
        <v>0.17999999999999994</v>
      </c>
      <c r="H14" s="112">
        <f t="shared" si="3"/>
        <v>0.22000000000000011</v>
      </c>
      <c r="I14" s="112">
        <f t="shared" si="3"/>
        <v>0.23999999999999988</v>
      </c>
      <c r="J14" s="112">
        <f t="shared" si="3"/>
        <v>0.23000000000000004</v>
      </c>
      <c r="K14" s="112">
        <f t="shared" si="3"/>
        <v>0.21000000000000008</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20750.340000000004</v>
      </c>
      <c r="D19" s="106">
        <f t="shared" ref="D19:L19" si="5">D13-D16</f>
        <v>21517</v>
      </c>
      <c r="E19" s="106">
        <f t="shared" si="5"/>
        <v>18158.400000000001</v>
      </c>
      <c r="F19" s="106">
        <f t="shared" si="5"/>
        <v>14778.120000000003</v>
      </c>
      <c r="G19" s="106">
        <f t="shared" si="5"/>
        <v>15899.399999999994</v>
      </c>
      <c r="H19" s="106">
        <f t="shared" si="5"/>
        <v>26050.200000000012</v>
      </c>
      <c r="I19" s="106">
        <f t="shared" si="5"/>
        <v>34045.919999999984</v>
      </c>
      <c r="J19" s="106">
        <f t="shared" si="5"/>
        <v>35169.990000000005</v>
      </c>
      <c r="K19" s="106">
        <f t="shared" si="5"/>
        <v>38496.360000000015</v>
      </c>
      <c r="L19" s="106">
        <f t="shared" si="5"/>
        <v>197181</v>
      </c>
    </row>
    <row r="20" spans="2:12" x14ac:dyDescent="0.3">
      <c r="B20" t="s">
        <v>104</v>
      </c>
      <c r="C20" s="112">
        <f>C19/C7</f>
        <v>0.26000000000000006</v>
      </c>
      <c r="D20" s="112">
        <f t="shared" ref="D20:L20" si="6">D19/D7</f>
        <v>0.25</v>
      </c>
      <c r="E20" s="112">
        <f t="shared" si="6"/>
        <v>0.24000000000000002</v>
      </c>
      <c r="F20" s="112">
        <f t="shared" si="6"/>
        <v>0.21000000000000005</v>
      </c>
      <c r="G20" s="112">
        <f t="shared" si="6"/>
        <v>0.17999999999999994</v>
      </c>
      <c r="H20" s="112">
        <f t="shared" si="6"/>
        <v>0.22000000000000011</v>
      </c>
      <c r="I20" s="112">
        <f t="shared" si="6"/>
        <v>0.23999999999999988</v>
      </c>
      <c r="J20" s="112">
        <f t="shared" si="6"/>
        <v>0.23000000000000004</v>
      </c>
      <c r="K20" s="112">
        <f t="shared" si="6"/>
        <v>0.21000000000000008</v>
      </c>
      <c r="L20" s="112">
        <f t="shared" si="6"/>
        <v>1</v>
      </c>
    </row>
    <row r="22" spans="2:12" x14ac:dyDescent="0.3">
      <c r="B22" t="s">
        <v>10</v>
      </c>
      <c r="C22" s="106">
        <f>'Data Sheet'!B26</f>
        <v>2760</v>
      </c>
      <c r="D22" s="106">
        <f>'Data Sheet'!C26</f>
        <v>3021</v>
      </c>
      <c r="E22" s="106">
        <f>'Data Sheet'!D26</f>
        <v>3528</v>
      </c>
      <c r="F22" s="106">
        <f>'Data Sheet'!E26</f>
        <v>3034</v>
      </c>
      <c r="G22" s="106">
        <f>'Data Sheet'!F26</f>
        <v>2789</v>
      </c>
      <c r="H22" s="106">
        <f>'Data Sheet'!G26</f>
        <v>4846</v>
      </c>
      <c r="I22" s="106">
        <f>'Data Sheet'!H26</f>
        <v>5256</v>
      </c>
      <c r="J22" s="106">
        <f>'Data Sheet'!I26</f>
        <v>5608</v>
      </c>
      <c r="K22" s="106">
        <f>'Data Sheet'!J26</f>
        <v>6742</v>
      </c>
      <c r="L22" s="106">
        <f>'Data Sheet'!K26</f>
        <v>6966</v>
      </c>
    </row>
    <row r="23" spans="2:12" x14ac:dyDescent="0.3">
      <c r="B23" t="s">
        <v>105</v>
      </c>
      <c r="C23" s="112">
        <f>C22/C7</f>
        <v>3.4582565876029016E-2</v>
      </c>
      <c r="D23" s="112">
        <f t="shared" ref="D23:L23" si="7">D22/D7</f>
        <v>3.5100153367105077E-2</v>
      </c>
      <c r="E23" s="112">
        <f t="shared" si="7"/>
        <v>4.6629659000793022E-2</v>
      </c>
      <c r="F23" s="112">
        <f t="shared" si="7"/>
        <v>4.3113738418689249E-2</v>
      </c>
      <c r="G23" s="112">
        <f t="shared" si="7"/>
        <v>3.1574776406656853E-2</v>
      </c>
      <c r="H23" s="112">
        <f t="shared" si="7"/>
        <v>4.0925597500211131E-2</v>
      </c>
      <c r="I23" s="112">
        <f t="shared" si="7"/>
        <v>3.7051135642684939E-2</v>
      </c>
      <c r="J23" s="112">
        <f t="shared" si="7"/>
        <v>3.6674448869618674E-2</v>
      </c>
      <c r="K23" s="112">
        <f t="shared" si="7"/>
        <v>3.6778022649414127E-2</v>
      </c>
      <c r="L23" s="112">
        <f t="shared" si="7"/>
        <v>3.5327947418868959E-2</v>
      </c>
    </row>
    <row r="25" spans="2:12" x14ac:dyDescent="0.3">
      <c r="B25" t="s">
        <v>106</v>
      </c>
      <c r="C25" s="106">
        <f>C19-C22</f>
        <v>17990.340000000004</v>
      </c>
      <c r="D25" s="106">
        <f t="shared" ref="D25:L25" si="8">D19-D22</f>
        <v>18496</v>
      </c>
      <c r="E25" s="106">
        <f t="shared" si="8"/>
        <v>14630.400000000001</v>
      </c>
      <c r="F25" s="106">
        <f t="shared" si="8"/>
        <v>11744.120000000003</v>
      </c>
      <c r="G25" s="106">
        <f t="shared" si="8"/>
        <v>13110.399999999994</v>
      </c>
      <c r="H25" s="106">
        <f t="shared" si="8"/>
        <v>21204.200000000012</v>
      </c>
      <c r="I25" s="106">
        <f t="shared" si="8"/>
        <v>28789.919999999984</v>
      </c>
      <c r="J25" s="106">
        <f t="shared" si="8"/>
        <v>29561.990000000005</v>
      </c>
      <c r="K25" s="106">
        <f t="shared" si="8"/>
        <v>31754.360000000015</v>
      </c>
      <c r="L25" s="106">
        <f t="shared" si="8"/>
        <v>190215</v>
      </c>
    </row>
    <row r="26" spans="2:12" x14ac:dyDescent="0.3">
      <c r="B26" t="s">
        <v>107</v>
      </c>
      <c r="C26" s="112">
        <f>C25/C7</f>
        <v>0.22541743412397103</v>
      </c>
      <c r="D26" s="112">
        <f t="shared" ref="D26:L26" si="9">D25/D7</f>
        <v>0.21489984663289491</v>
      </c>
      <c r="E26" s="112">
        <f t="shared" si="9"/>
        <v>0.193370340999207</v>
      </c>
      <c r="F26" s="112">
        <f t="shared" si="9"/>
        <v>0.16688626158131079</v>
      </c>
      <c r="G26" s="112">
        <f t="shared" si="9"/>
        <v>0.14842522359334309</v>
      </c>
      <c r="H26" s="112">
        <f t="shared" si="9"/>
        <v>0.17907440249978895</v>
      </c>
      <c r="I26" s="112">
        <f t="shared" si="9"/>
        <v>0.20294886435731493</v>
      </c>
      <c r="J26" s="112">
        <f t="shared" si="9"/>
        <v>0.19332555113038136</v>
      </c>
      <c r="K26" s="112">
        <f t="shared" si="9"/>
        <v>0.17322197735058595</v>
      </c>
      <c r="L26" s="112">
        <f t="shared" si="9"/>
        <v>0.96467205258113109</v>
      </c>
    </row>
    <row r="28" spans="2:12" x14ac:dyDescent="0.3">
      <c r="B28" t="s">
        <v>11</v>
      </c>
      <c r="C28" s="106">
        <f>'Data Sheet'!B27</f>
        <v>346</v>
      </c>
      <c r="D28" s="106">
        <f>'Data Sheet'!C27</f>
        <v>76</v>
      </c>
      <c r="E28" s="106">
        <f>'Data Sheet'!D27</f>
        <v>134</v>
      </c>
      <c r="F28" s="106">
        <f>'Data Sheet'!E27</f>
        <v>102</v>
      </c>
      <c r="G28" s="106">
        <f>'Data Sheet'!F27</f>
        <v>127</v>
      </c>
      <c r="H28" s="106">
        <f>'Data Sheet'!G27</f>
        <v>252</v>
      </c>
      <c r="I28" s="106">
        <f>'Data Sheet'!H27</f>
        <v>194</v>
      </c>
      <c r="J28" s="106">
        <f>'Data Sheet'!I27</f>
        <v>194</v>
      </c>
      <c r="K28" s="106">
        <f>'Data Sheet'!J27</f>
        <v>239</v>
      </c>
      <c r="L28" s="106">
        <f>'Data Sheet'!K27</f>
        <v>255</v>
      </c>
    </row>
    <row r="29" spans="2:12" x14ac:dyDescent="0.3">
      <c r="B29" t="s">
        <v>108</v>
      </c>
      <c r="C29" s="112">
        <f>C28/C7</f>
        <v>4.3353506496761019E-3</v>
      </c>
      <c r="D29" s="112">
        <f t="shared" ref="D29:L29" si="10">D28/D7</f>
        <v>8.8302272621647998E-4</v>
      </c>
      <c r="E29" s="112">
        <f t="shared" si="10"/>
        <v>1.7710811525244515E-3</v>
      </c>
      <c r="F29" s="112">
        <f t="shared" si="10"/>
        <v>1.449440118228841E-3</v>
      </c>
      <c r="G29" s="112">
        <f t="shared" si="10"/>
        <v>1.437790105286992E-3</v>
      </c>
      <c r="H29" s="112">
        <f t="shared" si="10"/>
        <v>2.1281986318723079E-3</v>
      </c>
      <c r="I29" s="112">
        <f t="shared" si="10"/>
        <v>1.3675647478464379E-3</v>
      </c>
      <c r="J29" s="112">
        <f t="shared" si="10"/>
        <v>1.2686952711672651E-3</v>
      </c>
      <c r="K29" s="112">
        <f t="shared" si="10"/>
        <v>1.3037596281830282E-3</v>
      </c>
      <c r="L29" s="112">
        <f t="shared" si="10"/>
        <v>1.2932280493556682E-3</v>
      </c>
    </row>
    <row r="31" spans="2:12" x14ac:dyDescent="0.3">
      <c r="B31" t="s">
        <v>109</v>
      </c>
      <c r="C31" s="106">
        <f>C25-C28</f>
        <v>17644.340000000004</v>
      </c>
      <c r="D31" s="106">
        <f t="shared" ref="D31:L31" si="11">D25-D28</f>
        <v>18420</v>
      </c>
      <c r="E31" s="106">
        <f t="shared" si="11"/>
        <v>14496.400000000001</v>
      </c>
      <c r="F31" s="106">
        <f t="shared" si="11"/>
        <v>11642.120000000003</v>
      </c>
      <c r="G31" s="106">
        <f t="shared" si="11"/>
        <v>12983.399999999994</v>
      </c>
      <c r="H31" s="106">
        <f t="shared" si="11"/>
        <v>20952.200000000012</v>
      </c>
      <c r="I31" s="106">
        <f t="shared" si="11"/>
        <v>28595.919999999984</v>
      </c>
      <c r="J31" s="106">
        <f t="shared" si="11"/>
        <v>29367.990000000005</v>
      </c>
      <c r="K31" s="106">
        <f t="shared" si="11"/>
        <v>31515.360000000015</v>
      </c>
      <c r="L31" s="106">
        <f t="shared" si="11"/>
        <v>189960</v>
      </c>
    </row>
    <row r="32" spans="2:12" x14ac:dyDescent="0.3">
      <c r="B32" t="s">
        <v>110</v>
      </c>
      <c r="C32" s="112">
        <f>C31/C7</f>
        <v>0.22108208347429492</v>
      </c>
      <c r="D32" s="112">
        <f t="shared" ref="D32:L32" si="12">D31/D7</f>
        <v>0.21401682390667845</v>
      </c>
      <c r="E32" s="112">
        <f t="shared" si="12"/>
        <v>0.19159925984668255</v>
      </c>
      <c r="F32" s="112">
        <f t="shared" si="12"/>
        <v>0.16543682146308195</v>
      </c>
      <c r="G32" s="112">
        <f t="shared" si="12"/>
        <v>0.1469874334880561</v>
      </c>
      <c r="H32" s="112">
        <f t="shared" si="12"/>
        <v>0.17694620386791665</v>
      </c>
      <c r="I32" s="112">
        <f t="shared" si="12"/>
        <v>0.2015812996094685</v>
      </c>
      <c r="J32" s="112">
        <f t="shared" si="12"/>
        <v>0.19205685585921409</v>
      </c>
      <c r="K32" s="112">
        <f t="shared" si="12"/>
        <v>0.17191821772240293</v>
      </c>
      <c r="L32" s="112">
        <f t="shared" si="12"/>
        <v>0.96337882453177537</v>
      </c>
    </row>
    <row r="34" spans="2:12" x14ac:dyDescent="0.3">
      <c r="B34" t="s">
        <v>111</v>
      </c>
      <c r="C34" s="107">
        <f>'Data Sheet'!B29</f>
        <v>11167</v>
      </c>
      <c r="D34" s="107">
        <f>'Data Sheet'!C29</f>
        <v>10624</v>
      </c>
      <c r="E34" s="107">
        <f>'Data Sheet'!D29</f>
        <v>7103</v>
      </c>
      <c r="F34" s="107">
        <f>'Data Sheet'!E29</f>
        <v>5321</v>
      </c>
      <c r="G34" s="107">
        <f>'Data Sheet'!F29</f>
        <v>4697</v>
      </c>
      <c r="H34" s="107">
        <f>'Data Sheet'!G29</f>
        <v>10438</v>
      </c>
      <c r="I34" s="107">
        <f>'Data Sheet'!H29</f>
        <v>17424</v>
      </c>
      <c r="J34" s="107">
        <f>'Data Sheet'!I29</f>
        <v>19620</v>
      </c>
      <c r="K34" s="107">
        <f>'Data Sheet'!J29</f>
        <v>19118</v>
      </c>
      <c r="L34" s="107">
        <f>'Data Sheet'!K29</f>
        <v>18616</v>
      </c>
    </row>
    <row r="35" spans="2:12" x14ac:dyDescent="0.3">
      <c r="B35" t="s">
        <v>112</v>
      </c>
      <c r="C35" s="112">
        <f>C34/C31</f>
        <v>0.63289417456249408</v>
      </c>
      <c r="D35" s="112">
        <f t="shared" ref="D35:L35" si="13">D34/D31</f>
        <v>0.57676438653637352</v>
      </c>
      <c r="E35" s="112">
        <f t="shared" si="13"/>
        <v>0.48998372009602381</v>
      </c>
      <c r="F35" s="112">
        <f t="shared" si="13"/>
        <v>0.45704734189305718</v>
      </c>
      <c r="G35" s="112">
        <f t="shared" si="13"/>
        <v>0.3617696443150486</v>
      </c>
      <c r="H35" s="112">
        <f t="shared" si="13"/>
        <v>0.49818157520451284</v>
      </c>
      <c r="I35" s="112">
        <f t="shared" si="13"/>
        <v>0.60931769287366899</v>
      </c>
      <c r="J35" s="112">
        <f t="shared" si="13"/>
        <v>0.66807432173601244</v>
      </c>
      <c r="K35" s="112">
        <f t="shared" si="13"/>
        <v>0.60662483309725768</v>
      </c>
      <c r="L35" s="112">
        <f t="shared" si="13"/>
        <v>9.7999578858707095E-2</v>
      </c>
    </row>
    <row r="37" spans="2:12" x14ac:dyDescent="0.3">
      <c r="B37" t="s">
        <v>123</v>
      </c>
      <c r="C37" s="106">
        <f>C31-C34</f>
        <v>6477.3400000000038</v>
      </c>
      <c r="D37" s="106">
        <f t="shared" ref="D37:L37" si="14">D31-D34</f>
        <v>7796</v>
      </c>
      <c r="E37" s="106">
        <f t="shared" si="14"/>
        <v>7393.4000000000015</v>
      </c>
      <c r="F37" s="106">
        <f t="shared" si="14"/>
        <v>6321.1200000000026</v>
      </c>
      <c r="G37" s="106">
        <f t="shared" si="14"/>
        <v>8286.3999999999942</v>
      </c>
      <c r="H37" s="106">
        <f t="shared" si="14"/>
        <v>10514.200000000012</v>
      </c>
      <c r="I37" s="106">
        <f t="shared" si="14"/>
        <v>11171.919999999984</v>
      </c>
      <c r="J37" s="106">
        <f t="shared" si="14"/>
        <v>9747.9900000000052</v>
      </c>
      <c r="K37" s="106">
        <f t="shared" si="14"/>
        <v>12397.360000000015</v>
      </c>
      <c r="L37" s="106">
        <f t="shared" si="14"/>
        <v>171344</v>
      </c>
    </row>
    <row r="38" spans="2:12" x14ac:dyDescent="0.3">
      <c r="B38" t="s">
        <v>124</v>
      </c>
      <c r="C38" s="112">
        <f>C37/C7</f>
        <v>8.1160520743274622E-2</v>
      </c>
      <c r="D38" s="112">
        <f t="shared" ref="D38:L38" si="15">D37/D7</f>
        <v>9.0579541757679974E-2</v>
      </c>
      <c r="E38" s="112">
        <f t="shared" si="15"/>
        <v>9.7718741739360321E-2</v>
      </c>
      <c r="F38" s="112">
        <f t="shared" si="15"/>
        <v>8.9824361962144078E-2</v>
      </c>
      <c r="G38" s="112">
        <f t="shared" si="15"/>
        <v>9.3811841956300171E-2</v>
      </c>
      <c r="H38" s="112">
        <f t="shared" si="15"/>
        <v>8.8794865298539069E-2</v>
      </c>
      <c r="I38" s="112">
        <f t="shared" si="15"/>
        <v>7.8754247204951319E-2</v>
      </c>
      <c r="J38" s="112">
        <f t="shared" si="15"/>
        <v>6.3748602146318528E-2</v>
      </c>
      <c r="K38" s="112">
        <f t="shared" si="15"/>
        <v>6.7628357590172244E-2</v>
      </c>
      <c r="L38" s="112">
        <f t="shared" si="15"/>
        <v>0.86896810544626513</v>
      </c>
    </row>
    <row r="40" spans="2:12" x14ac:dyDescent="0.3">
      <c r="B40" t="s">
        <v>74</v>
      </c>
      <c r="C40">
        <f>'Data Sheet'!B93</f>
        <v>30.22</v>
      </c>
      <c r="D40">
        <f>'Data Sheet'!C93</f>
        <v>30.22</v>
      </c>
      <c r="E40">
        <f>'Data Sheet'!D93</f>
        <v>30.22</v>
      </c>
      <c r="F40">
        <f>'Data Sheet'!E93</f>
        <v>30.22</v>
      </c>
      <c r="G40">
        <f>'Data Sheet'!F93</f>
        <v>30.22</v>
      </c>
      <c r="H40">
        <f>'Data Sheet'!G93</f>
        <v>30.22</v>
      </c>
      <c r="I40">
        <f>'Data Sheet'!H93</f>
        <v>30.22</v>
      </c>
      <c r="J40">
        <f>'Data Sheet'!I93</f>
        <v>30.22</v>
      </c>
      <c r="K40">
        <f>'Data Sheet'!J93</f>
        <v>30.22</v>
      </c>
      <c r="L40">
        <f>'Data Sheet'!K93</f>
        <v>30.22</v>
      </c>
    </row>
    <row r="42" spans="2:12" x14ac:dyDescent="0.3">
      <c r="B42" t="s">
        <v>113</v>
      </c>
      <c r="C42" s="106">
        <f>C37/C40</f>
        <v>214.33951025810734</v>
      </c>
      <c r="D42" s="106">
        <f t="shared" ref="D42:L42" si="16">D37/D40</f>
        <v>257.97485109199209</v>
      </c>
      <c r="E42" s="106">
        <f t="shared" si="16"/>
        <v>244.6525479814693</v>
      </c>
      <c r="F42" s="106">
        <f t="shared" si="16"/>
        <v>209.17008603573802</v>
      </c>
      <c r="G42" s="106">
        <f t="shared" si="16"/>
        <v>274.20251489080061</v>
      </c>
      <c r="H42" s="106">
        <f t="shared" si="16"/>
        <v>347.92190602250207</v>
      </c>
      <c r="I42" s="106">
        <f t="shared" si="16"/>
        <v>369.68630046326882</v>
      </c>
      <c r="J42" s="106">
        <f t="shared" si="16"/>
        <v>322.56750496360047</v>
      </c>
      <c r="K42" s="106">
        <f t="shared" si="16"/>
        <v>410.2369291859701</v>
      </c>
      <c r="L42" s="106">
        <f t="shared" si="16"/>
        <v>5669.8874917273333</v>
      </c>
    </row>
    <row r="43" spans="2:12" x14ac:dyDescent="0.3">
      <c r="B43" t="s">
        <v>114</v>
      </c>
      <c r="C43" s="111" t="s">
        <v>120</v>
      </c>
      <c r="D43" s="111">
        <f>D42/C42-1</f>
        <v>0.2035804821114835</v>
      </c>
      <c r="E43" s="111">
        <f t="shared" ref="E43:L43" si="17">E42/D42-1</f>
        <v>-5.1641867624422577E-2</v>
      </c>
      <c r="F43" s="111">
        <f t="shared" si="17"/>
        <v>-0.14503205561717192</v>
      </c>
      <c r="G43" s="111">
        <f t="shared" si="17"/>
        <v>0.31090692788619578</v>
      </c>
      <c r="H43" s="111">
        <f t="shared" si="17"/>
        <v>0.26885016412435059</v>
      </c>
      <c r="I43" s="111">
        <f t="shared" si="17"/>
        <v>6.2555401266855437E-2</v>
      </c>
      <c r="J43" s="111">
        <f t="shared" si="17"/>
        <v>-0.12745615793883058</v>
      </c>
      <c r="K43" s="111">
        <f t="shared" si="17"/>
        <v>0.27178628619848899</v>
      </c>
      <c r="L43" s="111">
        <f t="shared" si="17"/>
        <v>12.821007053114517</v>
      </c>
    </row>
    <row r="45" spans="2:12" x14ac:dyDescent="0.3">
      <c r="B45" t="s">
        <v>115</v>
      </c>
      <c r="C45" s="106">
        <f>'Data Sheet'!B31/'Historical FS'!C40</f>
        <v>80.84414295168763</v>
      </c>
      <c r="D45" s="106">
        <f>'Data Sheet'!C31/'Historical FS'!D40</f>
        <v>81.016545334215763</v>
      </c>
      <c r="E45" s="106">
        <f>'Data Sheet'!D31/'Historical FS'!E40</f>
        <v>60.124420913302451</v>
      </c>
      <c r="F45" s="106">
        <f>'Data Sheet'!E31/'Historical FS'!F40</f>
        <v>45.022832561217733</v>
      </c>
      <c r="G45" s="106">
        <f>'Data Sheet'!F31/'Historical FS'!G40</f>
        <v>60.344142951687623</v>
      </c>
      <c r="H45" s="106">
        <f>'Data Sheet'!G31/'Historical FS'!H40</f>
        <v>92.976836532097963</v>
      </c>
      <c r="I45" s="106">
        <f>'Data Sheet'!H31/'Historical FS'!I40</f>
        <v>129.43481138318995</v>
      </c>
      <c r="J45" s="106">
        <f>'Data Sheet'!I31/'Historical FS'!J40</f>
        <v>139.14626075446725</v>
      </c>
      <c r="K45" s="106">
        <f>'Data Sheet'!J31/'Historical FS'!K40</f>
        <v>145.73130377233622</v>
      </c>
      <c r="L45" s="106">
        <f>'Data Sheet'!K31/'Historical FS'!L40</f>
        <v>0</v>
      </c>
    </row>
    <row r="46" spans="2:12" x14ac:dyDescent="0.3">
      <c r="B46" t="s">
        <v>116</v>
      </c>
      <c r="C46" s="112">
        <f>C45/C42</f>
        <v>0.37717797737960318</v>
      </c>
      <c r="D46" s="112">
        <f t="shared" ref="D46:L46" si="18">D45/D42</f>
        <v>0.31404822986146741</v>
      </c>
      <c r="E46" s="112">
        <f t="shared" si="18"/>
        <v>0.24575432142180859</v>
      </c>
      <c r="F46" s="112">
        <f t="shared" si="18"/>
        <v>0.21524508314982144</v>
      </c>
      <c r="G46" s="112">
        <f t="shared" si="18"/>
        <v>0.22007144236339077</v>
      </c>
      <c r="H46" s="112">
        <f t="shared" si="18"/>
        <v>0.26723478724011307</v>
      </c>
      <c r="I46" s="112">
        <f t="shared" si="18"/>
        <v>0.35012065965384698</v>
      </c>
      <c r="J46" s="112">
        <f t="shared" si="18"/>
        <v>0.43137098006871133</v>
      </c>
      <c r="K46" s="112">
        <f t="shared" si="18"/>
        <v>0.35523692140907376</v>
      </c>
      <c r="L46" s="112">
        <f t="shared" si="18"/>
        <v>0</v>
      </c>
    </row>
    <row r="48" spans="2:12" x14ac:dyDescent="0.3">
      <c r="B48" t="s">
        <v>117</v>
      </c>
      <c r="C48" s="36">
        <f>(1-C46)</f>
        <v>0.62282202262039688</v>
      </c>
      <c r="D48" s="36">
        <f t="shared" ref="D48:L48" si="19">(1-D46)</f>
        <v>0.68595177013853259</v>
      </c>
      <c r="E48" s="36">
        <f t="shared" si="19"/>
        <v>0.75424567857819147</v>
      </c>
      <c r="F48" s="36">
        <f t="shared" si="19"/>
        <v>0.78475491685017862</v>
      </c>
      <c r="G48" s="36">
        <f t="shared" si="19"/>
        <v>0.77992855763660929</v>
      </c>
      <c r="H48" s="36">
        <f t="shared" si="19"/>
        <v>0.73276521275988693</v>
      </c>
      <c r="I48" s="36">
        <f t="shared" si="19"/>
        <v>0.64987934034615302</v>
      </c>
      <c r="J48" s="36">
        <f t="shared" si="19"/>
        <v>0.56862901993128867</v>
      </c>
      <c r="K48" s="36">
        <f t="shared" si="19"/>
        <v>0.64476307859092619</v>
      </c>
      <c r="L48" s="36">
        <f t="shared" si="19"/>
        <v>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151</v>
      </c>
      <c r="D51" s="106">
        <f>'Data Sheet'!C57</f>
        <v>151</v>
      </c>
      <c r="E51" s="106">
        <f>'Data Sheet'!D57</f>
        <v>151</v>
      </c>
      <c r="F51" s="106">
        <f>'Data Sheet'!E57</f>
        <v>151</v>
      </c>
      <c r="G51" s="106">
        <f>'Data Sheet'!F57</f>
        <v>151</v>
      </c>
      <c r="H51" s="106">
        <f>'Data Sheet'!G57</f>
        <v>151</v>
      </c>
      <c r="I51" s="106">
        <f>'Data Sheet'!H57</f>
        <v>157</v>
      </c>
      <c r="J51" s="106">
        <f>'Data Sheet'!I57</f>
        <v>157</v>
      </c>
      <c r="K51" s="106">
        <f>'Data Sheet'!J57</f>
        <v>157</v>
      </c>
      <c r="L51" s="106">
        <f>'Data Sheet'!K57</f>
        <v>157</v>
      </c>
    </row>
    <row r="52" spans="2:15" x14ac:dyDescent="0.3">
      <c r="B52" s="33" t="str">
        <f>'Data Sheet'!A58</f>
        <v>Reserves</v>
      </c>
      <c r="C52" s="106">
        <f>'Data Sheet'!B58</f>
        <v>36924</v>
      </c>
      <c r="D52" s="106">
        <f>'Data Sheet'!C58</f>
        <v>42408</v>
      </c>
      <c r="E52" s="106">
        <f>'Data Sheet'!D58</f>
        <v>46941</v>
      </c>
      <c r="F52" s="106">
        <f>'Data Sheet'!E58</f>
        <v>49262</v>
      </c>
      <c r="G52" s="106">
        <f>'Data Sheet'!F58</f>
        <v>52350</v>
      </c>
      <c r="H52" s="106">
        <f>'Data Sheet'!G58</f>
        <v>55182</v>
      </c>
      <c r="I52" s="106">
        <f>'Data Sheet'!H58</f>
        <v>74443</v>
      </c>
      <c r="J52" s="106">
        <f>'Data Sheet'!I58</f>
        <v>85479</v>
      </c>
      <c r="K52" s="106">
        <f>'Data Sheet'!J58</f>
        <v>96083</v>
      </c>
      <c r="L52" s="106">
        <f>'Data Sheet'!K58</f>
        <v>106999</v>
      </c>
    </row>
    <row r="53" spans="2:15" x14ac:dyDescent="0.3">
      <c r="B53" s="33" t="str">
        <f>'Data Sheet'!A59</f>
        <v>Borrowings</v>
      </c>
      <c r="C53" s="106">
        <f>'Data Sheet'!B59</f>
        <v>484</v>
      </c>
      <c r="D53" s="106">
        <f>'Data Sheet'!C59</f>
        <v>121</v>
      </c>
      <c r="E53" s="106">
        <f>'Data Sheet'!D59</f>
        <v>160</v>
      </c>
      <c r="F53" s="106">
        <f>'Data Sheet'!E59</f>
        <v>184</v>
      </c>
      <c r="G53" s="106">
        <f>'Data Sheet'!F59</f>
        <v>541</v>
      </c>
      <c r="H53" s="106">
        <f>'Data Sheet'!G59</f>
        <v>426</v>
      </c>
      <c r="I53" s="106">
        <f>'Data Sheet'!H59</f>
        <v>1248</v>
      </c>
      <c r="J53" s="106">
        <f>'Data Sheet'!I59</f>
        <v>119</v>
      </c>
      <c r="K53" s="106">
        <f>'Data Sheet'!J59</f>
        <v>87</v>
      </c>
      <c r="L53" s="106">
        <f>'Data Sheet'!K59</f>
        <v>102</v>
      </c>
    </row>
    <row r="54" spans="2:15" x14ac:dyDescent="0.3">
      <c r="B54" s="33" t="str">
        <f>'Data Sheet'!A60</f>
        <v>Other Liabilities</v>
      </c>
      <c r="C54" s="106">
        <f>'Data Sheet'!B60</f>
        <v>14402</v>
      </c>
      <c r="D54" s="106">
        <f>'Data Sheet'!C60</f>
        <v>17568</v>
      </c>
      <c r="E54" s="106">
        <f>'Data Sheet'!D60</f>
        <v>16717</v>
      </c>
      <c r="F54" s="106">
        <f>'Data Sheet'!E60</f>
        <v>14031</v>
      </c>
      <c r="G54" s="106">
        <f>'Data Sheet'!F60</f>
        <v>18335</v>
      </c>
      <c r="H54" s="106">
        <f>'Data Sheet'!G60</f>
        <v>18896</v>
      </c>
      <c r="I54" s="106">
        <f>'Data Sheet'!H60</f>
        <v>24258</v>
      </c>
      <c r="J54" s="106">
        <f>'Data Sheet'!I60</f>
        <v>29550</v>
      </c>
      <c r="K54" s="106">
        <f>'Data Sheet'!J60</f>
        <v>34689</v>
      </c>
      <c r="L54" s="106">
        <f>'Data Sheet'!K60</f>
        <v>41622</v>
      </c>
    </row>
    <row r="55" spans="2:15" x14ac:dyDescent="0.3">
      <c r="B55" s="33" t="s">
        <v>95</v>
      </c>
      <c r="C55" s="106">
        <f>SUM(C51:C54)</f>
        <v>51961</v>
      </c>
      <c r="D55" s="106">
        <f t="shared" ref="D55:L55" si="20">SUM(D51:D54)</f>
        <v>60248</v>
      </c>
      <c r="E55" s="106">
        <f t="shared" si="20"/>
        <v>63969</v>
      </c>
      <c r="F55" s="106">
        <f t="shared" si="20"/>
        <v>63628</v>
      </c>
      <c r="G55" s="106">
        <f t="shared" si="20"/>
        <v>71377</v>
      </c>
      <c r="H55" s="106">
        <f t="shared" si="20"/>
        <v>74655</v>
      </c>
      <c r="I55" s="106">
        <f t="shared" si="20"/>
        <v>100106</v>
      </c>
      <c r="J55" s="106">
        <f t="shared" si="20"/>
        <v>115305</v>
      </c>
      <c r="K55" s="106">
        <f t="shared" si="20"/>
        <v>131016</v>
      </c>
      <c r="L55" s="106">
        <f t="shared" si="20"/>
        <v>148880</v>
      </c>
    </row>
    <row r="56" spans="2:15" x14ac:dyDescent="0.3">
      <c r="C56" s="106"/>
      <c r="D56" s="106"/>
      <c r="E56" s="106"/>
      <c r="F56" s="106"/>
      <c r="G56" s="106"/>
      <c r="H56" s="106"/>
      <c r="I56" s="106"/>
      <c r="J56" s="106"/>
      <c r="K56" s="106"/>
      <c r="L56" s="106"/>
    </row>
    <row r="57" spans="2:15" x14ac:dyDescent="0.3">
      <c r="B57" s="33" t="s">
        <v>298</v>
      </c>
      <c r="C57" s="106">
        <f>'Data Sheet'!B62</f>
        <v>13311</v>
      </c>
      <c r="D57" s="106">
        <f>'Data Sheet'!C62</f>
        <v>13389</v>
      </c>
      <c r="E57" s="106">
        <f>'Data Sheet'!D62</f>
        <v>15437</v>
      </c>
      <c r="F57" s="106">
        <f>'Data Sheet'!E62</f>
        <v>15744</v>
      </c>
      <c r="G57" s="106">
        <f>'Data Sheet'!F62</f>
        <v>14989</v>
      </c>
      <c r="H57" s="106">
        <f>'Data Sheet'!G62</f>
        <v>13747</v>
      </c>
      <c r="I57" s="106">
        <f>'Data Sheet'!H62</f>
        <v>27941</v>
      </c>
      <c r="J57" s="106">
        <f>'Data Sheet'!I62</f>
        <v>27865</v>
      </c>
      <c r="K57" s="106">
        <f>'Data Sheet'!J62</f>
        <v>32983</v>
      </c>
      <c r="L57" s="106">
        <f>'Data Sheet'!K62</f>
        <v>34523</v>
      </c>
    </row>
    <row r="58" spans="2:15" x14ac:dyDescent="0.3">
      <c r="B58" s="33" t="str">
        <f>'Data Sheet'!A63</f>
        <v>Capital Work in Progress</v>
      </c>
      <c r="C58" s="106">
        <f>'Data Sheet'!B63</f>
        <v>1252</v>
      </c>
      <c r="D58" s="106">
        <f>'Data Sheet'!C63</f>
        <v>2132</v>
      </c>
      <c r="E58" s="106">
        <f>'Data Sheet'!D63</f>
        <v>1607</v>
      </c>
      <c r="F58" s="106">
        <f>'Data Sheet'!E63</f>
        <v>1415</v>
      </c>
      <c r="G58" s="106">
        <f>'Data Sheet'!F63</f>
        <v>1497</v>
      </c>
      <c r="H58" s="106">
        <f>'Data Sheet'!G63</f>
        <v>2936</v>
      </c>
      <c r="I58" s="106">
        <f>'Data Sheet'!H63</f>
        <v>4143</v>
      </c>
      <c r="J58" s="106">
        <f>'Data Sheet'!I63</f>
        <v>7735</v>
      </c>
      <c r="K58" s="106">
        <f>'Data Sheet'!J63</f>
        <v>7929</v>
      </c>
      <c r="L58" s="106">
        <f>'Data Sheet'!K63</f>
        <v>9838</v>
      </c>
    </row>
    <row r="59" spans="2:15" x14ac:dyDescent="0.3">
      <c r="B59" s="33" t="str">
        <f>'Data Sheet'!A64</f>
        <v>Investments</v>
      </c>
      <c r="C59" s="106">
        <f>'Data Sheet'!B64</f>
        <v>29151</v>
      </c>
      <c r="D59" s="106">
        <f>'Data Sheet'!C64</f>
        <v>36123</v>
      </c>
      <c r="E59" s="106">
        <f>'Data Sheet'!D64</f>
        <v>37504</v>
      </c>
      <c r="F59" s="106">
        <f>'Data Sheet'!E64</f>
        <v>37488</v>
      </c>
      <c r="G59" s="106">
        <f>'Data Sheet'!F64</f>
        <v>42945</v>
      </c>
      <c r="H59" s="106">
        <f>'Data Sheet'!G64</f>
        <v>42035</v>
      </c>
      <c r="I59" s="106">
        <f>'Data Sheet'!H64</f>
        <v>49184</v>
      </c>
      <c r="J59" s="106">
        <f>'Data Sheet'!I64</f>
        <v>57296</v>
      </c>
      <c r="K59" s="106">
        <f>'Data Sheet'!J64</f>
        <v>66265</v>
      </c>
      <c r="L59" s="106">
        <f>'Data Sheet'!K64</f>
        <v>76838</v>
      </c>
    </row>
    <row r="60" spans="2:15" x14ac:dyDescent="0.3">
      <c r="B60" s="33" t="str">
        <f>'Data Sheet'!A65</f>
        <v>Other Assets</v>
      </c>
      <c r="C60" s="106">
        <f>'Data Sheet'!B75</f>
        <v>3756</v>
      </c>
      <c r="D60" s="106">
        <f>'Data Sheet'!C75</f>
        <v>3905</v>
      </c>
      <c r="E60" s="106">
        <f>'Data Sheet'!D75</f>
        <v>3597</v>
      </c>
      <c r="F60" s="106">
        <f>'Data Sheet'!E75</f>
        <v>3759</v>
      </c>
      <c r="G60" s="106">
        <f>'Data Sheet'!F75</f>
        <v>4570</v>
      </c>
      <c r="H60" s="106">
        <f>'Data Sheet'!G75</f>
        <v>7329</v>
      </c>
      <c r="I60" s="106">
        <f>'Data Sheet'!H75</f>
        <v>7360</v>
      </c>
      <c r="J60" s="106">
        <f>'Data Sheet'!I75</f>
        <v>9666</v>
      </c>
      <c r="K60" s="106">
        <f>'Data Sheet'!J75</f>
        <v>9833</v>
      </c>
      <c r="L60" s="106">
        <f>'Data Sheet'!K75</f>
        <v>9437</v>
      </c>
      <c r="M60" s="33">
        <f>'Data Sheet'!L75</f>
        <v>0</v>
      </c>
      <c r="N60" s="33">
        <f>'Data Sheet'!M75</f>
        <v>0</v>
      </c>
      <c r="O60" s="33">
        <f>'Data Sheet'!N75</f>
        <v>0</v>
      </c>
    </row>
    <row r="61" spans="2:15" x14ac:dyDescent="0.3">
      <c r="B61" s="33" t="s">
        <v>125</v>
      </c>
      <c r="C61" s="106">
        <f>SUM(C57:C60)</f>
        <v>47470</v>
      </c>
      <c r="D61" s="106">
        <f>SUM(D57:D60)</f>
        <v>55549</v>
      </c>
      <c r="E61" s="106">
        <f t="shared" ref="E61:L61" si="21">SUM(E57:E60)</f>
        <v>58145</v>
      </c>
      <c r="F61" s="106">
        <f t="shared" si="21"/>
        <v>58406</v>
      </c>
      <c r="G61" s="106">
        <f t="shared" si="21"/>
        <v>64001</v>
      </c>
      <c r="H61" s="106">
        <f t="shared" si="21"/>
        <v>66047</v>
      </c>
      <c r="I61" s="106">
        <f t="shared" si="21"/>
        <v>88628</v>
      </c>
      <c r="J61" s="106">
        <f t="shared" si="21"/>
        <v>102562</v>
      </c>
      <c r="K61" s="106">
        <f t="shared" si="21"/>
        <v>117010</v>
      </c>
      <c r="L61" s="106">
        <f t="shared" si="21"/>
        <v>130636</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1203</v>
      </c>
      <c r="D63" s="106">
        <f>'Data Sheet'!C67</f>
        <v>1465</v>
      </c>
      <c r="E63" s="106">
        <f>'Data Sheet'!D67</f>
        <v>2313</v>
      </c>
      <c r="F63" s="106">
        <f>'Data Sheet'!E67</f>
        <v>1978</v>
      </c>
      <c r="G63" s="106">
        <f>'Data Sheet'!F67</f>
        <v>1280</v>
      </c>
      <c r="H63" s="106">
        <f>'Data Sheet'!G67</f>
        <v>2034</v>
      </c>
      <c r="I63" s="106">
        <f>'Data Sheet'!H67</f>
        <v>3285</v>
      </c>
      <c r="J63" s="106">
        <f>'Data Sheet'!I67</f>
        <v>4597</v>
      </c>
      <c r="K63" s="106">
        <f>'Data Sheet'!J67</f>
        <v>6540</v>
      </c>
      <c r="L63" s="106">
        <f>'Data Sheet'!K67</f>
        <v>5342</v>
      </c>
    </row>
    <row r="64" spans="2:15" x14ac:dyDescent="0.3">
      <c r="B64" s="33" t="str">
        <f>'Data Sheet'!A68</f>
        <v>Inventory</v>
      </c>
      <c r="C64" s="106">
        <f>'Data Sheet'!B68</f>
        <v>3264</v>
      </c>
      <c r="D64" s="106">
        <f>'Data Sheet'!C68</f>
        <v>3160</v>
      </c>
      <c r="E64" s="106">
        <f>'Data Sheet'!D68</f>
        <v>3323</v>
      </c>
      <c r="F64" s="106">
        <f>'Data Sheet'!E68</f>
        <v>3214</v>
      </c>
      <c r="G64" s="106">
        <f>'Data Sheet'!F68</f>
        <v>3049</v>
      </c>
      <c r="H64" s="106">
        <f>'Data Sheet'!G68</f>
        <v>3532</v>
      </c>
      <c r="I64" s="106">
        <f>'Data Sheet'!H68</f>
        <v>5444</v>
      </c>
      <c r="J64" s="106">
        <f>'Data Sheet'!I68</f>
        <v>5318</v>
      </c>
      <c r="K64" s="106">
        <f>'Data Sheet'!J68</f>
        <v>6913</v>
      </c>
      <c r="L64" s="106">
        <f>'Data Sheet'!K68</f>
        <v>11321</v>
      </c>
    </row>
    <row r="65" spans="2:13" x14ac:dyDescent="0.3">
      <c r="B65" s="33" t="str">
        <f>'Data Sheet'!A69</f>
        <v>Cash &amp; Bank</v>
      </c>
      <c r="C65" s="106">
        <f>'Data Sheet'!B69</f>
        <v>24</v>
      </c>
      <c r="D65" s="106">
        <f>'Data Sheet'!C69</f>
        <v>74</v>
      </c>
      <c r="E65" s="106">
        <f>'Data Sheet'!D69</f>
        <v>188</v>
      </c>
      <c r="F65" s="106">
        <f>'Data Sheet'!E69</f>
        <v>29</v>
      </c>
      <c r="G65" s="106">
        <f>'Data Sheet'!F69</f>
        <v>3047</v>
      </c>
      <c r="H65" s="106">
        <f>'Data Sheet'!G69</f>
        <v>3042</v>
      </c>
      <c r="I65" s="106">
        <f>'Data Sheet'!H69</f>
        <v>2748</v>
      </c>
      <c r="J65" s="106">
        <f>'Data Sheet'!I69</f>
        <v>2827</v>
      </c>
      <c r="K65" s="106">
        <f>'Data Sheet'!J69</f>
        <v>553</v>
      </c>
      <c r="L65" s="106">
        <f>'Data Sheet'!K69</f>
        <v>1580</v>
      </c>
    </row>
    <row r="66" spans="2:13" x14ac:dyDescent="0.3">
      <c r="B66" s="33" t="s">
        <v>126</v>
      </c>
      <c r="C66" s="106">
        <f>SUM(C63:C65)</f>
        <v>4491</v>
      </c>
      <c r="D66" s="106">
        <f t="shared" ref="D66:L66" si="22">SUM(D63:D65)</f>
        <v>4699</v>
      </c>
      <c r="E66" s="106">
        <f t="shared" si="22"/>
        <v>5824</v>
      </c>
      <c r="F66" s="106">
        <f t="shared" si="22"/>
        <v>5221</v>
      </c>
      <c r="G66" s="106">
        <f t="shared" si="22"/>
        <v>7376</v>
      </c>
      <c r="H66" s="106">
        <f t="shared" si="22"/>
        <v>8608</v>
      </c>
      <c r="I66" s="106">
        <f t="shared" si="22"/>
        <v>11477</v>
      </c>
      <c r="J66" s="106">
        <f t="shared" si="22"/>
        <v>12742</v>
      </c>
      <c r="K66" s="106">
        <f t="shared" si="22"/>
        <v>14006</v>
      </c>
      <c r="L66" s="106">
        <f t="shared" si="22"/>
        <v>18243</v>
      </c>
    </row>
    <row r="67" spans="2:13" x14ac:dyDescent="0.3">
      <c r="B67" s="33"/>
      <c r="C67" s="106"/>
      <c r="D67" s="106"/>
      <c r="E67" s="106"/>
      <c r="F67" s="106"/>
      <c r="G67" s="106"/>
      <c r="H67" s="106"/>
      <c r="I67" s="106"/>
      <c r="J67" s="106"/>
      <c r="K67" s="106"/>
      <c r="L67" s="106"/>
    </row>
    <row r="68" spans="2:13" x14ac:dyDescent="0.3">
      <c r="B68" t="s">
        <v>96</v>
      </c>
      <c r="C68" s="106">
        <f>C61+C66</f>
        <v>51961</v>
      </c>
      <c r="D68" s="106">
        <f t="shared" ref="D68:L68" si="23">D61+D66</f>
        <v>60248</v>
      </c>
      <c r="E68" s="106">
        <f t="shared" si="23"/>
        <v>63969</v>
      </c>
      <c r="F68" s="106">
        <f t="shared" si="23"/>
        <v>63627</v>
      </c>
      <c r="G68" s="106">
        <f t="shared" si="23"/>
        <v>71377</v>
      </c>
      <c r="H68" s="106">
        <f t="shared" si="23"/>
        <v>74655</v>
      </c>
      <c r="I68" s="106">
        <f t="shared" si="23"/>
        <v>100105</v>
      </c>
      <c r="J68" s="106">
        <f t="shared" si="23"/>
        <v>115304</v>
      </c>
      <c r="K68" s="106">
        <f t="shared" si="23"/>
        <v>131016</v>
      </c>
      <c r="L68" s="106">
        <f t="shared" si="23"/>
        <v>148879</v>
      </c>
    </row>
    <row r="70" spans="2:13" x14ac:dyDescent="0.3">
      <c r="B70" t="s">
        <v>127</v>
      </c>
      <c r="C70" t="b">
        <f>C68=C55</f>
        <v>1</v>
      </c>
      <c r="D70" t="b">
        <f t="shared" ref="D70:L70" si="24">D68=D55</f>
        <v>1</v>
      </c>
      <c r="E70" t="b">
        <f t="shared" si="24"/>
        <v>1</v>
      </c>
      <c r="F70" t="b">
        <f t="shared" si="24"/>
        <v>0</v>
      </c>
      <c r="G70" t="b">
        <f t="shared" si="24"/>
        <v>1</v>
      </c>
      <c r="H70" t="b">
        <f t="shared" si="24"/>
        <v>1</v>
      </c>
      <c r="I70" t="b">
        <f t="shared" si="24"/>
        <v>0</v>
      </c>
      <c r="J70" t="b">
        <f t="shared" si="24"/>
        <v>0</v>
      </c>
      <c r="K70" t="b">
        <f t="shared" si="24"/>
        <v>1</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10413</v>
      </c>
      <c r="D74" s="106">
        <f>'Cash Flow Statement'!F7</f>
        <v>12036</v>
      </c>
      <c r="E74" s="106">
        <f>'Cash Flow Statement'!G7</f>
        <v>11060</v>
      </c>
      <c r="F74" s="106">
        <f>'Cash Flow Statement'!H7</f>
        <v>7503</v>
      </c>
      <c r="G74" s="106">
        <f>'Cash Flow Statement'!I7</f>
        <v>5531</v>
      </c>
      <c r="H74" s="106">
        <f>'Cash Flow Statement'!J7</f>
        <v>5832</v>
      </c>
      <c r="I74" s="106">
        <f>'Cash Flow Statement'!K7</f>
        <v>13176</v>
      </c>
      <c r="J74" s="106">
        <f>'Cash Flow Statement'!L7</f>
        <v>18676</v>
      </c>
      <c r="K74" s="106">
        <f>'Cash Flow Statement'!M7</f>
        <v>20322</v>
      </c>
      <c r="L74" s="106">
        <f>'Cash Flow Statement'!N7</f>
        <v>21802</v>
      </c>
    </row>
    <row r="75" spans="2:13" x14ac:dyDescent="0.3">
      <c r="B75" t="str">
        <f>'Cash Flow Statement'!B8</f>
        <v>Receivables</v>
      </c>
      <c r="C75" s="106">
        <f>'Cash Flow Statement'!E8</f>
        <v>122</v>
      </c>
      <c r="D75" s="106">
        <f>'Cash Flow Statement'!F8</f>
        <v>-262</v>
      </c>
      <c r="E75" s="106">
        <f>'Cash Flow Statement'!G8</f>
        <v>-851</v>
      </c>
      <c r="F75" s="106">
        <f>'Cash Flow Statement'!H8</f>
        <v>340</v>
      </c>
      <c r="G75" s="106">
        <f>'Cash Flow Statement'!I8</f>
        <v>696</v>
      </c>
      <c r="H75" s="106">
        <f>'Cash Flow Statement'!J8</f>
        <v>-764</v>
      </c>
      <c r="I75" s="106">
        <f>'Cash Flow Statement'!K8</f>
        <v>-1270</v>
      </c>
      <c r="J75" s="106">
        <f>'Cash Flow Statement'!L8</f>
        <v>-1316</v>
      </c>
      <c r="K75" s="106">
        <f>'Cash Flow Statement'!M8</f>
        <v>-1969</v>
      </c>
      <c r="L75" s="106">
        <f>'Cash Flow Statement'!N8</f>
        <v>1236</v>
      </c>
    </row>
    <row r="76" spans="2:13" x14ac:dyDescent="0.3">
      <c r="B76" t="str">
        <f>'Cash Flow Statement'!B9</f>
        <v>Inventory</v>
      </c>
      <c r="C76" s="106">
        <f>'Cash Flow Statement'!E9</f>
        <v>-131</v>
      </c>
      <c r="D76" s="106">
        <f>'Cash Flow Statement'!F9</f>
        <v>104</v>
      </c>
      <c r="E76" s="106">
        <f>'Cash Flow Statement'!G9</f>
        <v>-162</v>
      </c>
      <c r="F76" s="106">
        <f>'Cash Flow Statement'!H9</f>
        <v>109</v>
      </c>
      <c r="G76" s="106">
        <f>'Cash Flow Statement'!I9</f>
        <v>165</v>
      </c>
      <c r="H76" s="106">
        <f>'Cash Flow Statement'!J9</f>
        <v>-483</v>
      </c>
      <c r="I76" s="106">
        <f>'Cash Flow Statement'!K9</f>
        <v>-1050</v>
      </c>
      <c r="J76" s="106">
        <f>'Cash Flow Statement'!L9</f>
        <v>125</v>
      </c>
      <c r="K76" s="106">
        <f>'Cash Flow Statement'!M9</f>
        <v>-1595</v>
      </c>
      <c r="L76" s="106">
        <f>'Cash Flow Statement'!N9</f>
        <v>-4407</v>
      </c>
    </row>
    <row r="77" spans="2:13" x14ac:dyDescent="0.3">
      <c r="B77" t="str">
        <f>'Cash Flow Statement'!B10</f>
        <v>Payables</v>
      </c>
      <c r="C77" s="106">
        <f>'Cash Flow Statement'!E10</f>
        <v>979</v>
      </c>
      <c r="D77" s="106">
        <f>'Cash Flow Statement'!F10</f>
        <v>2128</v>
      </c>
      <c r="E77" s="106">
        <f>'Cash Flow Statement'!G10</f>
        <v>-858</v>
      </c>
      <c r="F77" s="106">
        <f>'Cash Flow Statement'!H10</f>
        <v>-2155</v>
      </c>
      <c r="G77" s="106">
        <f>'Cash Flow Statement'!I10</f>
        <v>2680</v>
      </c>
      <c r="H77" s="106">
        <f>'Cash Flow Statement'!J10</f>
        <v>-396</v>
      </c>
      <c r="I77" s="106">
        <f>'Cash Flow Statement'!K10</f>
        <v>2491</v>
      </c>
      <c r="J77" s="106">
        <f>'Cash Flow Statement'!L10</f>
        <v>3321</v>
      </c>
      <c r="K77" s="106">
        <f>'Cash Flow Statement'!M10</f>
        <v>2606</v>
      </c>
      <c r="L77" s="106">
        <f>'Cash Flow Statement'!N10</f>
        <v>5194</v>
      </c>
    </row>
    <row r="78" spans="2:13" x14ac:dyDescent="0.3">
      <c r="B78" t="str">
        <f>'Cash Flow Statement'!B11</f>
        <v>Working capital changes</v>
      </c>
      <c r="C78" s="106">
        <f>'Cash Flow Statement'!E11</f>
        <v>2192</v>
      </c>
      <c r="D78" s="106">
        <f>'Cash Flow Statement'!F11</f>
        <v>2808</v>
      </c>
      <c r="E78" s="106">
        <f>'Cash Flow Statement'!G11</f>
        <v>-1315</v>
      </c>
      <c r="F78" s="106">
        <f>'Cash Flow Statement'!H11</f>
        <v>-2570</v>
      </c>
      <c r="G78" s="106">
        <f>'Cash Flow Statement'!I11</f>
        <v>4336</v>
      </c>
      <c r="H78" s="106">
        <f>'Cash Flow Statement'!J11</f>
        <v>-2813</v>
      </c>
      <c r="I78" s="106">
        <f>'Cash Flow Statement'!K11</f>
        <v>-97</v>
      </c>
      <c r="J78" s="106">
        <f>'Cash Flow Statement'!L11</f>
        <v>1722</v>
      </c>
      <c r="K78" s="106">
        <f>'Cash Flow Statement'!M11</f>
        <v>-335</v>
      </c>
      <c r="L78" s="106">
        <f>'Cash Flow Statement'!N11</f>
        <v>1635</v>
      </c>
    </row>
    <row r="79" spans="2:13" x14ac:dyDescent="0.3">
      <c r="B79" t="str">
        <f>'Cash Flow Statement'!B12</f>
        <v>Direct taxes</v>
      </c>
      <c r="C79" s="106">
        <f>'Cash Flow Statement'!E12</f>
        <v>-2323</v>
      </c>
      <c r="D79" s="106">
        <f>'Cash Flow Statement'!F12</f>
        <v>-3056</v>
      </c>
      <c r="E79" s="106">
        <f>'Cash Flow Statement'!G12</f>
        <v>-3144</v>
      </c>
      <c r="F79" s="106">
        <f>'Cash Flow Statement'!H12</f>
        <v>-1438</v>
      </c>
      <c r="G79" s="106">
        <f>'Cash Flow Statement'!I12</f>
        <v>-1011</v>
      </c>
      <c r="H79" s="106">
        <f>'Cash Flow Statement'!J12</f>
        <v>-1178</v>
      </c>
      <c r="I79" s="106">
        <f>'Cash Flow Statement'!K12</f>
        <v>-2265</v>
      </c>
      <c r="J79" s="106">
        <f>'Cash Flow Statement'!L12</f>
        <v>-3597</v>
      </c>
      <c r="K79" s="106">
        <f>'Cash Flow Statement'!M12</f>
        <v>-3807</v>
      </c>
      <c r="L79" s="106">
        <f>'Cash Flow Statement'!N12</f>
        <v>-4337</v>
      </c>
    </row>
    <row r="80" spans="2:13" x14ac:dyDescent="0.3">
      <c r="B80" t="s">
        <v>152</v>
      </c>
      <c r="C80" s="106">
        <f t="shared" ref="C80:L80" si="25">SUM(C74:C79)</f>
        <v>11252</v>
      </c>
      <c r="D80" s="106">
        <f t="shared" si="25"/>
        <v>13758</v>
      </c>
      <c r="E80" s="106">
        <f t="shared" si="25"/>
        <v>4730</v>
      </c>
      <c r="F80" s="106">
        <f>SUM(F74:F79)</f>
        <v>1789</v>
      </c>
      <c r="G80" s="106">
        <f t="shared" si="25"/>
        <v>12397</v>
      </c>
      <c r="H80" s="106">
        <f t="shared" si="25"/>
        <v>198</v>
      </c>
      <c r="I80" s="106">
        <f t="shared" si="25"/>
        <v>10985</v>
      </c>
      <c r="J80" s="106">
        <f t="shared" si="25"/>
        <v>18931</v>
      </c>
      <c r="K80" s="106">
        <f t="shared" si="25"/>
        <v>15222</v>
      </c>
      <c r="L80" s="106">
        <f t="shared" si="25"/>
        <v>21123</v>
      </c>
    </row>
    <row r="82" spans="2:12" x14ac:dyDescent="0.3">
      <c r="B82" t="s">
        <v>153</v>
      </c>
    </row>
    <row r="83" spans="2:12" x14ac:dyDescent="0.3">
      <c r="B83" t="str">
        <f>'Cash Flow Statement'!B14</f>
        <v>Fixed assets purchased</v>
      </c>
      <c r="C83" s="106">
        <f>'Cash Flow Statement'!E14</f>
        <v>-3391</v>
      </c>
      <c r="D83" s="106">
        <f>'Cash Flow Statement'!F14</f>
        <v>-3912</v>
      </c>
      <c r="E83" s="106">
        <f>'Cash Flow Statement'!G14</f>
        <v>-4872</v>
      </c>
      <c r="F83" s="106">
        <f>'Cash Flow Statement'!H14</f>
        <v>-3437</v>
      </c>
      <c r="G83" s="106">
        <f>'Cash Flow Statement'!I14</f>
        <v>-2370</v>
      </c>
      <c r="H83" s="106">
        <f>'Cash Flow Statement'!J14</f>
        <v>-3459</v>
      </c>
      <c r="I83" s="106">
        <f>'Cash Flow Statement'!K14</f>
        <v>-8065</v>
      </c>
      <c r="J83" s="106">
        <f>'Cash Flow Statement'!L14</f>
        <v>-9200</v>
      </c>
      <c r="K83" s="106">
        <f>'Cash Flow Statement'!M14</f>
        <v>-10621</v>
      </c>
      <c r="L83" s="106">
        <f>'Cash Flow Statement'!N14</f>
        <v>-10398</v>
      </c>
    </row>
    <row r="84" spans="2:12" x14ac:dyDescent="0.3">
      <c r="B84" t="str">
        <f>'Cash Flow Statement'!B15</f>
        <v>Fixed assets sold</v>
      </c>
      <c r="C84" s="106">
        <f>'Cash Flow Statement'!E15</f>
        <v>16</v>
      </c>
      <c r="D84" s="106">
        <f>'Cash Flow Statement'!F15</f>
        <v>26</v>
      </c>
      <c r="E84" s="106">
        <f>'Cash Flow Statement'!G15</f>
        <v>170</v>
      </c>
      <c r="F84" s="106">
        <f>'Cash Flow Statement'!H15</f>
        <v>37</v>
      </c>
      <c r="G84" s="106">
        <f>'Cash Flow Statement'!I15</f>
        <v>42</v>
      </c>
      <c r="H84" s="106">
        <f>'Cash Flow Statement'!J15</f>
        <v>136</v>
      </c>
      <c r="I84" s="106">
        <f>'Cash Flow Statement'!K15</f>
        <v>109</v>
      </c>
      <c r="J84" s="106">
        <f>'Cash Flow Statement'!L15</f>
        <v>45</v>
      </c>
      <c r="K84" s="106">
        <f>'Cash Flow Statement'!M15</f>
        <v>42</v>
      </c>
      <c r="L84" s="106">
        <f>'Cash Flow Statement'!N15</f>
        <v>52</v>
      </c>
    </row>
    <row r="85" spans="2:12" x14ac:dyDescent="0.3">
      <c r="B85" t="str">
        <f>'Cash Flow Statement'!B16</f>
        <v>Investments purchased</v>
      </c>
      <c r="C85" s="106">
        <f>'Cash Flow Statement'!E16</f>
        <v>-17716</v>
      </c>
      <c r="D85" s="106">
        <f>'Cash Flow Statement'!F16</f>
        <v>-47069</v>
      </c>
      <c r="E85" s="106">
        <f>'Cash Flow Statement'!G16</f>
        <v>-52957</v>
      </c>
      <c r="F85" s="106">
        <f>'Cash Flow Statement'!H16</f>
        <v>-44205</v>
      </c>
      <c r="G85" s="106">
        <f>'Cash Flow Statement'!I16</f>
        <v>-44869</v>
      </c>
      <c r="H85" s="106">
        <f>'Cash Flow Statement'!J16</f>
        <v>-60525</v>
      </c>
      <c r="I85" s="106">
        <f>'Cash Flow Statement'!K16</f>
        <v>-66597</v>
      </c>
      <c r="J85" s="106">
        <f>'Cash Flow Statement'!L16</f>
        <v>-65736</v>
      </c>
      <c r="K85" s="106">
        <f>'Cash Flow Statement'!M16</f>
        <v>-73882</v>
      </c>
      <c r="L85" s="106">
        <f>'Cash Flow Statement'!N16</f>
        <v>-108034</v>
      </c>
    </row>
    <row r="86" spans="2:12" x14ac:dyDescent="0.3">
      <c r="B86" t="str">
        <f>'Cash Flow Statement'!B17</f>
        <v>Investments sold</v>
      </c>
      <c r="C86" s="106">
        <f>'Cash Flow Statement'!E17</f>
        <v>11839</v>
      </c>
      <c r="D86" s="106">
        <f>'Cash Flow Statement'!F17</f>
        <v>42564</v>
      </c>
      <c r="E86" s="106">
        <f>'Cash Flow Statement'!G17</f>
        <v>53986</v>
      </c>
      <c r="F86" s="106">
        <f>'Cash Flow Statement'!H17</f>
        <v>46969</v>
      </c>
      <c r="G86" s="106">
        <f>'Cash Flow Statement'!I17</f>
        <v>42920</v>
      </c>
      <c r="H86" s="106">
        <f>'Cash Flow Statement'!J17</f>
        <v>63579</v>
      </c>
      <c r="I86" s="106">
        <f>'Cash Flow Statement'!K17</f>
        <v>61605</v>
      </c>
      <c r="J86" s="106">
        <f>'Cash Flow Statement'!L17</f>
        <v>61933</v>
      </c>
      <c r="K86" s="106">
        <f>'Cash Flow Statement'!M17</f>
        <v>69795</v>
      </c>
      <c r="L86" s="106">
        <f>'Cash Flow Statement'!N17</f>
        <v>101969</v>
      </c>
    </row>
    <row r="87" spans="2:12" x14ac:dyDescent="0.3">
      <c r="B87" t="str">
        <f>'Cash Flow Statement'!B18</f>
        <v>Interest received</v>
      </c>
      <c r="C87" s="106">
        <f>'Cash Flow Statement'!E18</f>
        <v>36</v>
      </c>
      <c r="D87" s="106">
        <f>'Cash Flow Statement'!F18</f>
        <v>68</v>
      </c>
      <c r="E87" s="106">
        <f>'Cash Flow Statement'!G18</f>
        <v>124</v>
      </c>
      <c r="F87" s="106">
        <f>'Cash Flow Statement'!H18</f>
        <v>96</v>
      </c>
      <c r="G87" s="106">
        <f>'Cash Flow Statement'!I18</f>
        <v>67</v>
      </c>
      <c r="H87" s="106">
        <f>'Cash Flow Statement'!J18</f>
        <v>174</v>
      </c>
      <c r="I87" s="106">
        <f>'Cash Flow Statement'!K18</f>
        <v>313</v>
      </c>
      <c r="J87" s="106">
        <f>'Cash Flow Statement'!L18</f>
        <v>372</v>
      </c>
      <c r="K87" s="106">
        <f>'Cash Flow Statement'!M18</f>
        <v>444</v>
      </c>
      <c r="L87" s="106">
        <f>'Cash Flow Statement'!N18</f>
        <v>354</v>
      </c>
    </row>
    <row r="88" spans="2:12" x14ac:dyDescent="0.3">
      <c r="B88" t="str">
        <f>'Cash Flow Statement'!B19</f>
        <v>Dividends received</v>
      </c>
      <c r="C88" s="106">
        <f>'Cash Flow Statement'!E19</f>
        <v>13</v>
      </c>
      <c r="D88" s="106">
        <f>'Cash Flow Statement'!F19</f>
        <v>20</v>
      </c>
      <c r="E88" s="106">
        <f>'Cash Flow Statement'!G19</f>
        <v>9</v>
      </c>
      <c r="F88" s="106">
        <f>'Cash Flow Statement'!H19</f>
        <v>4</v>
      </c>
      <c r="G88" s="106">
        <f>'Cash Flow Statement'!I19</f>
        <v>3</v>
      </c>
      <c r="H88" s="106">
        <f>'Cash Flow Statement'!J19</f>
        <v>3</v>
      </c>
      <c r="I88" s="106">
        <f>'Cash Flow Statement'!K19</f>
        <v>6</v>
      </c>
      <c r="J88" s="106">
        <f>'Cash Flow Statement'!L19</f>
        <v>6</v>
      </c>
      <c r="K88" s="106">
        <f>'Cash Flow Statement'!M19</f>
        <v>9</v>
      </c>
      <c r="L88" s="106">
        <f>'Cash Flow Statement'!N19</f>
        <v>11</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22</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7</v>
      </c>
      <c r="D92" s="106">
        <f>'Cash Flow Statement'!F23</f>
        <v>0</v>
      </c>
      <c r="E92" s="106">
        <f>'Cash Flow Statement'!G23</f>
        <v>0</v>
      </c>
      <c r="F92" s="106">
        <f>'Cash Flow Statement'!H23</f>
        <v>-5</v>
      </c>
      <c r="G92" s="106">
        <f>'Cash Flow Statement'!I23</f>
        <v>-3019</v>
      </c>
      <c r="H92" s="106">
        <f>'Cash Flow Statement'!J23</f>
        <v>-1</v>
      </c>
      <c r="I92" s="106">
        <f>'Cash Flow Statement'!K23</f>
        <v>3808</v>
      </c>
      <c r="J92" s="106">
        <f>'Cash Flow Statement'!L23</f>
        <v>795</v>
      </c>
      <c r="K92" s="106">
        <f>'Cash Flow Statement'!M23</f>
        <v>-269</v>
      </c>
      <c r="L92" s="106">
        <f>'Cash Flow Statement'!N23</f>
        <v>1311</v>
      </c>
    </row>
    <row r="93" spans="2:12" x14ac:dyDescent="0.3">
      <c r="B93" t="s">
        <v>154</v>
      </c>
      <c r="C93" s="106">
        <f>SUM(C83:C92)</f>
        <v>-9174</v>
      </c>
      <c r="D93" s="106">
        <f t="shared" ref="D93:K93" si="26">SUM(D83:D92)</f>
        <v>-8303</v>
      </c>
      <c r="E93" s="106">
        <f t="shared" si="26"/>
        <v>-3540</v>
      </c>
      <c r="F93" s="106">
        <f t="shared" si="26"/>
        <v>-541</v>
      </c>
      <c r="G93" s="106">
        <f t="shared" si="26"/>
        <v>-7226</v>
      </c>
      <c r="H93" s="106">
        <f t="shared" si="26"/>
        <v>-93</v>
      </c>
      <c r="I93" s="106">
        <f t="shared" si="26"/>
        <v>-8821</v>
      </c>
      <c r="J93" s="106">
        <f t="shared" si="26"/>
        <v>-11785</v>
      </c>
      <c r="K93" s="106">
        <f t="shared" si="26"/>
        <v>-14482</v>
      </c>
      <c r="L93" s="106">
        <f>SUM(L83:L92)</f>
        <v>-14735</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484</v>
      </c>
      <c r="D97" s="106">
        <f>'Cash Flow Statement'!F26</f>
        <v>10</v>
      </c>
      <c r="E97" s="106">
        <f>'Cash Flow Statement'!G26</f>
        <v>39</v>
      </c>
      <c r="F97" s="106">
        <f>'Cash Flow Statement'!H26</f>
        <v>0</v>
      </c>
      <c r="G97" s="106">
        <f>'Cash Flow Statement'!I26</f>
        <v>380</v>
      </c>
      <c r="H97" s="106">
        <f>'Cash Flow Statement'!J26</f>
        <v>0</v>
      </c>
      <c r="I97" s="106">
        <f>'Cash Flow Statement'!K26</f>
        <v>831</v>
      </c>
      <c r="J97" s="106">
        <f>'Cash Flow Statement'!L26</f>
        <v>0</v>
      </c>
      <c r="K97" s="106">
        <f>'Cash Flow Statement'!M26</f>
        <v>0</v>
      </c>
      <c r="L97" s="106">
        <f>'Cash Flow Statement'!N26</f>
        <v>0</v>
      </c>
    </row>
    <row r="98" spans="2:12" x14ac:dyDescent="0.3">
      <c r="B98" t="str">
        <f>'Cash Flow Statement'!B27</f>
        <v>Repayment of borrowings</v>
      </c>
      <c r="C98" s="106">
        <f>'Cash Flow Statement'!E27</f>
        <v>-231</v>
      </c>
      <c r="D98" s="106">
        <f>'Cash Flow Statement'!F27</f>
        <v>-373</v>
      </c>
      <c r="E98" s="106">
        <f>'Cash Flow Statement'!G27</f>
        <v>0</v>
      </c>
      <c r="F98" s="106">
        <f>'Cash Flow Statement'!H27</f>
        <v>-46</v>
      </c>
      <c r="G98" s="106">
        <f>'Cash Flow Statement'!I27</f>
        <v>0</v>
      </c>
      <c r="H98" s="106">
        <f>'Cash Flow Statement'!J27</f>
        <v>-110</v>
      </c>
      <c r="I98" s="106">
        <f>'Cash Flow Statement'!K27</f>
        <v>0</v>
      </c>
      <c r="J98" s="106">
        <f>'Cash Flow Statement'!L27</f>
        <v>-1183</v>
      </c>
      <c r="K98" s="106">
        <f>'Cash Flow Statement'!M27</f>
        <v>-33</v>
      </c>
      <c r="L98" s="106">
        <f>'Cash Flow Statement'!N27</f>
        <v>0</v>
      </c>
    </row>
    <row r="99" spans="2:12" x14ac:dyDescent="0.3">
      <c r="B99" t="str">
        <f>'Cash Flow Statement'!B28</f>
        <v>Interest paid fin</v>
      </c>
      <c r="C99" s="106">
        <f>'Cash Flow Statement'!E28</f>
        <v>-110</v>
      </c>
      <c r="D99" s="106">
        <f>'Cash Flow Statement'!F28</f>
        <v>-346</v>
      </c>
      <c r="E99" s="106">
        <f>'Cash Flow Statement'!G28</f>
        <v>-73</v>
      </c>
      <c r="F99" s="106">
        <f>'Cash Flow Statement'!H28</f>
        <v>-136</v>
      </c>
      <c r="G99" s="106">
        <f>'Cash Flow Statement'!I28</f>
        <v>-102</v>
      </c>
      <c r="H99" s="106">
        <f>'Cash Flow Statement'!J28</f>
        <v>-130</v>
      </c>
      <c r="I99" s="106">
        <f>'Cash Flow Statement'!K28</f>
        <v>-186</v>
      </c>
      <c r="J99" s="106">
        <f>'Cash Flow Statement'!L28</f>
        <v>-147</v>
      </c>
      <c r="K99" s="106">
        <f>'Cash Flow Statement'!M28</f>
        <v>-167</v>
      </c>
      <c r="L99" s="106">
        <f>'Cash Flow Statement'!N28</f>
        <v>-204</v>
      </c>
    </row>
    <row r="100" spans="2:12" x14ac:dyDescent="0.3">
      <c r="B100" t="str">
        <f>'Cash Flow Statement'!B29</f>
        <v>Dividends paid</v>
      </c>
      <c r="C100" s="106">
        <f>'Cash Flow Statement'!E29</f>
        <v>-1057</v>
      </c>
      <c r="D100" s="106">
        <f>'Cash Flow Statement'!F29</f>
        <v>-2266</v>
      </c>
      <c r="E100" s="106">
        <f>'Cash Flow Statement'!G29</f>
        <v>-2417</v>
      </c>
      <c r="F100" s="106">
        <f>'Cash Flow Statement'!H29</f>
        <v>-2417</v>
      </c>
      <c r="G100" s="106">
        <f>'Cash Flow Statement'!I29</f>
        <v>-1812</v>
      </c>
      <c r="H100" s="106">
        <f>'Cash Flow Statement'!J29</f>
        <v>-1359</v>
      </c>
      <c r="I100" s="106">
        <f>'Cash Flow Statement'!K29</f>
        <v>-1812</v>
      </c>
      <c r="J100" s="106">
        <f>'Cash Flow Statement'!L29</f>
        <v>-2719</v>
      </c>
      <c r="K100" s="106">
        <f>'Cash Flow Statement'!M29</f>
        <v>-3930</v>
      </c>
      <c r="L100" s="106">
        <f>'Cash Flow Statement'!N29</f>
        <v>-4244</v>
      </c>
    </row>
    <row r="101" spans="2:12" x14ac:dyDescent="0.3">
      <c r="B101" t="str">
        <f>'Cash Flow Statement'!B30</f>
        <v>Financial liabilities</v>
      </c>
      <c r="C101" s="106">
        <f>'Cash Flow Statement'!E30</f>
        <v>0</v>
      </c>
      <c r="D101" s="106">
        <f>'Cash Flow Statement'!F30</f>
        <v>0</v>
      </c>
      <c r="E101" s="106">
        <f>'Cash Flow Statement'!G30</f>
        <v>0</v>
      </c>
      <c r="F101" s="106">
        <f>'Cash Flow Statement'!H30</f>
        <v>-10</v>
      </c>
      <c r="G101" s="106">
        <f>'Cash Flow Statement'!I30</f>
        <v>-11</v>
      </c>
      <c r="H101" s="106">
        <f>'Cash Flow Statement'!J30</f>
        <v>-8</v>
      </c>
      <c r="I101" s="106">
        <f>'Cash Flow Statement'!K30</f>
        <v>-47</v>
      </c>
      <c r="J101" s="106">
        <f>'Cash Flow Statement'!L30</f>
        <v>-13</v>
      </c>
      <c r="K101" s="106">
        <f>'Cash Flow Statement'!M30</f>
        <v>-25</v>
      </c>
      <c r="L101" s="106">
        <f>'Cash Flow Statement'!N30</f>
        <v>-36</v>
      </c>
    </row>
    <row r="102" spans="2:12" x14ac:dyDescent="0.3">
      <c r="B102" t="str">
        <f>'Cash Flow Statement'!B31</f>
        <v>Other financing items</v>
      </c>
      <c r="C102" s="106">
        <f>'Cash Flow Statement'!E31</f>
        <v>-215</v>
      </c>
      <c r="D102" s="106">
        <f>'Cash Flow Statement'!F31</f>
        <v>-461</v>
      </c>
      <c r="E102" s="106">
        <f>'Cash Flow Statement'!G31</f>
        <v>-497</v>
      </c>
      <c r="F102" s="106">
        <f>'Cash Flow Statement'!H31</f>
        <v>-497</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-1129</v>
      </c>
      <c r="D103" s="106">
        <f t="shared" ref="D103:L103" si="27">SUM(D96:D102)</f>
        <v>-3436</v>
      </c>
      <c r="E103" s="106">
        <f t="shared" si="27"/>
        <v>-2948</v>
      </c>
      <c r="F103" s="106">
        <f t="shared" si="27"/>
        <v>-3106</v>
      </c>
      <c r="G103" s="106">
        <f t="shared" si="27"/>
        <v>-1545</v>
      </c>
      <c r="H103" s="106">
        <f t="shared" si="27"/>
        <v>-1607</v>
      </c>
      <c r="I103" s="106">
        <f t="shared" si="27"/>
        <v>-1214</v>
      </c>
      <c r="J103" s="106">
        <f t="shared" si="27"/>
        <v>-4062</v>
      </c>
      <c r="K103" s="106">
        <f t="shared" si="27"/>
        <v>-4155</v>
      </c>
      <c r="L103" s="106">
        <f t="shared" si="27"/>
        <v>-4484</v>
      </c>
    </row>
    <row r="105" spans="2:12" x14ac:dyDescent="0.3">
      <c r="B105" t="s">
        <v>35</v>
      </c>
      <c r="C105" s="106">
        <f>C80+C93+C103</f>
        <v>949</v>
      </c>
      <c r="D105" s="106">
        <f t="shared" ref="D105:L105" si="28">D80+D93+D103</f>
        <v>2019</v>
      </c>
      <c r="E105" s="106">
        <f t="shared" si="28"/>
        <v>-1758</v>
      </c>
      <c r="F105" s="106">
        <f t="shared" si="28"/>
        <v>-1858</v>
      </c>
      <c r="G105" s="106">
        <f t="shared" si="28"/>
        <v>3626</v>
      </c>
      <c r="H105" s="106">
        <f t="shared" si="28"/>
        <v>-1502</v>
      </c>
      <c r="I105" s="106">
        <f t="shared" si="28"/>
        <v>950</v>
      </c>
      <c r="J105" s="106">
        <f t="shared" si="28"/>
        <v>3084</v>
      </c>
      <c r="K105" s="106">
        <f t="shared" si="28"/>
        <v>-3415</v>
      </c>
      <c r="L105" s="106">
        <f t="shared" si="28"/>
        <v>1904</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Maruti Suzuki India Ltd</v>
      </c>
      <c r="C2" s="161"/>
      <c r="D2" s="161"/>
      <c r="E2" s="161"/>
      <c r="F2" s="161"/>
      <c r="G2" s="161"/>
      <c r="H2" s="161"/>
      <c r="I2" s="161"/>
      <c r="J2" s="161"/>
      <c r="K2" s="161"/>
      <c r="L2" s="161"/>
      <c r="M2" s="41"/>
      <c r="N2" s="32"/>
      <c r="O2" s="32"/>
    </row>
    <row r="3" spans="2:15" x14ac:dyDescent="0.3">
      <c r="B3" s="32" t="s">
        <v>8603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7.8424739064516524E-2</v>
      </c>
      <c r="E5" s="36">
        <f>IFERROR('Historical FS'!E8,0)</f>
        <v>-0.1209276386113306</v>
      </c>
      <c r="F5" s="36">
        <f>IFERROR('Historical FS'!F8,0)</f>
        <v>-6.9891620407084298E-2</v>
      </c>
      <c r="G5" s="36">
        <f>IFERROR('Historical FS'!G8,0)</f>
        <v>0.25518672199170123</v>
      </c>
      <c r="H5" s="36">
        <f>IFERROR('Historical FS'!H8,0)</f>
        <v>0.34054115249632066</v>
      </c>
      <c r="I5" s="36">
        <f>IFERROR('Historical FS'!I8,0)</f>
        <v>0.19802381555611848</v>
      </c>
      <c r="J5" s="36">
        <f>IFERROR('Historical FS'!J8,0)</f>
        <v>7.7930042718775017E-2</v>
      </c>
      <c r="K5" s="36">
        <f>IFERROR('Historical FS'!K8,0)</f>
        <v>0.19882547592421829</v>
      </c>
      <c r="L5" s="36">
        <f>IFERROR('Historical FS'!L8,0)</f>
        <v>7.5634423618232915E-2</v>
      </c>
      <c r="N5" s="46">
        <f>IFERROR(AVERAGE(D5:L5),0)</f>
        <v>0.11486079026127423</v>
      </c>
      <c r="O5" s="46">
        <f>IFERROR(MEDIAN(D5:L5),0)</f>
        <v>7.8424739064516524E-2</v>
      </c>
    </row>
    <row r="6" spans="2:15" x14ac:dyDescent="0.3">
      <c r="B6" t="s">
        <v>166</v>
      </c>
      <c r="C6" s="36"/>
      <c r="D6" s="36">
        <f>IFERROR(('Historical FS'!D19/'Historical FS'!C19-1),0)</f>
        <v>3.6946864485111863E-2</v>
      </c>
      <c r="E6" s="36">
        <f>IFERROR(('Historical FS'!E19/'Historical FS'!D19-1),0)</f>
        <v>-0.15609053306687726</v>
      </c>
      <c r="F6" s="36">
        <f>IFERROR(('Historical FS'!F19/'Historical FS'!E19-1),0)</f>
        <v>-0.18615516785619868</v>
      </c>
      <c r="G6" s="36">
        <f>IFERROR(('Historical FS'!G19/'Historical FS'!F19-1),0)</f>
        <v>7.5874333135743433E-2</v>
      </c>
      <c r="H6" s="36">
        <f>IFERROR(('Historical FS'!H19/'Historical FS'!G19-1),0)</f>
        <v>0.63843918638439323</v>
      </c>
      <c r="I6" s="36">
        <f>IFERROR(('Historical FS'!I19/'Historical FS'!H19-1),0)</f>
        <v>0.3069350715157646</v>
      </c>
      <c r="J6" s="36">
        <f>IFERROR(('Historical FS'!J19/'Historical FS'!I19-1),0)</f>
        <v>3.3016290938826742E-2</v>
      </c>
      <c r="K6" s="36">
        <f>IFERROR(('Historical FS'!K19/'Historical FS'!J19-1),0)</f>
        <v>9.4579782365590948E-2</v>
      </c>
      <c r="L6" s="36">
        <f>IFERROR(('Historical FS'!L19/'Historical FS'!K19-1),0)</f>
        <v>4.1220686838963454</v>
      </c>
      <c r="N6" s="46">
        <f>IFERROR(AVERAGE(D6:L6),0)</f>
        <v>0.55173494575541104</v>
      </c>
      <c r="O6" s="46">
        <f>IFERROR(MEDIAN(D6:L6),0)</f>
        <v>7.5874333135743433E-2</v>
      </c>
    </row>
    <row r="7" spans="2:15" x14ac:dyDescent="0.3">
      <c r="B7" t="s">
        <v>165</v>
      </c>
      <c r="C7" s="36"/>
      <c r="D7" s="36">
        <f>IFERROR(('Historical FS'!D25/'Historical FS'!C25-1),0)</f>
        <v>2.8107306476697902E-2</v>
      </c>
      <c r="E7" s="36">
        <f>IFERROR(('Historical FS'!E25/'Historical FS'!D25-1),0)</f>
        <v>-0.20899653979238741</v>
      </c>
      <c r="F7" s="36">
        <f>IFERROR(('Historical FS'!F25/'Historical FS'!E25-1),0)</f>
        <v>-0.19727963692038486</v>
      </c>
      <c r="G7" s="36">
        <f>IFERROR(('Historical FS'!G25/'Historical FS'!F25-1),0)</f>
        <v>0.11633736712499454</v>
      </c>
      <c r="H7" s="36">
        <f>IFERROR(('Historical FS'!H25/'Historical FS'!G25-1),0)</f>
        <v>0.61735721259458298</v>
      </c>
      <c r="I7" s="36">
        <f>IFERROR(('Historical FS'!I25/'Historical FS'!H25-1),0)</f>
        <v>0.35774610690334785</v>
      </c>
      <c r="J7" s="36">
        <f>IFERROR(('Historical FS'!J25/'Historical FS'!I25-1),0)</f>
        <v>2.6817372191378919E-2</v>
      </c>
      <c r="K7" s="36">
        <f>IFERROR(('Historical FS'!K25/'Historical FS'!J25-1),0)</f>
        <v>7.416178680799268E-2</v>
      </c>
      <c r="L7" s="36">
        <f>IFERROR(('Historical FS'!L25/'Historical FS'!K25-1),0)</f>
        <v>4.9902010306616136</v>
      </c>
      <c r="N7" s="46">
        <f>IFERROR(AVERAGE(D7:L7),0)</f>
        <v>0.64493911178309293</v>
      </c>
      <c r="O7" s="46">
        <f>IFERROR(MEDIAN(D7:L7),0)</f>
        <v>7.416178680799268E-2</v>
      </c>
    </row>
    <row r="8" spans="2:15" x14ac:dyDescent="0.3">
      <c r="B8" t="s">
        <v>189</v>
      </c>
      <c r="C8" s="36"/>
      <c r="D8" s="36">
        <f>IFERROR(('Historical FS'!D37/'Historical FS'!C37-1),0)</f>
        <v>0.20358048211148327</v>
      </c>
      <c r="E8" s="36">
        <f>IFERROR(('Historical FS'!E37/'Historical FS'!D37-1),0)</f>
        <v>-5.1641867624422577E-2</v>
      </c>
      <c r="F8" s="36">
        <f>IFERROR(('Historical FS'!F37/'Historical FS'!E37-1),0)</f>
        <v>-0.14503205561717192</v>
      </c>
      <c r="G8" s="36">
        <f>IFERROR(('Historical FS'!G37/'Historical FS'!F37-1),0)</f>
        <v>0.31090692788619601</v>
      </c>
      <c r="H8" s="36">
        <f>IFERROR(('Historical FS'!H37/'Historical FS'!G37-1),0)</f>
        <v>0.26885016412435059</v>
      </c>
      <c r="I8" s="36">
        <f>IFERROR(('Historical FS'!I37/'Historical FS'!H37-1),0)</f>
        <v>6.2555401266855437E-2</v>
      </c>
      <c r="J8" s="36">
        <f>IFERROR(('Historical FS'!J37/'Historical FS'!I37-1),0)</f>
        <v>-0.12745615793883058</v>
      </c>
      <c r="K8" s="36">
        <f>IFERROR(('Historical FS'!K37/'Historical FS'!J37-1),0)</f>
        <v>0.27178628619848899</v>
      </c>
      <c r="L8" s="36">
        <f>IFERROR(('Historical FS'!L37/'Historical FS'!K37-1),0)</f>
        <v>12.821007053114517</v>
      </c>
      <c r="N8" s="46">
        <f>IFERROR(AVERAGE(D8:L8),0)</f>
        <v>1.512728470391274</v>
      </c>
      <c r="O8" s="46">
        <f>IFERROR(MEDIAN(D8:L8),0)</f>
        <v>0.20358048211148327</v>
      </c>
    </row>
    <row r="9" spans="2:15" x14ac:dyDescent="0.3">
      <c r="B9" t="s">
        <v>164</v>
      </c>
      <c r="C9" s="36"/>
      <c r="D9" s="36">
        <f>IFERROR(('Historical FS'!D45/'Historical FS'!C45-1),0)</f>
        <v>2.1325278026778083E-3</v>
      </c>
      <c r="E9" s="36">
        <f>IFERROR(('Historical FS'!E45/'Historical FS'!D45-1),0)</f>
        <v>-0.25787478760946292</v>
      </c>
      <c r="F9" s="36">
        <f>IFERROR(('Historical FS'!F45/'Historical FS'!E45-1),0)</f>
        <v>-0.25117228777738654</v>
      </c>
      <c r="G9" s="36">
        <f>IFERROR(('Historical FS'!G45/'Historical FS'!F45-1),0)</f>
        <v>0.3403008988747529</v>
      </c>
      <c r="H9" s="36">
        <f>IFERROR(('Historical FS'!H45/'Historical FS'!G45-1),0)</f>
        <v>0.54077648607150719</v>
      </c>
      <c r="I9" s="36">
        <f>IFERROR(('Historical FS'!I45/'Historical FS'!H45-1),0)</f>
        <v>0.39211889983486126</v>
      </c>
      <c r="J9" s="36">
        <f>IFERROR(('Historical FS'!J45/'Historical FS'!I45-1),0)</f>
        <v>7.5029655990510147E-2</v>
      </c>
      <c r="K9" s="36">
        <f>IFERROR(('Historical FS'!K45/'Historical FS'!J45-1),0)</f>
        <v>4.7324613555291384E-2</v>
      </c>
      <c r="L9" s="36">
        <f>IFERROR(('Historical FS'!L45/'Historical FS'!K45-1),0)</f>
        <v>-1</v>
      </c>
      <c r="N9" s="46">
        <f>IFERROR(AVERAGE(D9:L9),0)</f>
        <v>-1.2373777028583197E-2</v>
      </c>
      <c r="O9" s="46">
        <f>IFERROR(MEDIAN(D9:L9),0)</f>
        <v>4.7324613555291384E-2</v>
      </c>
    </row>
    <row r="11" spans="2:15" x14ac:dyDescent="0.3">
      <c r="B11" t="s">
        <v>157</v>
      </c>
      <c r="C11" s="36">
        <f>IFERROR('Historical FS'!C14,0)</f>
        <v>0.26000000000000006</v>
      </c>
      <c r="D11" s="36">
        <f>IFERROR('Historical FS'!D14,0)</f>
        <v>0.25</v>
      </c>
      <c r="E11" s="36">
        <f>IFERROR('Historical FS'!E14,0)</f>
        <v>0.24000000000000002</v>
      </c>
      <c r="F11" s="36">
        <f>IFERROR('Historical FS'!F14,0)</f>
        <v>0.21000000000000005</v>
      </c>
      <c r="G11" s="36">
        <f>IFERROR('Historical FS'!G14,0)</f>
        <v>0.17999999999999994</v>
      </c>
      <c r="H11" s="36">
        <f>IFERROR('Historical FS'!H14,0)</f>
        <v>0.22000000000000011</v>
      </c>
      <c r="I11" s="36">
        <f>IFERROR('Historical FS'!I14,0)</f>
        <v>0.23999999999999988</v>
      </c>
      <c r="J11" s="36">
        <f>IFERROR('Historical FS'!J14,0)</f>
        <v>0.23000000000000004</v>
      </c>
      <c r="K11" s="36">
        <f>IFERROR('Historical FS'!K14,0)</f>
        <v>0.21000000000000008</v>
      </c>
      <c r="L11" s="36">
        <f>IFERROR('Historical FS'!L14,0)</f>
        <v>1</v>
      </c>
      <c r="N11" s="46">
        <f>IFERROR(AVERAGE(C11:L11),0)</f>
        <v>0.30399999999999999</v>
      </c>
      <c r="O11" s="46">
        <f>IFERROR(MEDIAN(C11:L11),0)</f>
        <v>0.23499999999999996</v>
      </c>
    </row>
    <row r="12" spans="2:15" x14ac:dyDescent="0.3">
      <c r="B12" t="s">
        <v>161</v>
      </c>
      <c r="C12" s="36">
        <f>IFERROR('Historical FS'!C20,0)</f>
        <v>0.26000000000000006</v>
      </c>
      <c r="D12" s="36">
        <f>IFERROR('Historical FS'!D20,0)</f>
        <v>0.25</v>
      </c>
      <c r="E12" s="36">
        <f>IFERROR('Historical FS'!E20,0)</f>
        <v>0.24000000000000002</v>
      </c>
      <c r="F12" s="36">
        <f>IFERROR('Historical FS'!F20,0)</f>
        <v>0.21000000000000005</v>
      </c>
      <c r="G12" s="36">
        <f>IFERROR('Historical FS'!G20,0)</f>
        <v>0.17999999999999994</v>
      </c>
      <c r="H12" s="36">
        <f>IFERROR('Historical FS'!H20,0)</f>
        <v>0.22000000000000011</v>
      </c>
      <c r="I12" s="36">
        <f>IFERROR('Historical FS'!I20,0)</f>
        <v>0.23999999999999988</v>
      </c>
      <c r="J12" s="36">
        <f>IFERROR('Historical FS'!J20,0)</f>
        <v>0.23000000000000004</v>
      </c>
      <c r="K12" s="36">
        <f>IFERROR('Historical FS'!K20,0)</f>
        <v>0.21000000000000008</v>
      </c>
      <c r="L12" s="36">
        <f>IFERROR('Historical FS'!L20,0)</f>
        <v>1</v>
      </c>
      <c r="N12" s="46">
        <f>IFERROR(AVERAGE(C12:L12),0)</f>
        <v>0.30399999999999999</v>
      </c>
      <c r="O12" s="46">
        <f>IFERROR(MEDIAN(C12:L12),0)</f>
        <v>0.23499999999999996</v>
      </c>
    </row>
    <row r="13" spans="2:15" x14ac:dyDescent="0.3">
      <c r="B13" t="s">
        <v>162</v>
      </c>
      <c r="C13" s="36">
        <f>IFERROR('Historical FS'!C26,0)</f>
        <v>0.22541743412397103</v>
      </c>
      <c r="D13" s="36">
        <f>IFERROR('Historical FS'!D26,0)</f>
        <v>0.21489984663289491</v>
      </c>
      <c r="E13" s="36">
        <f>IFERROR('Historical FS'!E26,0)</f>
        <v>0.193370340999207</v>
      </c>
      <c r="F13" s="36">
        <f>IFERROR('Historical FS'!F26,0)</f>
        <v>0.16688626158131079</v>
      </c>
      <c r="G13" s="36">
        <f>IFERROR('Historical FS'!G26,0)</f>
        <v>0.14842522359334309</v>
      </c>
      <c r="H13" s="36">
        <f>IFERROR('Historical FS'!H26,0)</f>
        <v>0.17907440249978895</v>
      </c>
      <c r="I13" s="36">
        <f>IFERROR('Historical FS'!I26,0)</f>
        <v>0.20294886435731493</v>
      </c>
      <c r="J13" s="36">
        <f>IFERROR('Historical FS'!J26,0)</f>
        <v>0.19332555113038136</v>
      </c>
      <c r="K13" s="36">
        <f>IFERROR('Historical FS'!K26,0)</f>
        <v>0.17322197735058595</v>
      </c>
      <c r="L13" s="36">
        <f>IFERROR('Historical FS'!L26,0)</f>
        <v>0.96467205258113109</v>
      </c>
      <c r="N13" s="46">
        <f>IFERROR(AVERAGE(C13:L13),0)</f>
        <v>0.26622419548499293</v>
      </c>
      <c r="O13" s="46">
        <f>IFERROR(MEDIAN(C13:L13),0)</f>
        <v>0.19334794606479416</v>
      </c>
    </row>
    <row r="14" spans="2:15" x14ac:dyDescent="0.3">
      <c r="B14" t="s">
        <v>167</v>
      </c>
      <c r="C14" s="36">
        <f>IFERROR('Historical FS'!C32,0)</f>
        <v>0.22108208347429492</v>
      </c>
      <c r="D14" s="36">
        <f>IFERROR('Historical FS'!D32,0)</f>
        <v>0.21401682390667845</v>
      </c>
      <c r="E14" s="36">
        <f>IFERROR('Historical FS'!E32,0)</f>
        <v>0.19159925984668255</v>
      </c>
      <c r="F14" s="36">
        <f>IFERROR('Historical FS'!F32,0)</f>
        <v>0.16543682146308195</v>
      </c>
      <c r="G14" s="36">
        <f>IFERROR('Historical FS'!G32,0)</f>
        <v>0.1469874334880561</v>
      </c>
      <c r="H14" s="36">
        <f>IFERROR('Historical FS'!H32,0)</f>
        <v>0.17694620386791665</v>
      </c>
      <c r="I14" s="36">
        <f>IFERROR('Historical FS'!I32,0)</f>
        <v>0.2015812996094685</v>
      </c>
      <c r="J14" s="36">
        <f>IFERROR('Historical FS'!J32,0)</f>
        <v>0.19205685585921409</v>
      </c>
      <c r="K14" s="36">
        <f>IFERROR('Historical FS'!K32,0)</f>
        <v>0.17191821772240293</v>
      </c>
      <c r="L14" s="36">
        <f>IFERROR('Historical FS'!L32,0)</f>
        <v>0.96337882453177537</v>
      </c>
      <c r="N14" s="46">
        <f>IFERROR(AVERAGE(C14:L14),0)</f>
        <v>0.26450038237695717</v>
      </c>
      <c r="O14" s="46">
        <f>IFERROR(MEDIAN(C14:L14),0)</f>
        <v>0.19182805785294832</v>
      </c>
    </row>
    <row r="15" spans="2:15" x14ac:dyDescent="0.3">
      <c r="B15" t="s">
        <v>163</v>
      </c>
      <c r="C15" s="36">
        <f>IFERROR('Historical FS'!C38,0)</f>
        <v>8.1160520743274622E-2</v>
      </c>
      <c r="D15" s="36">
        <f>IFERROR('Historical FS'!D38,0)</f>
        <v>9.0579541757679974E-2</v>
      </c>
      <c r="E15" s="36">
        <f>IFERROR('Historical FS'!E38,0)</f>
        <v>9.7718741739360321E-2</v>
      </c>
      <c r="F15" s="36">
        <f>IFERROR('Historical FS'!F38,0)</f>
        <v>8.9824361962144078E-2</v>
      </c>
      <c r="G15" s="36">
        <f>IFERROR('Historical FS'!G38,0)</f>
        <v>9.3811841956300171E-2</v>
      </c>
      <c r="H15" s="36">
        <f>IFERROR('Historical FS'!H38,0)</f>
        <v>8.8794865298539069E-2</v>
      </c>
      <c r="I15" s="36">
        <f>IFERROR('Historical FS'!I38,0)</f>
        <v>7.8754247204951319E-2</v>
      </c>
      <c r="J15" s="36">
        <f>IFERROR('Historical FS'!J38,0)</f>
        <v>6.3748602146318528E-2</v>
      </c>
      <c r="K15" s="36">
        <f>IFERROR('Historical FS'!K38,0)</f>
        <v>6.7628357590172244E-2</v>
      </c>
      <c r="L15" s="36">
        <f>IFERROR('Historical FS'!L38,0)</f>
        <v>0.86896810544626513</v>
      </c>
      <c r="N15" s="46">
        <f>IFERROR(AVERAGE(C15:L15),0)</f>
        <v>0.16209891858450054</v>
      </c>
      <c r="O15" s="46">
        <f>IFERROR(MEDIAN(C15:L15),0)</f>
        <v>8.9309613630341567E-2</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3.4582565876029016E-2</v>
      </c>
      <c r="D18" s="36">
        <f>IFERROR('Historical FS'!D23,0)</f>
        <v>3.5100153367105077E-2</v>
      </c>
      <c r="E18" s="36">
        <f>IFERROR('Historical FS'!E23,0)</f>
        <v>4.6629659000793022E-2</v>
      </c>
      <c r="F18" s="36">
        <f>IFERROR('Historical FS'!F23,0)</f>
        <v>4.3113738418689249E-2</v>
      </c>
      <c r="G18" s="36">
        <f>IFERROR('Historical FS'!G23,0)</f>
        <v>3.1574776406656853E-2</v>
      </c>
      <c r="H18" s="36">
        <f>IFERROR('Historical FS'!H23,0)</f>
        <v>4.0925597500211131E-2</v>
      </c>
      <c r="I18" s="36">
        <f>IFERROR('Historical FS'!I23,0)</f>
        <v>3.7051135642684939E-2</v>
      </c>
      <c r="J18" s="36">
        <f>IFERROR('Historical FS'!J23,0)</f>
        <v>3.6674448869618674E-2</v>
      </c>
      <c r="K18" s="36">
        <f>IFERROR('Historical FS'!K23,0)</f>
        <v>3.6778022649414127E-2</v>
      </c>
      <c r="L18" s="36">
        <f>IFERROR('Historical FS'!L23,0)</f>
        <v>3.5327947418868959E-2</v>
      </c>
      <c r="N18" s="46">
        <f>IFERROR(AVERAGE(C18:L18),0)</f>
        <v>3.7775804515007103E-2</v>
      </c>
      <c r="O18" s="46">
        <f>IFERROR(MEDIAN(C18:L18),0)</f>
        <v>3.6726235759516404E-2</v>
      </c>
    </row>
    <row r="19" spans="2:15" x14ac:dyDescent="0.3">
      <c r="B19" t="s">
        <v>8606</v>
      </c>
      <c r="C19" s="36">
        <f t="shared" ref="C19:L19" si="0">C13</f>
        <v>0.22541743412397103</v>
      </c>
      <c r="D19" s="36">
        <f t="shared" si="0"/>
        <v>0.21489984663289491</v>
      </c>
      <c r="E19" s="36">
        <f t="shared" si="0"/>
        <v>0.193370340999207</v>
      </c>
      <c r="F19" s="36">
        <f t="shared" si="0"/>
        <v>0.16688626158131079</v>
      </c>
      <c r="G19" s="36">
        <f t="shared" si="0"/>
        <v>0.14842522359334309</v>
      </c>
      <c r="H19" s="36">
        <f t="shared" si="0"/>
        <v>0.17907440249978895</v>
      </c>
      <c r="I19" s="36">
        <f t="shared" si="0"/>
        <v>0.20294886435731493</v>
      </c>
      <c r="J19" s="36">
        <f t="shared" si="0"/>
        <v>0.19332555113038136</v>
      </c>
      <c r="K19" s="36">
        <f t="shared" si="0"/>
        <v>0.17322197735058595</v>
      </c>
      <c r="L19" s="36">
        <f t="shared" si="0"/>
        <v>0.96467205258113109</v>
      </c>
      <c r="N19" s="46">
        <f>IFERROR(AVERAGE(C19:L19),0)</f>
        <v>0.26622419548499293</v>
      </c>
      <c r="O19" s="46">
        <f>IFERROR(MEDIAN(C19:L19),0)</f>
        <v>0.19334794606479416</v>
      </c>
    </row>
    <row r="21" spans="2:15" x14ac:dyDescent="0.3">
      <c r="B21" t="s">
        <v>169</v>
      </c>
      <c r="C21" s="46">
        <f>IFERROR('Historical FS'!C25/SUM('Historical FS'!C51:'Historical FS'!C53),0)</f>
        <v>0.47898879096887576</v>
      </c>
      <c r="D21" s="46">
        <f>IFERROR('Historical FS'!D25/SUM('Historical FS'!D51:'Historical FS'!D53),0)</f>
        <v>0.43336457357075914</v>
      </c>
      <c r="E21" s="46">
        <f>IFERROR('Historical FS'!E25/SUM('Historical FS'!E51:'Historical FS'!E53),0)</f>
        <v>0.30962498941843736</v>
      </c>
      <c r="F21" s="46">
        <f>IFERROR('Historical FS'!F25/SUM('Historical FS'!F51:'Historical FS'!F53),0)</f>
        <v>0.23679093493558084</v>
      </c>
      <c r="G21" s="46">
        <f>IFERROR('Historical FS'!G25/SUM('Historical FS'!G51:'Historical FS'!G53),0)</f>
        <v>0.24717016703744191</v>
      </c>
      <c r="H21" s="46">
        <f>IFERROR('Historical FS'!H25/SUM('Historical FS'!H51:'Historical FS'!H53),0)</f>
        <v>0.38028300364066808</v>
      </c>
      <c r="I21" s="46">
        <f>IFERROR('Historical FS'!I25/SUM('Historical FS'!I51:'Historical FS'!I53),0)</f>
        <v>0.37957388461132768</v>
      </c>
      <c r="J21" s="46">
        <f>IFERROR('Historical FS'!J25/SUM('Historical FS'!J51:'Historical FS'!J53),0)</f>
        <v>0.34472613841758504</v>
      </c>
      <c r="K21" s="46">
        <f>IFERROR('Historical FS'!K25/SUM('Historical FS'!K51:'Historical FS'!K53),0)</f>
        <v>0.32965170720566422</v>
      </c>
      <c r="L21" s="46">
        <f>IFERROR('Historical FS'!L25/SUM('Historical FS'!L51:'Historical FS'!L53),0)</f>
        <v>1.7734341494340748</v>
      </c>
      <c r="N21" s="46">
        <f>IFERROR(AVERAGE(C21:L21),0)</f>
        <v>0.49136083392404151</v>
      </c>
      <c r="O21" s="46">
        <f>IFERROR(MEDIAN(C21:L21),0)</f>
        <v>0.36215001151445636</v>
      </c>
    </row>
    <row r="22" spans="2:15" x14ac:dyDescent="0.3">
      <c r="B22" t="s">
        <v>170</v>
      </c>
      <c r="C22" s="46">
        <f>IFERROR('Historical FS'!C48,0)</f>
        <v>0.62282202262039688</v>
      </c>
      <c r="D22" s="46">
        <f>IFERROR('Historical FS'!D48,0)</f>
        <v>0.68595177013853259</v>
      </c>
      <c r="E22" s="46">
        <f>IFERROR('Historical FS'!E48,0)</f>
        <v>0.75424567857819147</v>
      </c>
      <c r="F22" s="46">
        <f>IFERROR('Historical FS'!F48,0)</f>
        <v>0.78475491685017862</v>
      </c>
      <c r="G22" s="46">
        <f>IFERROR('Historical FS'!G48,0)</f>
        <v>0.77992855763660929</v>
      </c>
      <c r="H22" s="46">
        <f>IFERROR('Historical FS'!H48,0)</f>
        <v>0.73276521275988693</v>
      </c>
      <c r="I22" s="46">
        <f>IFERROR('Historical FS'!I48,0)</f>
        <v>0.64987934034615302</v>
      </c>
      <c r="J22" s="46">
        <f>IFERROR('Historical FS'!J48,0)</f>
        <v>0.56862901993128867</v>
      </c>
      <c r="K22" s="46">
        <f>IFERROR('Historical FS'!K48,0)</f>
        <v>0.64476307859092619</v>
      </c>
      <c r="L22" s="46">
        <f>IFERROR('Historical FS'!L48,0)</f>
        <v>1</v>
      </c>
      <c r="N22" s="46">
        <f>IFERROR(AVERAGE(C22:L22),0)</f>
        <v>0.72237395974521634</v>
      </c>
      <c r="O22" s="46">
        <f>IFERROR(MEDIAN(C22:L22),0)</f>
        <v>0.7093584914492097</v>
      </c>
    </row>
    <row r="23" spans="2:15" x14ac:dyDescent="0.3">
      <c r="B23" t="s">
        <v>171</v>
      </c>
      <c r="C23" s="46">
        <f>IFERROR('Historical FS'!C37/SUM('Historical FS'!C51:'Historical FS'!C52),0)</f>
        <v>0.17470910316925162</v>
      </c>
      <c r="D23" s="46">
        <f>IFERROR('Historical FS'!D37/SUM('Historical FS'!D51:'Historical FS'!D52),0)</f>
        <v>0.1831809957940741</v>
      </c>
      <c r="E23" s="46">
        <f>IFERROR('Historical FS'!E37/SUM('Historical FS'!E51:'Historical FS'!E52),0)</f>
        <v>0.15699906565871063</v>
      </c>
      <c r="F23" s="46">
        <f>IFERROR('Historical FS'!F37/SUM('Historical FS'!F51:'Historical FS'!F52),0)</f>
        <v>0.12792423046566698</v>
      </c>
      <c r="G23" s="46">
        <f>IFERROR('Historical FS'!G37/SUM('Historical FS'!G51:'Historical FS'!G52),0)</f>
        <v>0.157833184129826</v>
      </c>
      <c r="H23" s="46">
        <f>IFERROR('Historical FS'!H37/SUM('Historical FS'!H51:'Historical FS'!H52),0)</f>
        <v>0.19001680733016485</v>
      </c>
      <c r="I23" s="46">
        <f>IFERROR('Historical FS'!I37/SUM('Historical FS'!I51:'Historical FS'!I52),0)</f>
        <v>0.14975764075067002</v>
      </c>
      <c r="J23" s="46">
        <f>IFERROR('Historical FS'!J37/SUM('Historical FS'!J51:'Historical FS'!J52),0)</f>
        <v>0.11383051520388628</v>
      </c>
      <c r="K23" s="46">
        <f>IFERROR('Historical FS'!K37/SUM('Historical FS'!K51:'Historical FS'!K52),0)</f>
        <v>0.12881712385702426</v>
      </c>
      <c r="L23" s="46">
        <f>IFERROR('Historical FS'!L37/SUM('Historical FS'!L51:'Historical FS'!L52),0)</f>
        <v>1.5990145208854381</v>
      </c>
      <c r="N23" s="46">
        <f>IFERROR(AVERAGE(C23:L23),0)</f>
        <v>0.29820831872447123</v>
      </c>
      <c r="O23" s="46">
        <f>IFERROR(MEDIAN(C23:L23),0)</f>
        <v>0.15741612489426832</v>
      </c>
    </row>
    <row r="24" spans="2:15" x14ac:dyDescent="0.3">
      <c r="B24" t="s">
        <v>172</v>
      </c>
      <c r="C24" s="46">
        <f t="shared" ref="C24:L24" si="1">IFERROR(C22*C23,0)</f>
        <v>0.10881267700606888</v>
      </c>
      <c r="D24" s="46">
        <f t="shared" si="1"/>
        <v>0.12565332832068421</v>
      </c>
      <c r="E24" s="46">
        <f t="shared" si="1"/>
        <v>0.11841586681389624</v>
      </c>
      <c r="F24" s="46">
        <f t="shared" si="1"/>
        <v>0.10038916884220757</v>
      </c>
      <c r="G24" s="46">
        <f t="shared" si="1"/>
        <v>0.12309860764556856</v>
      </c>
      <c r="H24" s="46">
        <f t="shared" si="1"/>
        <v>0.13923770625124268</v>
      </c>
      <c r="I24" s="46">
        <f t="shared" si="1"/>
        <v>9.7324396782841605E-2</v>
      </c>
      <c r="J24" s="46">
        <f t="shared" si="1"/>
        <v>6.4727334298659511E-2</v>
      </c>
      <c r="K24" s="46">
        <f t="shared" si="1"/>
        <v>8.3056525353283603E-2</v>
      </c>
      <c r="L24" s="46">
        <f t="shared" si="1"/>
        <v>1.5990145208854381</v>
      </c>
      <c r="N24" s="46">
        <f>IFERROR(AVERAGE(C24:L24),0)</f>
        <v>0.25597301321998905</v>
      </c>
      <c r="O24" s="46">
        <f>IFERROR(MEDIAN(C24:L24),0)</f>
        <v>0.11361427190998255</v>
      </c>
    </row>
    <row r="25" spans="2:15" x14ac:dyDescent="0.3">
      <c r="B25" t="s">
        <v>173</v>
      </c>
      <c r="C25" s="158">
        <f>IFERROR('Historical FS'!C25/'Historical FS'!C28,0)</f>
        <v>51.995202312138737</v>
      </c>
      <c r="D25" s="158">
        <f>IFERROR('Historical FS'!D25/'Historical FS'!D28,0)</f>
        <v>243.36842105263159</v>
      </c>
      <c r="E25" s="158">
        <f>IFERROR('Historical FS'!E25/'Historical FS'!E28,0)</f>
        <v>109.18208955223882</v>
      </c>
      <c r="F25" s="158">
        <f>IFERROR('Historical FS'!F25/'Historical FS'!F28,0)</f>
        <v>115.13843137254905</v>
      </c>
      <c r="G25" s="158">
        <f>IFERROR('Historical FS'!G25/'Historical FS'!G28,0)</f>
        <v>103.23149606299208</v>
      </c>
      <c r="H25" s="158">
        <f>IFERROR('Historical FS'!H25/'Historical FS'!H28,0)</f>
        <v>84.143650793650835</v>
      </c>
      <c r="I25" s="158">
        <f>IFERROR('Historical FS'!I25/'Historical FS'!I28,0)</f>
        <v>148.40164948453599</v>
      </c>
      <c r="J25" s="158">
        <f>IFERROR('Historical FS'!J25/'Historical FS'!J28,0)</f>
        <v>152.38139175257734</v>
      </c>
      <c r="K25" s="158">
        <f>IFERROR('Historical FS'!K25/'Historical FS'!K28,0)</f>
        <v>132.86343096234316</v>
      </c>
      <c r="L25" s="158">
        <f>IFERROR('Historical FS'!L25/'Historical FS'!L28,0)</f>
        <v>745.94117647058829</v>
      </c>
      <c r="N25" s="158">
        <f>IFERROR(AVERAGE(C25:L25),0)</f>
        <v>188.66469398162457</v>
      </c>
      <c r="O25" s="158">
        <f>IFERROR(MEDIAN(C25:L25),0)</f>
        <v>124.00093116744611</v>
      </c>
    </row>
    <row r="27" spans="2:15" x14ac:dyDescent="0.3">
      <c r="B27" t="s">
        <v>174</v>
      </c>
      <c r="C27" s="158">
        <f>IFERROR('Historical FS'!C7/'Historical FS'!C63,0)</f>
        <v>66.341645885286781</v>
      </c>
      <c r="D27" s="158">
        <f>IFERROR('Historical FS'!D7/'Historical FS'!D63,0)</f>
        <v>58.749488054607511</v>
      </c>
      <c r="E27" s="158">
        <f>IFERROR('Historical FS'!E7/'Historical FS'!E63,0)</f>
        <v>32.710765239948117</v>
      </c>
      <c r="F27" s="158">
        <f>IFERROR('Historical FS'!F7/'Historical FS'!F63,0)</f>
        <v>35.577350859453993</v>
      </c>
      <c r="G27" s="158">
        <f>IFERROR('Historical FS'!G7/'Historical FS'!G63,0)</f>
        <v>69.0078125</v>
      </c>
      <c r="H27" s="158">
        <f>IFERROR('Historical FS'!H7/'Historical FS'!H63,0)</f>
        <v>58.21533923303835</v>
      </c>
      <c r="I27" s="158">
        <f>IFERROR('Historical FS'!I7/'Historical FS'!I63,0)</f>
        <v>43.183561643835617</v>
      </c>
      <c r="J27" s="158">
        <f>IFERROR('Historical FS'!J7/'Historical FS'!J63,0)</f>
        <v>33.263650206656514</v>
      </c>
      <c r="K27" s="158">
        <f>IFERROR('Historical FS'!K7/'Historical FS'!K63,0)</f>
        <v>28.029969418960246</v>
      </c>
      <c r="L27" s="158">
        <f>IFERROR('Historical FS'!L7/'Historical FS'!L63,0)</f>
        <v>36.911456383377015</v>
      </c>
      <c r="N27" s="158">
        <f>IFERROR(AVERAGE(C27:L27),0)</f>
        <v>46.199103942516409</v>
      </c>
      <c r="O27" s="158">
        <f>IFERROR(MEDIAN(C27:L27),0)</f>
        <v>40.047509013606316</v>
      </c>
    </row>
    <row r="28" spans="2:15" x14ac:dyDescent="0.3">
      <c r="B28" t="s">
        <v>175</v>
      </c>
      <c r="C28" s="158">
        <f>IFERROR('Historical FS'!C7/'Historical FS'!C54,0)</f>
        <v>5.5415220108318293</v>
      </c>
      <c r="D28" s="158">
        <f>IFERROR('Historical FS'!D7/'Historical FS'!D54,0)</f>
        <v>4.8991347905282332</v>
      </c>
      <c r="E28" s="158">
        <f>IFERROR('Historical FS'!E7/'Historical FS'!E54,0)</f>
        <v>4.5259316863073522</v>
      </c>
      <c r="F28" s="158">
        <f>IFERROR('Historical FS'!F7/'Historical FS'!F54,0)</f>
        <v>5.0154657544009691</v>
      </c>
      <c r="G28" s="158">
        <f>IFERROR('Historical FS'!G7/'Historical FS'!G54,0)</f>
        <v>4.817562039814562</v>
      </c>
      <c r="H28" s="158">
        <f>IFERROR('Historical FS'!H7/'Historical FS'!H54,0)</f>
        <v>6.2664055884843357</v>
      </c>
      <c r="I28" s="158">
        <f>IFERROR('Historical FS'!I7/'Historical FS'!I54,0)</f>
        <v>5.8478852337373235</v>
      </c>
      <c r="J28" s="158">
        <f>IFERROR('Historical FS'!J7/'Historical FS'!J54,0)</f>
        <v>5.1747208121827413</v>
      </c>
      <c r="K28" s="158">
        <f>IFERROR('Historical FS'!K7/'Historical FS'!K54,0)</f>
        <v>5.284557064199026</v>
      </c>
      <c r="L28" s="158">
        <f>IFERROR('Historical FS'!L7/'Historical FS'!L54,0)</f>
        <v>4.7374225169381576</v>
      </c>
      <c r="N28" s="158">
        <f>IFERROR(AVERAGE(C28:L28),0)</f>
        <v>5.2110607497424537</v>
      </c>
      <c r="O28" s="158">
        <f>IFERROR(MEDIAN(C28:L28),0)</f>
        <v>5.0950932832918552</v>
      </c>
    </row>
    <row r="29" spans="2:15" x14ac:dyDescent="0.3">
      <c r="B29" t="s">
        <v>47</v>
      </c>
      <c r="C29" s="158">
        <f>IFERROR('Historical FS'!C7/'Historical FS'!C64,0)</f>
        <v>24.451286764705884</v>
      </c>
      <c r="D29" s="158">
        <f>IFERROR('Historical FS'!D7/'Historical FS'!D64,0)</f>
        <v>27.236708860759492</v>
      </c>
      <c r="E29" s="158">
        <f>IFERROR('Historical FS'!E7/'Historical FS'!E64,0)</f>
        <v>22.768582606078844</v>
      </c>
      <c r="F29" s="158">
        <f>IFERROR('Historical FS'!F7/'Historical FS'!F64,0)</f>
        <v>21.895457373988798</v>
      </c>
      <c r="G29" s="158">
        <f>IFERROR('Historical FS'!G7/'Historical FS'!G64,0)</f>
        <v>28.97015414890128</v>
      </c>
      <c r="H29" s="158">
        <f>IFERROR('Historical FS'!H7/'Historical FS'!H64,0)</f>
        <v>33.524915062287654</v>
      </c>
      <c r="I29" s="158">
        <f>IFERROR('Historical FS'!I7/'Historical FS'!I64,0)</f>
        <v>26.057678177810434</v>
      </c>
      <c r="J29" s="158">
        <f>IFERROR('Historical FS'!J7/'Historical FS'!J64,0)</f>
        <v>28.753854832643849</v>
      </c>
      <c r="K29" s="158">
        <f>IFERROR('Historical FS'!K7/'Historical FS'!K64,0)</f>
        <v>26.517575582236365</v>
      </c>
      <c r="L29" s="158">
        <f>IFERROR('Historical FS'!L7/'Historical FS'!L64,0)</f>
        <v>17.417277625651444</v>
      </c>
      <c r="N29" s="158">
        <f>IFERROR(AVERAGE(C29:L29),0)</f>
        <v>25.759349103506402</v>
      </c>
      <c r="O29" s="158">
        <f>IFERROR(MEDIAN(C29:L29),0)</f>
        <v>26.287626880023399</v>
      </c>
    </row>
    <row r="30" spans="2:15" x14ac:dyDescent="0.3">
      <c r="B30" t="s">
        <v>8607</v>
      </c>
      <c r="C30" s="158">
        <f>IFERROR('Historical FS'!C7/'Historical FS'!C57,0)</f>
        <v>5.9957178273608296</v>
      </c>
      <c r="D30" s="158">
        <f>IFERROR('Historical FS'!D7/'Historical FS'!D57,0)</f>
        <v>6.4282620061244309</v>
      </c>
      <c r="E30" s="158">
        <f>IFERROR('Historical FS'!E7/'Historical FS'!E57,0)</f>
        <v>4.9012113752672155</v>
      </c>
      <c r="F30" s="158">
        <f>IFERROR('Historical FS'!F7/'Historical FS'!F57,0)</f>
        <v>4.4697662601626016</v>
      </c>
      <c r="G30" s="158">
        <f>IFERROR('Historical FS'!G7/'Historical FS'!G57,0)</f>
        <v>5.8929881913403159</v>
      </c>
      <c r="H30" s="158">
        <f>IFERROR('Historical FS'!H7/'Historical FS'!H57,0)</f>
        <v>8.6135156761475233</v>
      </c>
      <c r="I30" s="158">
        <f>IFERROR('Historical FS'!I7/'Historical FS'!I57,0)</f>
        <v>5.077055223506675</v>
      </c>
      <c r="J30" s="158">
        <f>IFERROR('Historical FS'!J7/'Historical FS'!J57,0)</f>
        <v>5.4876368203839947</v>
      </c>
      <c r="K30" s="158">
        <f>IFERROR('Historical FS'!K7/'Historical FS'!K57,0)</f>
        <v>5.5578934602674108</v>
      </c>
      <c r="L30" s="158">
        <f>IFERROR('Historical FS'!L7/'Historical FS'!L57,0)</f>
        <v>5.7115835819598528</v>
      </c>
      <c r="N30" s="158">
        <f>IFERROR(AVERAGE(C30:L30),0)</f>
        <v>5.8135630422520848</v>
      </c>
      <c r="O30" s="158">
        <f>IFERROR(MEDIAN(C30:L30),0)</f>
        <v>5.6347385211136318</v>
      </c>
    </row>
    <row r="31" spans="2:15" x14ac:dyDescent="0.3">
      <c r="B31" t="s">
        <v>176</v>
      </c>
      <c r="C31" s="158">
        <f>IFERROR('Historical FS'!C7/SUM('Historical FS'!C51:'Historical FS'!C52),0)</f>
        <v>2.1526365475387728</v>
      </c>
      <c r="D31" s="158">
        <f>IFERROR('Historical FS'!D7/SUM('Historical FS'!D51:'Historical FS'!D52),0)</f>
        <v>2.022321953053408</v>
      </c>
      <c r="E31" s="158">
        <f>IFERROR('Historical FS'!E7/SUM('Historical FS'!E51:'Historical FS'!E52),0)</f>
        <v>1.6066423171663977</v>
      </c>
      <c r="F31" s="158">
        <f>IFERROR('Historical FS'!F7/SUM('Historical FS'!F51:'Historical FS'!F52),0)</f>
        <v>1.4241596341043854</v>
      </c>
      <c r="G31" s="158">
        <f>IFERROR('Historical FS'!G7/SUM('Historical FS'!G51:'Historical FS'!G52),0)</f>
        <v>1.6824441439210682</v>
      </c>
      <c r="H31" s="158">
        <f>IFERROR('Historical FS'!H7/SUM('Historical FS'!H51:'Historical FS'!H52),0)</f>
        <v>2.1399526503171704</v>
      </c>
      <c r="I31" s="158">
        <f>IFERROR('Historical FS'!I7/SUM('Historical FS'!I51:'Historical FS'!I52),0)</f>
        <v>1.9015817694369974</v>
      </c>
      <c r="J31" s="158">
        <f>IFERROR('Historical FS'!J7/SUM('Historical FS'!J51:'Historical FS'!J52),0)</f>
        <v>1.7856158624877387</v>
      </c>
      <c r="K31" s="158">
        <f>IFERROR('Historical FS'!K7/SUM('Historical FS'!K51:'Historical FS'!K52),0)</f>
        <v>1.9047797173732335</v>
      </c>
      <c r="L31" s="158">
        <f>IFERROR('Historical FS'!L7/SUM('Historical FS'!L51:'Historical FS'!L52),0)</f>
        <v>1.8401302773526447</v>
      </c>
      <c r="N31" s="158">
        <f>IFERROR(AVERAGE(C31:L31),0)</f>
        <v>1.8460264872751817</v>
      </c>
      <c r="O31" s="158">
        <f>IFERROR(MEDIAN(C31:L31),0)</f>
        <v>1.870856023394821</v>
      </c>
    </row>
    <row r="33" spans="2:15" x14ac:dyDescent="0.3">
      <c r="B33" s="52" t="s">
        <v>180</v>
      </c>
    </row>
    <row r="34" spans="2:15" x14ac:dyDescent="0.3">
      <c r="B34" t="s">
        <v>46</v>
      </c>
      <c r="C34" s="159">
        <f t="shared" ref="C34:L34" si="2">IFERROR(365/C27,0)</f>
        <v>5.5018231026575952</v>
      </c>
      <c r="D34" s="159">
        <f t="shared" si="2"/>
        <v>6.2128200957382536</v>
      </c>
      <c r="E34" s="159">
        <f t="shared" si="2"/>
        <v>11.158406026962728</v>
      </c>
      <c r="F34" s="159">
        <f t="shared" si="2"/>
        <v>10.259336099585063</v>
      </c>
      <c r="G34" s="159">
        <f t="shared" si="2"/>
        <v>5.2892561983471076</v>
      </c>
      <c r="H34" s="159">
        <f t="shared" si="2"/>
        <v>6.2698251836838104</v>
      </c>
      <c r="I34" s="159">
        <f t="shared" si="2"/>
        <v>8.4522903184875009</v>
      </c>
      <c r="J34" s="159">
        <f t="shared" si="2"/>
        <v>10.97293886065933</v>
      </c>
      <c r="K34" s="159">
        <f t="shared" si="2"/>
        <v>13.0217766043335</v>
      </c>
      <c r="L34" s="159">
        <f t="shared" si="2"/>
        <v>9.8885288136280867</v>
      </c>
      <c r="N34" s="159">
        <f>IFERROR(AVERAGE(C34:L34),0)</f>
        <v>8.7027001304082958</v>
      </c>
      <c r="O34" s="159">
        <f>IFERROR(MEDIAN(C34:L34),0)</f>
        <v>9.1704095660577938</v>
      </c>
    </row>
    <row r="35" spans="2:15" x14ac:dyDescent="0.3">
      <c r="B35" t="s">
        <v>177</v>
      </c>
      <c r="C35" s="159">
        <f t="shared" ref="C35:L35" si="3">IFERROR(365/C28,0)</f>
        <v>65.866380984600724</v>
      </c>
      <c r="D35" s="159">
        <f t="shared" si="3"/>
        <v>74.502951154900771</v>
      </c>
      <c r="E35" s="159">
        <f t="shared" si="3"/>
        <v>80.646378535553779</v>
      </c>
      <c r="F35" s="159">
        <f t="shared" si="3"/>
        <v>72.774896265560173</v>
      </c>
      <c r="G35" s="159">
        <f t="shared" si="3"/>
        <v>75.764462809917362</v>
      </c>
      <c r="H35" s="159">
        <f t="shared" si="3"/>
        <v>58.247107507811833</v>
      </c>
      <c r="I35" s="159">
        <f t="shared" si="3"/>
        <v>62.415725584739675</v>
      </c>
      <c r="J35" s="159">
        <f t="shared" si="3"/>
        <v>70.535206293774891</v>
      </c>
      <c r="K35" s="159">
        <f t="shared" si="3"/>
        <v>69.069175631150571</v>
      </c>
      <c r="L35" s="159">
        <f t="shared" si="3"/>
        <v>77.04611499079526</v>
      </c>
      <c r="N35" s="159">
        <f>IFERROR(AVERAGE(C35:L35),0)</f>
        <v>70.686839975880503</v>
      </c>
      <c r="O35" s="159">
        <f>IFERROR(MEDIAN(C35:L35),0)</f>
        <v>71.655051279667532</v>
      </c>
    </row>
    <row r="36" spans="2:15" x14ac:dyDescent="0.3">
      <c r="B36" t="s">
        <v>178</v>
      </c>
      <c r="C36" s="159">
        <f t="shared" ref="C36:L36" si="4">IFERROR(365/C29,0)</f>
        <v>14.927639739878961</v>
      </c>
      <c r="D36" s="159">
        <f t="shared" si="4"/>
        <v>13.401031742343264</v>
      </c>
      <c r="E36" s="159">
        <f t="shared" si="4"/>
        <v>16.030861749933916</v>
      </c>
      <c r="F36" s="159">
        <f t="shared" si="4"/>
        <v>16.6701244813278</v>
      </c>
      <c r="G36" s="159">
        <f t="shared" si="4"/>
        <v>12.599173553719009</v>
      </c>
      <c r="H36" s="159">
        <f t="shared" si="4"/>
        <v>10.887425048560088</v>
      </c>
      <c r="I36" s="159">
        <f t="shared" si="4"/>
        <v>14.007387669359501</v>
      </c>
      <c r="J36" s="159">
        <f t="shared" si="4"/>
        <v>12.69395015466311</v>
      </c>
      <c r="K36" s="159">
        <f t="shared" si="4"/>
        <v>13.764455912195336</v>
      </c>
      <c r="L36" s="159">
        <f t="shared" si="4"/>
        <v>20.956202676728488</v>
      </c>
      <c r="N36" s="159">
        <f>IFERROR(AVERAGE(C36:L36),0)</f>
        <v>14.593825272870948</v>
      </c>
      <c r="O36" s="159">
        <f>IFERROR(MEDIAN(C36:L36),0)</f>
        <v>13.885921790777418</v>
      </c>
    </row>
    <row r="37" spans="2:15" x14ac:dyDescent="0.3">
      <c r="B37" t="s">
        <v>179</v>
      </c>
      <c r="C37" s="159">
        <f t="shared" ref="C37:L37" si="5">SUM(C34,C36)-C35</f>
        <v>-45.436918142064172</v>
      </c>
      <c r="D37" s="159">
        <f t="shared" si="5"/>
        <v>-54.889099316819255</v>
      </c>
      <c r="E37" s="159">
        <f t="shared" si="5"/>
        <v>-53.457110758657137</v>
      </c>
      <c r="F37" s="159">
        <f t="shared" si="5"/>
        <v>-45.845435684647313</v>
      </c>
      <c r="G37" s="159">
        <f t="shared" si="5"/>
        <v>-57.876033057851245</v>
      </c>
      <c r="H37" s="159">
        <f t="shared" si="5"/>
        <v>-41.089857275567937</v>
      </c>
      <c r="I37" s="159">
        <f t="shared" si="5"/>
        <v>-39.956047596892674</v>
      </c>
      <c r="J37" s="159">
        <f t="shared" si="5"/>
        <v>-46.868317278452452</v>
      </c>
      <c r="K37" s="159">
        <f t="shared" si="5"/>
        <v>-42.282943114621737</v>
      </c>
      <c r="L37" s="159">
        <f t="shared" si="5"/>
        <v>-46.201383500438688</v>
      </c>
      <c r="N37" s="159">
        <f>IFERROR(AVERAGE(C37:L37),0)</f>
        <v>-47.390314572601262</v>
      </c>
      <c r="O37" s="159">
        <f>IFERROR(MEDIAN(C37:L37),0)</f>
        <v>-46.023409592543004</v>
      </c>
    </row>
    <row r="39" spans="2:15" x14ac:dyDescent="0.3">
      <c r="B39" t="s">
        <v>8608</v>
      </c>
      <c r="C39" s="46">
        <f>IFERROR('Historical FS'!C80/'Historical FS'!C7,0)</f>
        <v>0.14098660552068062</v>
      </c>
      <c r="D39" s="46">
        <f>IFERROR('Historical FS'!D80/'Historical FS'!D7,0)</f>
        <v>0.15985035088534646</v>
      </c>
      <c r="E39" s="46">
        <f>IFERROR('Historical FS'!E80/'Historical FS'!E7,0)</f>
        <v>6.2516521279407877E-2</v>
      </c>
      <c r="F39" s="46">
        <f>IFERROR('Historical FS'!F80/'Historical FS'!F7,0)</f>
        <v>2.5422042857954869E-2</v>
      </c>
      <c r="G39" s="46">
        <f>IFERROR('Historical FS'!G80/'Historical FS'!G7,0)</f>
        <v>0.14034869240348694</v>
      </c>
      <c r="H39" s="46">
        <f>IFERROR('Historical FS'!H80/'Historical FS'!H7,0)</f>
        <v>1.6721560678996706E-3</v>
      </c>
      <c r="I39" s="46">
        <f>IFERROR('Historical FS'!I80/'Historical FS'!I7,0)</f>
        <v>7.7436591521098566E-2</v>
      </c>
      <c r="J39" s="46">
        <f>IFERROR('Historical FS'!J80/'Historical FS'!J7,0)</f>
        <v>0.12380242360034791</v>
      </c>
      <c r="K39" s="46">
        <f>IFERROR('Historical FS'!K80/'Historical FS'!K7,0)</f>
        <v>8.3036941674485581E-2</v>
      </c>
      <c r="L39" s="46">
        <f>IFERROR('Historical FS'!L80/'Historical FS'!L7,0)</f>
        <v>0.10712492582956776</v>
      </c>
      <c r="N39" s="46">
        <f>IFERROR(AVERAGE(C39:L39),0)</f>
        <v>9.2219725164027627E-2</v>
      </c>
      <c r="O39" s="46">
        <f>IFERROR(MEDIAN(C39:L39),0)</f>
        <v>9.508093375202667E-2</v>
      </c>
    </row>
    <row r="40" spans="2:15" x14ac:dyDescent="0.3">
      <c r="B40" t="s">
        <v>8609</v>
      </c>
      <c r="C40" s="46">
        <f>IFERROR('Historical FS'!C80/'Historical FS'!C68,0)</f>
        <v>0.21654702565385578</v>
      </c>
      <c r="D40" s="46">
        <f>IFERROR('Historical FS'!D80/'Historical FS'!D68,0)</f>
        <v>0.22835612800424909</v>
      </c>
      <c r="E40" s="46">
        <f>IFERROR('Historical FS'!E80/'Historical FS'!E68,0)</f>
        <v>7.394206568806766E-2</v>
      </c>
      <c r="F40" s="46">
        <f>IFERROR('Historical FS'!F80/'Historical FS'!F68,0)</f>
        <v>2.8116994357741211E-2</v>
      </c>
      <c r="G40" s="46">
        <f>IFERROR('Historical FS'!G80/'Historical FS'!G68,0)</f>
        <v>0.17368339941437719</v>
      </c>
      <c r="H40" s="46">
        <f>IFERROR('Historical FS'!H80/'Historical FS'!H68,0)</f>
        <v>2.6522001205545511E-3</v>
      </c>
      <c r="I40" s="46">
        <f>IFERROR('Historical FS'!I80/'Historical FS'!I68,0)</f>
        <v>0.10973477848259328</v>
      </c>
      <c r="J40" s="46">
        <f>IFERROR('Historical FS'!J80/'Historical FS'!J68,0)</f>
        <v>0.16418337611878164</v>
      </c>
      <c r="K40" s="46">
        <f>IFERROR('Historical FS'!K80/'Historical FS'!K68,0)</f>
        <v>0.11618428283568419</v>
      </c>
      <c r="L40" s="46">
        <f>IFERROR('Historical FS'!L80/'Historical FS'!L68,0)</f>
        <v>0.14188031891670416</v>
      </c>
      <c r="N40" s="46">
        <f>IFERROR(AVERAGE(C40:L40),0)</f>
        <v>0.12552805695926089</v>
      </c>
      <c r="O40" s="46">
        <f>IFERROR(MEDIAN(C40:L40),0)</f>
        <v>0.12903230087619416</v>
      </c>
    </row>
    <row r="41" spans="2:15" x14ac:dyDescent="0.3">
      <c r="B41" t="s">
        <v>8610</v>
      </c>
      <c r="C41" s="46">
        <f>IFERROR('Historical FS'!C80/'Historical FS'!C53,0)</f>
        <v>23.24793388429752</v>
      </c>
      <c r="D41" s="46">
        <f>IFERROR('Historical FS'!D80/'Historical FS'!D53,0)</f>
        <v>113.70247933884298</v>
      </c>
      <c r="E41" s="46">
        <f>IFERROR('Historical FS'!E80/'Historical FS'!E53,0)</f>
        <v>29.5625</v>
      </c>
      <c r="F41" s="46">
        <f>IFERROR('Historical FS'!F80/'Historical FS'!F53,0)</f>
        <v>9.7228260869565215</v>
      </c>
      <c r="G41" s="46">
        <f>IFERROR('Historical FS'!G80/'Historical FS'!G53,0)</f>
        <v>22.914972273567468</v>
      </c>
      <c r="H41" s="46">
        <f>IFERROR('Historical FS'!H80/'Historical FS'!H53,0)</f>
        <v>0.46478873239436619</v>
      </c>
      <c r="I41" s="46">
        <f>IFERROR('Historical FS'!I80/'Historical FS'!I53,0)</f>
        <v>8.8020833333333339</v>
      </c>
      <c r="J41" s="46">
        <f>IFERROR('Historical FS'!J80/'Historical FS'!J53,0)</f>
        <v>159.08403361344537</v>
      </c>
      <c r="K41" s="46">
        <f>IFERROR('Historical FS'!K80/'Historical FS'!K53,0)</f>
        <v>174.9655172413793</v>
      </c>
      <c r="L41" s="46">
        <f>IFERROR('Historical FS'!L80/'Historical FS'!L53,0)</f>
        <v>207.08823529411765</v>
      </c>
      <c r="N41" s="46">
        <f>IFERROR(AVERAGE(C41:L41),0)</f>
        <v>74.955536979833454</v>
      </c>
      <c r="O41" s="46">
        <f>IFERROR(MEDIAN(C41:L41),0)</f>
        <v>26.405216942148762</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Maruti Suzuki India Ltd -Sales Forecasting</v>
      </c>
      <c r="C2" s="164"/>
      <c r="D2" s="164"/>
      <c r="E2" s="164"/>
      <c r="G2" s="164" t="str">
        <f>'Data Sheet'!$B$1&amp;" -"&amp;'Historical FS'!B19&amp;" Forecasting"</f>
        <v>Maruti Suzuki India Ltd -EBITDA Forecasting</v>
      </c>
      <c r="H2" s="164"/>
      <c r="I2" s="164"/>
      <c r="J2" s="164"/>
      <c r="L2" s="164" t="str">
        <f>'Data Sheet'!$B$1&amp;" -"&amp;'Historical FS'!B37&amp;" Forecasting"</f>
        <v>Maruti Suzuki India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79809</v>
      </c>
      <c r="E5" s="56" t="s">
        <v>120</v>
      </c>
      <c r="G5">
        <v>1</v>
      </c>
      <c r="H5" s="54">
        <f t="array" ref="H5:H13">TRANSPOSE('Data Sheet'!B16:J16)</f>
        <v>43160</v>
      </c>
      <c r="I5" s="106" cm="1">
        <f t="array" ref="I5:I14">TRANSPOSE('Historical FS'!C19:L19)</f>
        <v>20750.340000000004</v>
      </c>
      <c r="J5" s="45" t="s">
        <v>120</v>
      </c>
      <c r="L5">
        <v>1</v>
      </c>
      <c r="M5" s="54">
        <f t="array" ref="M5:M13">TRANSPOSE('Data Sheet'!B16:J16)</f>
        <v>43160</v>
      </c>
      <c r="N5" s="106">
        <f t="array" ref="N5:N14">TRANSPOSE('Historical FS'!C37:L37)</f>
        <v>6477.3400000000038</v>
      </c>
      <c r="O5" s="56" t="s">
        <v>120</v>
      </c>
    </row>
    <row r="6" spans="2:15" x14ac:dyDescent="0.3">
      <c r="B6">
        <f>B5+1</f>
        <v>2</v>
      </c>
      <c r="C6" s="54">
        <v>43525</v>
      </c>
      <c r="D6" s="106">
        <v>86068</v>
      </c>
      <c r="E6" s="36">
        <f>D6/D5-1</f>
        <v>7.8424739064516524E-2</v>
      </c>
      <c r="G6">
        <f>G5+1</f>
        <v>2</v>
      </c>
      <c r="H6" s="54">
        <v>43525</v>
      </c>
      <c r="I6" s="106">
        <v>21517</v>
      </c>
      <c r="J6" s="36">
        <f>I6/I5-1</f>
        <v>3.6946864485111863E-2</v>
      </c>
      <c r="L6">
        <f>L5+1</f>
        <v>2</v>
      </c>
      <c r="M6" s="54">
        <v>43525</v>
      </c>
      <c r="N6" s="106">
        <v>7796</v>
      </c>
      <c r="O6" s="36">
        <f>N6/N5-1</f>
        <v>0.20358048211148327</v>
      </c>
    </row>
    <row r="7" spans="2:15" x14ac:dyDescent="0.3">
      <c r="B7">
        <f t="shared" ref="B7:B19" si="0">B6+1</f>
        <v>3</v>
      </c>
      <c r="C7" s="54">
        <v>43891</v>
      </c>
      <c r="D7" s="106">
        <v>75660</v>
      </c>
      <c r="E7" s="36">
        <f t="shared" ref="E7:E19" si="1">D7/D6-1</f>
        <v>-0.1209276386113306</v>
      </c>
      <c r="G7">
        <f t="shared" ref="G7:G19" si="2">G6+1</f>
        <v>3</v>
      </c>
      <c r="H7" s="54">
        <v>43891</v>
      </c>
      <c r="I7" s="106">
        <v>18158.400000000001</v>
      </c>
      <c r="J7" s="36">
        <f t="shared" ref="J7:J19" si="3">I7/I6-1</f>
        <v>-0.15609053306687726</v>
      </c>
      <c r="L7">
        <f t="shared" ref="L7:L19" si="4">L6+1</f>
        <v>3</v>
      </c>
      <c r="M7" s="54">
        <v>43891</v>
      </c>
      <c r="N7" s="106">
        <v>7393.4000000000015</v>
      </c>
      <c r="O7" s="36">
        <f t="shared" ref="O7:O19" si="5">N7/N6-1</f>
        <v>-5.1641867624422577E-2</v>
      </c>
    </row>
    <row r="8" spans="2:15" x14ac:dyDescent="0.3">
      <c r="B8">
        <f t="shared" si="0"/>
        <v>4</v>
      </c>
      <c r="C8" s="54">
        <v>44256</v>
      </c>
      <c r="D8" s="106">
        <v>70372</v>
      </c>
      <c r="E8" s="36">
        <f t="shared" si="1"/>
        <v>-6.9891620407084298E-2</v>
      </c>
      <c r="G8">
        <f t="shared" si="2"/>
        <v>4</v>
      </c>
      <c r="H8" s="54">
        <v>44256</v>
      </c>
      <c r="I8" s="106">
        <v>14778.120000000003</v>
      </c>
      <c r="J8" s="36">
        <f t="shared" si="3"/>
        <v>-0.18615516785619868</v>
      </c>
      <c r="L8">
        <f t="shared" si="4"/>
        <v>4</v>
      </c>
      <c r="M8" s="54">
        <v>44256</v>
      </c>
      <c r="N8" s="106">
        <v>6321.1200000000026</v>
      </c>
      <c r="O8" s="36">
        <f t="shared" si="5"/>
        <v>-0.14503205561717192</v>
      </c>
    </row>
    <row r="9" spans="2:15" x14ac:dyDescent="0.3">
      <c r="B9">
        <f t="shared" si="0"/>
        <v>5</v>
      </c>
      <c r="C9" s="54">
        <v>44621</v>
      </c>
      <c r="D9" s="106">
        <v>88330</v>
      </c>
      <c r="E9" s="36">
        <f t="shared" si="1"/>
        <v>0.25518672199170123</v>
      </c>
      <c r="G9">
        <f t="shared" si="2"/>
        <v>5</v>
      </c>
      <c r="H9" s="54">
        <v>44621</v>
      </c>
      <c r="I9" s="106">
        <v>15899.399999999994</v>
      </c>
      <c r="J9" s="36">
        <f t="shared" si="3"/>
        <v>7.5874333135743433E-2</v>
      </c>
      <c r="L9">
        <f t="shared" si="4"/>
        <v>5</v>
      </c>
      <c r="M9" s="54">
        <v>44621</v>
      </c>
      <c r="N9" s="106">
        <v>8286.3999999999942</v>
      </c>
      <c r="O9" s="36">
        <f t="shared" si="5"/>
        <v>0.31090692788619601</v>
      </c>
    </row>
    <row r="10" spans="2:15" x14ac:dyDescent="0.3">
      <c r="B10">
        <f t="shared" si="0"/>
        <v>6</v>
      </c>
      <c r="C10" s="54">
        <v>44986</v>
      </c>
      <c r="D10" s="106">
        <v>118410</v>
      </c>
      <c r="E10" s="36">
        <f t="shared" si="1"/>
        <v>0.34054115249632066</v>
      </c>
      <c r="G10">
        <f t="shared" si="2"/>
        <v>6</v>
      </c>
      <c r="H10" s="54">
        <v>44986</v>
      </c>
      <c r="I10" s="106">
        <v>26050.200000000012</v>
      </c>
      <c r="J10" s="36">
        <f t="shared" si="3"/>
        <v>0.63843918638439323</v>
      </c>
      <c r="L10">
        <f t="shared" si="4"/>
        <v>6</v>
      </c>
      <c r="M10" s="54">
        <v>44986</v>
      </c>
      <c r="N10" s="106">
        <v>10514.200000000012</v>
      </c>
      <c r="O10" s="36">
        <f t="shared" si="5"/>
        <v>0.26885016412435059</v>
      </c>
    </row>
    <row r="11" spans="2:15" x14ac:dyDescent="0.3">
      <c r="B11">
        <f t="shared" si="0"/>
        <v>7</v>
      </c>
      <c r="C11" s="54">
        <v>45352</v>
      </c>
      <c r="D11" s="106">
        <v>141858</v>
      </c>
      <c r="E11" s="36">
        <f t="shared" si="1"/>
        <v>0.19802381555611848</v>
      </c>
      <c r="G11">
        <f t="shared" si="2"/>
        <v>7</v>
      </c>
      <c r="H11" s="54">
        <v>45352</v>
      </c>
      <c r="I11" s="106">
        <v>34045.919999999984</v>
      </c>
      <c r="J11" s="36">
        <f t="shared" si="3"/>
        <v>0.3069350715157646</v>
      </c>
      <c r="L11">
        <f t="shared" si="4"/>
        <v>7</v>
      </c>
      <c r="M11" s="54">
        <v>45352</v>
      </c>
      <c r="N11" s="106">
        <v>11171.919999999984</v>
      </c>
      <c r="O11" s="36">
        <f t="shared" si="5"/>
        <v>6.2555401266855437E-2</v>
      </c>
    </row>
    <row r="12" spans="2:15" x14ac:dyDescent="0.3">
      <c r="B12">
        <f t="shared" si="0"/>
        <v>8</v>
      </c>
      <c r="C12" s="54">
        <v>45717</v>
      </c>
      <c r="D12" s="106">
        <v>152913</v>
      </c>
      <c r="E12" s="36">
        <f t="shared" si="1"/>
        <v>7.7930042718775017E-2</v>
      </c>
      <c r="G12">
        <f t="shared" si="2"/>
        <v>8</v>
      </c>
      <c r="H12" s="54">
        <v>45717</v>
      </c>
      <c r="I12" s="106">
        <v>35169.990000000005</v>
      </c>
      <c r="J12" s="36">
        <f t="shared" si="3"/>
        <v>3.3016290938826742E-2</v>
      </c>
      <c r="L12">
        <f t="shared" si="4"/>
        <v>8</v>
      </c>
      <c r="M12" s="54">
        <v>45717</v>
      </c>
      <c r="N12" s="106">
        <v>9747.9900000000052</v>
      </c>
      <c r="O12" s="36">
        <f t="shared" si="5"/>
        <v>-0.12745615793883058</v>
      </c>
    </row>
    <row r="13" spans="2:15" x14ac:dyDescent="0.3">
      <c r="B13">
        <f t="shared" si="0"/>
        <v>9</v>
      </c>
      <c r="C13" s="54">
        <v>46082</v>
      </c>
      <c r="D13" s="106">
        <v>183316</v>
      </c>
      <c r="E13" s="36">
        <f t="shared" si="1"/>
        <v>0.19882547592421829</v>
      </c>
      <c r="G13">
        <f t="shared" si="2"/>
        <v>9</v>
      </c>
      <c r="H13" s="54">
        <v>46082</v>
      </c>
      <c r="I13" s="106">
        <v>38496.360000000015</v>
      </c>
      <c r="J13" s="36">
        <f t="shared" si="3"/>
        <v>9.4579782365590948E-2</v>
      </c>
      <c r="L13">
        <f t="shared" si="4"/>
        <v>9</v>
      </c>
      <c r="M13" s="54">
        <v>46082</v>
      </c>
      <c r="N13" s="106">
        <v>12397.360000000015</v>
      </c>
      <c r="O13" s="36">
        <f t="shared" si="5"/>
        <v>0.27178628619848899</v>
      </c>
    </row>
    <row r="14" spans="2:15" x14ac:dyDescent="0.3">
      <c r="B14">
        <f t="shared" si="0"/>
        <v>10</v>
      </c>
      <c r="C14" s="54">
        <f>C13+365</f>
        <v>46447</v>
      </c>
      <c r="D14" s="106">
        <v>197181</v>
      </c>
      <c r="E14" s="36">
        <f t="shared" si="1"/>
        <v>7.5634423618232915E-2</v>
      </c>
      <c r="G14">
        <f t="shared" si="2"/>
        <v>10</v>
      </c>
      <c r="H14" s="54">
        <f>H13+365</f>
        <v>46447</v>
      </c>
      <c r="I14" s="106">
        <v>197181</v>
      </c>
      <c r="J14" s="36">
        <f t="shared" si="3"/>
        <v>4.1220686838963454</v>
      </c>
      <c r="L14">
        <f t="shared" si="4"/>
        <v>10</v>
      </c>
      <c r="M14" s="54">
        <f>M13+365</f>
        <v>46447</v>
      </c>
      <c r="N14" s="106">
        <v>171344</v>
      </c>
      <c r="O14" s="36">
        <f t="shared" si="5"/>
        <v>12.821007053114517</v>
      </c>
    </row>
    <row r="15" spans="2:15" x14ac:dyDescent="0.3">
      <c r="B15">
        <f t="shared" si="0"/>
        <v>11</v>
      </c>
      <c r="C15" s="55">
        <f>C14+365</f>
        <v>46812</v>
      </c>
      <c r="D15" s="106">
        <f>FORECAST(B15,$D$5:$D$14,$B$5:$B$14)</f>
        <v>198321.26666666666</v>
      </c>
      <c r="E15" s="36">
        <f t="shared" si="1"/>
        <v>5.7828424983474846E-3</v>
      </c>
      <c r="G15">
        <f t="shared" si="2"/>
        <v>11</v>
      </c>
      <c r="H15" s="55">
        <f>H14+365</f>
        <v>46812</v>
      </c>
      <c r="I15" s="106">
        <f>FORECAST(G15,$I$5:$I$14,$G$5:$G$14)</f>
        <v>104196.12666666665</v>
      </c>
      <c r="J15" s="36">
        <f t="shared" si="3"/>
        <v>-0.47157116219784534</v>
      </c>
      <c r="L15">
        <f t="shared" si="4"/>
        <v>11</v>
      </c>
      <c r="M15" s="55">
        <f>M14+365</f>
        <v>46812</v>
      </c>
      <c r="N15" s="106">
        <f>FORECAST(L15,$N$5:$N$14,$L$5:$L$14)</f>
        <v>76630.393333333341</v>
      </c>
      <c r="O15" s="36">
        <f t="shared" si="5"/>
        <v>-0.5527687381330344</v>
      </c>
    </row>
    <row r="16" spans="2:15" x14ac:dyDescent="0.3">
      <c r="B16">
        <f t="shared" si="0"/>
        <v>12</v>
      </c>
      <c r="C16" s="55">
        <f>C15+365</f>
        <v>47177</v>
      </c>
      <c r="D16" s="106">
        <f t="shared" ref="D16:D19" si="6">FORECAST(B16,$D$5:$D$14,$B$5:$B$14)</f>
        <v>212672.09696969696</v>
      </c>
      <c r="E16" s="36">
        <f t="shared" si="1"/>
        <v>7.2361530078117076E-2</v>
      </c>
      <c r="G16">
        <f t="shared" si="2"/>
        <v>12</v>
      </c>
      <c r="H16" s="55">
        <f>H15+365</f>
        <v>47177</v>
      </c>
      <c r="I16" s="106">
        <f t="shared" ref="I16:I19" si="7">FORECAST(G16,$I$5:$I$14,$G$5:$G$14)</f>
        <v>115467.30006060607</v>
      </c>
      <c r="J16" s="36">
        <f t="shared" si="3"/>
        <v>0.10817267161952171</v>
      </c>
      <c r="L16">
        <f t="shared" si="4"/>
        <v>12</v>
      </c>
      <c r="M16" s="55">
        <f>M15+365</f>
        <v>47177</v>
      </c>
      <c r="N16" s="106">
        <f t="shared" ref="N16:N19" si="8">FORECAST(L16,$N$5:$N$14,$L$5:$L$14)</f>
        <v>85991.378848484863</v>
      </c>
      <c r="O16" s="36">
        <f t="shared" si="5"/>
        <v>0.12215760754916549</v>
      </c>
    </row>
    <row r="17" spans="2:15" x14ac:dyDescent="0.3">
      <c r="B17">
        <f t="shared" si="0"/>
        <v>13</v>
      </c>
      <c r="C17" s="55">
        <f>C16+365</f>
        <v>47542</v>
      </c>
      <c r="D17" s="106">
        <f>FORECAST(B17,$D$5:$D$14,$B$5:$B$14)</f>
        <v>227022.92727272728</v>
      </c>
      <c r="E17" s="36">
        <f t="shared" si="1"/>
        <v>6.7478670251110318E-2</v>
      </c>
      <c r="G17">
        <f t="shared" si="2"/>
        <v>13</v>
      </c>
      <c r="H17" s="55">
        <f>H16+365</f>
        <v>47542</v>
      </c>
      <c r="I17" s="106">
        <f t="shared" si="7"/>
        <v>126738.47345454546</v>
      </c>
      <c r="J17" s="36">
        <f t="shared" si="3"/>
        <v>9.7613552824248995E-2</v>
      </c>
      <c r="L17">
        <f t="shared" si="4"/>
        <v>13</v>
      </c>
      <c r="M17" s="55">
        <f>M16+365</f>
        <v>47542</v>
      </c>
      <c r="N17" s="106">
        <f t="shared" si="8"/>
        <v>95352.36436363637</v>
      </c>
      <c r="O17" s="36">
        <f t="shared" si="5"/>
        <v>0.10885958151276287</v>
      </c>
    </row>
    <row r="18" spans="2:15" x14ac:dyDescent="0.3">
      <c r="B18">
        <f t="shared" si="0"/>
        <v>14</v>
      </c>
      <c r="C18" s="55">
        <f>C17+365</f>
        <v>47907</v>
      </c>
      <c r="D18" s="106">
        <f t="shared" si="6"/>
        <v>241373.75757575757</v>
      </c>
      <c r="E18" s="36">
        <f t="shared" si="1"/>
        <v>6.3213132151143325E-2</v>
      </c>
      <c r="G18">
        <f t="shared" si="2"/>
        <v>14</v>
      </c>
      <c r="H18" s="55">
        <f>H17+365</f>
        <v>47907</v>
      </c>
      <c r="I18" s="106">
        <f t="shared" si="7"/>
        <v>138009.64684848484</v>
      </c>
      <c r="J18" s="36">
        <f t="shared" si="3"/>
        <v>8.8932532377248297E-2</v>
      </c>
      <c r="L18">
        <f t="shared" si="4"/>
        <v>14</v>
      </c>
      <c r="M18" s="55">
        <f>M17+365</f>
        <v>47907</v>
      </c>
      <c r="N18" s="106">
        <f t="shared" si="8"/>
        <v>104713.34987878789</v>
      </c>
      <c r="O18" s="36">
        <f t="shared" si="5"/>
        <v>9.8172557939438354E-2</v>
      </c>
    </row>
    <row r="19" spans="2:15" x14ac:dyDescent="0.3">
      <c r="B19">
        <f t="shared" si="0"/>
        <v>15</v>
      </c>
      <c r="C19" s="55">
        <f>C18+365</f>
        <v>48272</v>
      </c>
      <c r="D19" s="106">
        <f t="shared" si="6"/>
        <v>255724.58787878789</v>
      </c>
      <c r="E19" s="36">
        <f t="shared" si="1"/>
        <v>5.9454807544793598E-2</v>
      </c>
      <c r="G19">
        <f t="shared" si="2"/>
        <v>15</v>
      </c>
      <c r="H19" s="55">
        <f>H18+365</f>
        <v>48272</v>
      </c>
      <c r="I19" s="106">
        <f t="shared" si="7"/>
        <v>149280.82024242423</v>
      </c>
      <c r="J19" s="36">
        <f t="shared" si="3"/>
        <v>8.1669460442236774E-2</v>
      </c>
      <c r="L19">
        <f t="shared" si="4"/>
        <v>15</v>
      </c>
      <c r="M19" s="55">
        <f>M18+365</f>
        <v>48272</v>
      </c>
      <c r="N19" s="106">
        <f t="shared" si="8"/>
        <v>114074.3353939394</v>
      </c>
      <c r="O19" s="36">
        <f t="shared" si="5"/>
        <v>8.9396294989964709E-2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Maruti Suzuki India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1.0600000410264216</v>
      </c>
    </row>
    <row r="10" spans="1:15" x14ac:dyDescent="0.3">
      <c r="B10" s="34">
        <f>'Raw Data'!G6</f>
        <v>46283</v>
      </c>
      <c r="C10">
        <f>'Raw Data'!H6</f>
        <v>12103</v>
      </c>
      <c r="D10" s="45" t="s">
        <v>120</v>
      </c>
      <c r="F10" s="34">
        <f>'Raw Data'!G6</f>
        <v>46283</v>
      </c>
      <c r="G10">
        <f>'Raw Data'!J6</f>
        <v>23346.400000000001</v>
      </c>
      <c r="H10" s="45" t="s">
        <v>120</v>
      </c>
      <c r="J10" t="s">
        <v>198</v>
      </c>
      <c r="L10" s="46">
        <v>0.75</v>
      </c>
    </row>
    <row r="11" spans="1:15" x14ac:dyDescent="0.3">
      <c r="B11" s="34">
        <f>'Raw Data'!G7</f>
        <v>46282</v>
      </c>
      <c r="C11">
        <f>'Raw Data'!H7</f>
        <v>12338</v>
      </c>
      <c r="D11" s="36">
        <f>C10/C11-1</f>
        <v>-1.9046847138920353E-2</v>
      </c>
      <c r="F11" s="34">
        <f>'Raw Data'!G7</f>
        <v>46282</v>
      </c>
      <c r="G11">
        <f>'Raw Data'!J7</f>
        <v>23270.6</v>
      </c>
      <c r="H11" s="36">
        <f>G10/G11-1</f>
        <v>3.2573289902282365E-3</v>
      </c>
      <c r="N11" t="s">
        <v>194</v>
      </c>
      <c r="O11">
        <f>SLOPE(D10:D256, H10:H256)</f>
        <v>1.0600000410264216</v>
      </c>
    </row>
    <row r="12" spans="1:15" x14ac:dyDescent="0.3">
      <c r="B12" s="34">
        <f>'Raw Data'!G8</f>
        <v>46281</v>
      </c>
      <c r="C12">
        <f>'Raw Data'!H8</f>
        <v>12166</v>
      </c>
      <c r="D12" s="36">
        <f>C11/C12-1</f>
        <v>1.4137760973204072E-2</v>
      </c>
      <c r="F12" s="34">
        <f>'Raw Data'!G8</f>
        <v>46281</v>
      </c>
      <c r="G12">
        <f>'Raw Data'!J8</f>
        <v>23217.599999999999</v>
      </c>
      <c r="H12" s="36">
        <f>G11/G12-1</f>
        <v>2.2827510164702414E-3</v>
      </c>
      <c r="J12" t="s">
        <v>199</v>
      </c>
      <c r="L12" s="47">
        <v>1</v>
      </c>
      <c r="N12" t="s">
        <v>195</v>
      </c>
      <c r="O12">
        <f>_xlfn.COVARIANCE.S(D10:D256, H10:H256)/_xlfn.VAR.S(H10:H256)</f>
        <v>1.0600000410264223</v>
      </c>
    </row>
    <row r="13" spans="1:15" x14ac:dyDescent="0.3">
      <c r="B13" s="34">
        <f>'Raw Data'!G9</f>
        <v>46280</v>
      </c>
      <c r="C13">
        <f>'Raw Data'!H9</f>
        <v>12231</v>
      </c>
      <c r="D13" s="36">
        <f>C12/C13-1</f>
        <v>-5.3143651377647316E-3</v>
      </c>
      <c r="F13" s="34">
        <f>'Raw Data'!G9</f>
        <v>46280</v>
      </c>
      <c r="G13">
        <f>'Raw Data'!J9</f>
        <v>23118.6</v>
      </c>
      <c r="H13" s="36">
        <f>G12/G13-1</f>
        <v>4.2822662271937428E-3</v>
      </c>
      <c r="J13" t="s">
        <v>200</v>
      </c>
      <c r="L13" s="46">
        <v>0.25</v>
      </c>
    </row>
    <row r="14" spans="1:15" x14ac:dyDescent="0.3">
      <c r="B14" s="34">
        <f>'Raw Data'!G10</f>
        <v>46276</v>
      </c>
      <c r="C14">
        <f>'Raw Data'!H10</f>
        <v>12400</v>
      </c>
      <c r="D14" s="36">
        <f>C13/C14-1</f>
        <v>-1.3629032258064555E-2</v>
      </c>
      <c r="F14" s="34">
        <f>'Raw Data'!G10</f>
        <v>46276</v>
      </c>
      <c r="G14">
        <f>'Raw Data'!J10</f>
        <v>23398.1</v>
      </c>
      <c r="H14" s="36">
        <f>G13/G14-1</f>
        <v>-1.1945414371252405E-2</v>
      </c>
    </row>
    <row r="15" spans="1:15" x14ac:dyDescent="0.3">
      <c r="B15" s="34">
        <f>'Raw Data'!G11</f>
        <v>46275</v>
      </c>
      <c r="C15">
        <f>'Raw Data'!H11</f>
        <v>12590</v>
      </c>
      <c r="D15" s="36">
        <f>C14/C15-1</f>
        <v>-1.5091342335186608E-2</v>
      </c>
      <c r="F15" s="34">
        <f>'Raw Data'!G11</f>
        <v>46275</v>
      </c>
      <c r="G15">
        <f>'Raw Data'!J11</f>
        <v>23477.8</v>
      </c>
      <c r="H15" s="36">
        <f>G14/G15-1</f>
        <v>-3.3946962662600999E-3</v>
      </c>
      <c r="J15" s="79" t="s">
        <v>201</v>
      </c>
      <c r="K15" s="79"/>
      <c r="L15" s="79">
        <f>(L9*L10)+(L12*L13)</f>
        <v>1.0450000307698162</v>
      </c>
    </row>
    <row r="16" spans="1:15" x14ac:dyDescent="0.3">
      <c r="B16" s="34">
        <f>'Raw Data'!G12</f>
        <v>46274</v>
      </c>
      <c r="C16">
        <f>'Raw Data'!H12</f>
        <v>12618</v>
      </c>
      <c r="D16" s="36">
        <f>C15/C16-1</f>
        <v>-2.2190521477254421E-3</v>
      </c>
      <c r="F16" s="34">
        <f>'Raw Data'!G12</f>
        <v>46274</v>
      </c>
      <c r="G16">
        <f>'Raw Data'!J12</f>
        <v>23431.5</v>
      </c>
      <c r="H16" s="36">
        <f>G15/G16-1</f>
        <v>1.9759725156305308E-3</v>
      </c>
    </row>
    <row r="17" spans="2:8" x14ac:dyDescent="0.3">
      <c r="B17" s="34">
        <f>'Raw Data'!G13</f>
        <v>46273</v>
      </c>
      <c r="C17">
        <f>'Raw Data'!H13</f>
        <v>12641</v>
      </c>
      <c r="D17" s="36">
        <f>C16/C17-1</f>
        <v>-1.8194763072542086E-3</v>
      </c>
      <c r="F17" s="34">
        <f>'Raw Data'!G13</f>
        <v>46273</v>
      </c>
      <c r="G17">
        <f>'Raw Data'!J13</f>
        <v>23635.1</v>
      </c>
      <c r="H17" s="36">
        <f>G16/G17-1</f>
        <v>-8.6143066879343921E-3</v>
      </c>
    </row>
    <row r="18" spans="2:8" x14ac:dyDescent="0.3">
      <c r="B18" s="34">
        <f>'Raw Data'!G14</f>
        <v>46272</v>
      </c>
      <c r="C18">
        <f>'Raw Data'!H14</f>
        <v>12760</v>
      </c>
      <c r="D18" s="36">
        <f>C17/C18-1</f>
        <v>-9.3260188087774809E-3</v>
      </c>
      <c r="F18" s="34">
        <f>'Raw Data'!G14</f>
        <v>46272</v>
      </c>
      <c r="G18">
        <f>'Raw Data'!J14</f>
        <v>23779.15</v>
      </c>
      <c r="H18" s="36">
        <f>G17/G18-1</f>
        <v>-6.0578279711429595E-3</v>
      </c>
    </row>
    <row r="19" spans="2:8" x14ac:dyDescent="0.3">
      <c r="B19" s="34">
        <f>'Raw Data'!G15</f>
        <v>46269</v>
      </c>
      <c r="C19">
        <f>'Raw Data'!H15</f>
        <v>12694</v>
      </c>
      <c r="D19" s="36">
        <f>C18/C19-1</f>
        <v>5.199306759098743E-3</v>
      </c>
      <c r="F19" s="34">
        <f>'Raw Data'!G15</f>
        <v>46269</v>
      </c>
      <c r="G19">
        <f>'Raw Data'!J15</f>
        <v>23897.7</v>
      </c>
      <c r="H19" s="36">
        <f>G18/G19-1</f>
        <v>-4.9607284383015315E-3</v>
      </c>
    </row>
    <row r="20" spans="2:8" x14ac:dyDescent="0.3">
      <c r="B20" s="34">
        <f>'Raw Data'!G16</f>
        <v>46268</v>
      </c>
      <c r="C20">
        <f>'Raw Data'!H16</f>
        <v>12857</v>
      </c>
      <c r="D20" s="36">
        <f>C19/C20-1</f>
        <v>-1.2677918643540509E-2</v>
      </c>
      <c r="F20" s="34">
        <f>'Raw Data'!G16</f>
        <v>46268</v>
      </c>
      <c r="G20">
        <f>'Raw Data'!J16</f>
        <v>23873.45</v>
      </c>
      <c r="H20" s="36">
        <f>G19/G20-1</f>
        <v>1.0157727517388082E-3</v>
      </c>
    </row>
    <row r="21" spans="2:8" x14ac:dyDescent="0.3">
      <c r="B21" s="34">
        <f>'Raw Data'!G17</f>
        <v>46267</v>
      </c>
      <c r="C21">
        <f>'Raw Data'!H17</f>
        <v>12849</v>
      </c>
      <c r="D21" s="36">
        <f>C20/C21-1</f>
        <v>6.2261654603479322E-4</v>
      </c>
      <c r="F21" s="34">
        <f>'Raw Data'!G17</f>
        <v>46267</v>
      </c>
      <c r="G21">
        <f>'Raw Data'!J17</f>
        <v>23914.45</v>
      </c>
      <c r="H21" s="36">
        <f>G20/G21-1</f>
        <v>-1.7144446140304748E-3</v>
      </c>
    </row>
    <row r="22" spans="2:8" x14ac:dyDescent="0.3">
      <c r="B22" s="34">
        <f>'Raw Data'!G18</f>
        <v>46266</v>
      </c>
      <c r="C22">
        <f>'Raw Data'!H18</f>
        <v>12950</v>
      </c>
      <c r="D22" s="36">
        <f>C21/C22-1</f>
        <v>-7.7992277992278147E-3</v>
      </c>
      <c r="F22" s="34">
        <f>'Raw Data'!G18</f>
        <v>46266</v>
      </c>
      <c r="G22">
        <f>'Raw Data'!J18</f>
        <v>24055.8</v>
      </c>
      <c r="H22" s="36">
        <f>G21/G22-1</f>
        <v>-5.8759218151130943E-3</v>
      </c>
    </row>
    <row r="23" spans="2:8" x14ac:dyDescent="0.3">
      <c r="B23" s="34">
        <f>'Raw Data'!G19</f>
        <v>46265</v>
      </c>
      <c r="C23">
        <f>'Raw Data'!H19</f>
        <v>13547</v>
      </c>
      <c r="D23" s="36">
        <f>C22/C23-1</f>
        <v>-4.4068797519746017E-2</v>
      </c>
      <c r="F23" s="34">
        <f>'Raw Data'!G19</f>
        <v>46265</v>
      </c>
      <c r="G23">
        <f>'Raw Data'!J19</f>
        <v>24080.400000000001</v>
      </c>
      <c r="H23" s="36">
        <f>G22/G23-1</f>
        <v>-1.0215777146559413E-3</v>
      </c>
    </row>
    <row r="24" spans="2:8" x14ac:dyDescent="0.3">
      <c r="B24" s="34">
        <f>'Raw Data'!G20</f>
        <v>46262</v>
      </c>
      <c r="C24">
        <f>'Raw Data'!H20</f>
        <v>13376</v>
      </c>
      <c r="D24" s="36">
        <f>C23/C24-1</f>
        <v>1.2784090909090828E-2</v>
      </c>
      <c r="F24" s="34">
        <f>'Raw Data'!G20</f>
        <v>46262</v>
      </c>
      <c r="G24">
        <f>'Raw Data'!J20</f>
        <v>24175.65</v>
      </c>
      <c r="H24" s="36">
        <f>G23/G24-1</f>
        <v>-3.9399147489312947E-3</v>
      </c>
    </row>
    <row r="25" spans="2:8" x14ac:dyDescent="0.3">
      <c r="B25" s="34">
        <f>'Raw Data'!G21</f>
        <v>46261</v>
      </c>
      <c r="C25">
        <f>'Raw Data'!H21</f>
        <v>13440</v>
      </c>
      <c r="D25" s="36">
        <f>C24/C25-1</f>
        <v>-4.761904761904745E-3</v>
      </c>
      <c r="F25" s="34">
        <f>'Raw Data'!G21</f>
        <v>46261</v>
      </c>
      <c r="G25">
        <f>'Raw Data'!J21</f>
        <v>24090.85</v>
      </c>
      <c r="H25" s="36">
        <f>G24/G25-1</f>
        <v>3.5200086339834957E-3</v>
      </c>
    </row>
    <row r="26" spans="2:8" x14ac:dyDescent="0.3">
      <c r="B26" s="34">
        <f>'Raw Data'!G22</f>
        <v>46260</v>
      </c>
      <c r="C26">
        <f>'Raw Data'!H22</f>
        <v>13520</v>
      </c>
      <c r="D26" s="36">
        <f>C25/C26-1</f>
        <v>-5.9171597633136397E-3</v>
      </c>
      <c r="F26" s="34">
        <f>'Raw Data'!G22</f>
        <v>46260</v>
      </c>
      <c r="G26">
        <f>'Raw Data'!J22</f>
        <v>24207.75</v>
      </c>
      <c r="H26" s="36">
        <f>G25/G26-1</f>
        <v>-4.829032024868174E-3</v>
      </c>
    </row>
    <row r="27" spans="2:8" x14ac:dyDescent="0.3">
      <c r="B27" s="34">
        <f>'Raw Data'!G23</f>
        <v>46259</v>
      </c>
      <c r="C27">
        <f>'Raw Data'!H23</f>
        <v>13678</v>
      </c>
      <c r="D27" s="36">
        <f>C26/C27-1</f>
        <v>-1.1551396402982861E-2</v>
      </c>
      <c r="F27" s="34">
        <f>'Raw Data'!G23</f>
        <v>46259</v>
      </c>
      <c r="G27">
        <f>'Raw Data'!J23</f>
        <v>24334.55</v>
      </c>
      <c r="H27" s="36">
        <f>G26/G27-1</f>
        <v>-5.2106983691910802E-3</v>
      </c>
    </row>
    <row r="28" spans="2:8" x14ac:dyDescent="0.3">
      <c r="B28" s="34">
        <f>'Raw Data'!G24</f>
        <v>46258</v>
      </c>
      <c r="C28">
        <f>'Raw Data'!H24</f>
        <v>13620</v>
      </c>
      <c r="D28" s="36">
        <f>C27/C28-1</f>
        <v>4.2584434654919789E-3</v>
      </c>
      <c r="F28" s="34">
        <f>'Raw Data'!G24</f>
        <v>46258</v>
      </c>
      <c r="G28">
        <f>'Raw Data'!J24</f>
        <v>24219.05</v>
      </c>
      <c r="H28" s="36">
        <f>G27/G28-1</f>
        <v>4.7689731843321148E-3</v>
      </c>
    </row>
    <row r="29" spans="2:8" x14ac:dyDescent="0.3">
      <c r="B29" s="34">
        <f>'Raw Data'!G25</f>
        <v>46255</v>
      </c>
      <c r="C29">
        <f>'Raw Data'!H25</f>
        <v>13565</v>
      </c>
      <c r="D29" s="36">
        <f>C28/C29-1</f>
        <v>4.0545521562844744E-3</v>
      </c>
      <c r="F29" s="34">
        <f>'Raw Data'!G25</f>
        <v>46255</v>
      </c>
      <c r="G29">
        <f>'Raw Data'!J25</f>
        <v>24252</v>
      </c>
      <c r="H29" s="36">
        <f>G28/G29-1</f>
        <v>-1.3586508329209712E-3</v>
      </c>
    </row>
    <row r="30" spans="2:8" x14ac:dyDescent="0.3">
      <c r="B30" s="34">
        <f>'Raw Data'!G26</f>
        <v>46254</v>
      </c>
      <c r="C30">
        <f>'Raw Data'!H26</f>
        <v>13809</v>
      </c>
      <c r="D30" s="36">
        <f>C29/C30-1</f>
        <v>-1.7669635744804069E-2</v>
      </c>
      <c r="F30" s="34">
        <f>'Raw Data'!G26</f>
        <v>46254</v>
      </c>
      <c r="G30">
        <f>'Raw Data'!J26</f>
        <v>24231.85</v>
      </c>
      <c r="H30" s="36">
        <f>G29/G30-1</f>
        <v>8.3155021180814082E-4</v>
      </c>
    </row>
    <row r="31" spans="2:8" x14ac:dyDescent="0.3">
      <c r="B31" s="34">
        <f>'Raw Data'!G27</f>
        <v>46253</v>
      </c>
      <c r="C31">
        <f>'Raw Data'!H27</f>
        <v>13690</v>
      </c>
      <c r="D31" s="36">
        <f>C30/C31-1</f>
        <v>8.6924762600437688E-3</v>
      </c>
      <c r="F31" s="34">
        <f>'Raw Data'!G27</f>
        <v>46253</v>
      </c>
      <c r="G31">
        <f>'Raw Data'!J27</f>
        <v>24078.3</v>
      </c>
      <c r="H31" s="36">
        <f>G30/G31-1</f>
        <v>6.3771113409167857E-3</v>
      </c>
    </row>
    <row r="32" spans="2:8" x14ac:dyDescent="0.3">
      <c r="B32" s="34">
        <f>'Raw Data'!G28</f>
        <v>46252</v>
      </c>
      <c r="C32">
        <f>'Raw Data'!H28</f>
        <v>13691</v>
      </c>
      <c r="D32" s="36">
        <f>C31/C32-1</f>
        <v>-7.3040683660763328E-5</v>
      </c>
      <c r="F32" s="34">
        <f>'Raw Data'!G28</f>
        <v>46252</v>
      </c>
      <c r="G32">
        <f>'Raw Data'!J28</f>
        <v>24154.9</v>
      </c>
      <c r="H32" s="36">
        <f>G31/G32-1</f>
        <v>-3.1711992183781623E-3</v>
      </c>
    </row>
    <row r="33" spans="2:8" x14ac:dyDescent="0.3">
      <c r="B33" s="34">
        <f>'Raw Data'!G29</f>
        <v>46251</v>
      </c>
      <c r="C33">
        <f>'Raw Data'!H29</f>
        <v>13760</v>
      </c>
      <c r="D33" s="36">
        <f>C32/C33-1</f>
        <v>-5.0145348837209447E-3</v>
      </c>
      <c r="F33" s="34">
        <f>'Raw Data'!G29</f>
        <v>46251</v>
      </c>
      <c r="G33">
        <f>'Raw Data'!J29</f>
        <v>24287.65</v>
      </c>
      <c r="H33" s="36">
        <f>G32/G33-1</f>
        <v>-5.4657408188935053E-3</v>
      </c>
    </row>
    <row r="34" spans="2:8" x14ac:dyDescent="0.3">
      <c r="B34" s="34">
        <f>'Raw Data'!G30</f>
        <v>46248</v>
      </c>
      <c r="C34">
        <f>'Raw Data'!H30</f>
        <v>13834</v>
      </c>
      <c r="D34" s="36">
        <f>C33/C34-1</f>
        <v>-5.3491398004915647E-3</v>
      </c>
      <c r="F34" s="34">
        <f>'Raw Data'!G30</f>
        <v>46248</v>
      </c>
      <c r="G34">
        <f>'Raw Data'!J30</f>
        <v>24366</v>
      </c>
      <c r="H34" s="36">
        <f>G33/G34-1</f>
        <v>-3.2155462529753764E-3</v>
      </c>
    </row>
    <row r="35" spans="2:8" x14ac:dyDescent="0.3">
      <c r="B35" s="34">
        <f>'Raw Data'!G31</f>
        <v>46247</v>
      </c>
      <c r="C35">
        <f>'Raw Data'!H31</f>
        <v>13905</v>
      </c>
      <c r="D35" s="36">
        <f>C34/C35-1</f>
        <v>-5.1060769507371706E-3</v>
      </c>
      <c r="F35" s="34">
        <f>'Raw Data'!G31</f>
        <v>46247</v>
      </c>
      <c r="G35">
        <f>'Raw Data'!J31</f>
        <v>24395.85</v>
      </c>
      <c r="H35" s="36">
        <f>G34/G35-1</f>
        <v>-1.2235687627197844E-3</v>
      </c>
    </row>
    <row r="36" spans="2:8" x14ac:dyDescent="0.3">
      <c r="B36" s="34">
        <f>'Raw Data'!G32</f>
        <v>46246</v>
      </c>
      <c r="C36">
        <f>'Raw Data'!H32</f>
        <v>13875</v>
      </c>
      <c r="D36" s="36">
        <f>C35/C36-1</f>
        <v>2.1621621621621401E-3</v>
      </c>
      <c r="F36" s="34">
        <f>'Raw Data'!G32</f>
        <v>46246</v>
      </c>
      <c r="G36">
        <f>'Raw Data'!J32</f>
        <v>24435.95</v>
      </c>
      <c r="H36" s="36">
        <f>G35/G36-1</f>
        <v>-1.6410248015731321E-3</v>
      </c>
    </row>
    <row r="37" spans="2:8" x14ac:dyDescent="0.3">
      <c r="B37" s="34">
        <f>'Raw Data'!G33</f>
        <v>46245</v>
      </c>
      <c r="C37">
        <f>'Raw Data'!H33</f>
        <v>13990</v>
      </c>
      <c r="D37" s="36">
        <f>C36/C37-1</f>
        <v>-8.2201572551823254E-3</v>
      </c>
      <c r="F37" s="34">
        <f>'Raw Data'!G33</f>
        <v>46245</v>
      </c>
      <c r="G37">
        <f>'Raw Data'!J33</f>
        <v>24471.7</v>
      </c>
      <c r="H37" s="36">
        <f>G36/G37-1</f>
        <v>-1.4608711286915321E-3</v>
      </c>
    </row>
    <row r="38" spans="2:8" x14ac:dyDescent="0.3">
      <c r="B38" s="34">
        <f>'Raw Data'!G34</f>
        <v>46244</v>
      </c>
      <c r="C38">
        <f>'Raw Data'!H34</f>
        <v>14097</v>
      </c>
      <c r="D38" s="36">
        <f>C37/C38-1</f>
        <v>-7.5902674327871233E-3</v>
      </c>
      <c r="F38" s="34">
        <f>'Raw Data'!G34</f>
        <v>46244</v>
      </c>
      <c r="G38">
        <f>'Raw Data'!J34</f>
        <v>24583.8</v>
      </c>
      <c r="H38" s="36">
        <f>G37/G38-1</f>
        <v>-4.5599134389312512E-3</v>
      </c>
    </row>
    <row r="39" spans="2:8" x14ac:dyDescent="0.3">
      <c r="B39" s="34">
        <f>'Raw Data'!G35</f>
        <v>46241</v>
      </c>
      <c r="C39">
        <f>'Raw Data'!H35</f>
        <v>14037</v>
      </c>
      <c r="D39" s="36">
        <f>C38/C39-1</f>
        <v>4.2744176106006559E-3</v>
      </c>
      <c r="F39" s="34">
        <f>'Raw Data'!G35</f>
        <v>46241</v>
      </c>
      <c r="G39">
        <f>'Raw Data'!J35</f>
        <v>24570.65</v>
      </c>
      <c r="H39" s="36">
        <f>G38/G39-1</f>
        <v>5.3519137670332562E-4</v>
      </c>
    </row>
    <row r="40" spans="2:8" x14ac:dyDescent="0.3">
      <c r="B40" s="34">
        <f>'Raw Data'!G36</f>
        <v>46240</v>
      </c>
      <c r="C40">
        <f>'Raw Data'!H36</f>
        <v>14080</v>
      </c>
      <c r="D40" s="36">
        <f>C39/C40-1</f>
        <v>-3.0539772727272707E-3</v>
      </c>
      <c r="F40" s="34">
        <f>'Raw Data'!G36</f>
        <v>46240</v>
      </c>
      <c r="G40">
        <f>'Raw Data'!J36</f>
        <v>24636</v>
      </c>
      <c r="H40" s="36">
        <f>G39/G40-1</f>
        <v>-2.6526221789251458E-3</v>
      </c>
    </row>
    <row r="41" spans="2:8" x14ac:dyDescent="0.3">
      <c r="B41" s="34">
        <f>'Raw Data'!G37</f>
        <v>46239</v>
      </c>
      <c r="C41">
        <f>'Raw Data'!H37</f>
        <v>14190</v>
      </c>
      <c r="D41" s="36">
        <f>C40/C41-1</f>
        <v>-7.7519379844961378E-3</v>
      </c>
      <c r="F41" s="34">
        <f>'Raw Data'!G37</f>
        <v>46239</v>
      </c>
      <c r="G41">
        <f>'Raw Data'!J37</f>
        <v>24624.65</v>
      </c>
      <c r="H41" s="36">
        <f>G40/G41-1</f>
        <v>4.6092025673449832E-4</v>
      </c>
    </row>
    <row r="42" spans="2:8" x14ac:dyDescent="0.3">
      <c r="B42" s="34">
        <f>'Raw Data'!G38</f>
        <v>46238</v>
      </c>
      <c r="C42">
        <f>'Raw Data'!H38</f>
        <v>14168</v>
      </c>
      <c r="D42" s="36">
        <f>C41/C42-1</f>
        <v>1.5527950310558758E-3</v>
      </c>
      <c r="F42" s="34">
        <f>'Raw Data'!G38</f>
        <v>46238</v>
      </c>
      <c r="G42">
        <f>'Raw Data'!J38</f>
        <v>24614.9</v>
      </c>
      <c r="H42" s="36">
        <f>G41/G42-1</f>
        <v>3.9610154824920585E-4</v>
      </c>
    </row>
    <row r="43" spans="2:8" x14ac:dyDescent="0.3">
      <c r="B43" s="34">
        <f>'Raw Data'!G39</f>
        <v>46237</v>
      </c>
      <c r="C43">
        <f>'Raw Data'!H39</f>
        <v>14150</v>
      </c>
      <c r="D43" s="36">
        <f>C42/C43-1</f>
        <v>1.2720848056537726E-3</v>
      </c>
      <c r="F43" s="34">
        <f>'Raw Data'!G39</f>
        <v>46237</v>
      </c>
      <c r="G43">
        <f>'Raw Data'!J39</f>
        <v>24774.3</v>
      </c>
      <c r="H43" s="36">
        <f>G42/G43-1</f>
        <v>-6.4340869368659792E-3</v>
      </c>
    </row>
    <row r="44" spans="2:8" x14ac:dyDescent="0.3">
      <c r="B44" s="34">
        <f>'Raw Data'!G40</f>
        <v>46234</v>
      </c>
      <c r="C44">
        <f>'Raw Data'!H40</f>
        <v>14234</v>
      </c>
      <c r="D44" s="36">
        <f>C43/C44-1</f>
        <v>-5.9013629338203755E-3</v>
      </c>
      <c r="F44" s="34">
        <f>'Raw Data'!G40</f>
        <v>46234</v>
      </c>
      <c r="G44">
        <f>'Raw Data'!J40</f>
        <v>24383.599999999999</v>
      </c>
      <c r="H44" s="36">
        <f>G43/G44-1</f>
        <v>1.6023064682819665E-2</v>
      </c>
    </row>
    <row r="45" spans="2:8" x14ac:dyDescent="0.3">
      <c r="B45" s="34">
        <f>'Raw Data'!G41</f>
        <v>46233</v>
      </c>
      <c r="C45">
        <f>'Raw Data'!H41</f>
        <v>14188</v>
      </c>
      <c r="D45" s="36">
        <f>C44/C45-1</f>
        <v>3.242176487172177E-3</v>
      </c>
      <c r="F45" s="34">
        <f>'Raw Data'!G41</f>
        <v>46233</v>
      </c>
      <c r="G45">
        <f>'Raw Data'!J41</f>
        <v>24317.15</v>
      </c>
      <c r="H45" s="36">
        <f>G44/G45-1</f>
        <v>2.7326393101163582E-3</v>
      </c>
    </row>
    <row r="46" spans="2:8" x14ac:dyDescent="0.3">
      <c r="B46" s="34">
        <f>'Raw Data'!G42</f>
        <v>46232</v>
      </c>
      <c r="C46">
        <f>'Raw Data'!H42</f>
        <v>13948</v>
      </c>
      <c r="D46" s="36">
        <f>C45/C46-1</f>
        <v>1.7206767995411543E-2</v>
      </c>
      <c r="F46" s="34">
        <f>'Raw Data'!G42</f>
        <v>46232</v>
      </c>
      <c r="G46">
        <f>'Raw Data'!J42</f>
        <v>24250.2</v>
      </c>
      <c r="H46" s="36">
        <f>G45/G46-1</f>
        <v>2.7608019727671795E-3</v>
      </c>
    </row>
    <row r="47" spans="2:8" x14ac:dyDescent="0.3">
      <c r="B47" s="34">
        <f>'Raw Data'!G43</f>
        <v>46231</v>
      </c>
      <c r="C47">
        <f>'Raw Data'!H43</f>
        <v>13802</v>
      </c>
      <c r="D47" s="36">
        <f>C46/C47-1</f>
        <v>1.0578177075786011E-2</v>
      </c>
      <c r="F47" s="34">
        <f>'Raw Data'!G43</f>
        <v>46231</v>
      </c>
      <c r="G47">
        <f>'Raw Data'!J43</f>
        <v>23985.35</v>
      </c>
      <c r="H47" s="36">
        <f>G46/G47-1</f>
        <v>1.1042156983325224E-2</v>
      </c>
    </row>
    <row r="48" spans="2:8" x14ac:dyDescent="0.3">
      <c r="B48" s="34">
        <f>'Raw Data'!G44</f>
        <v>46230</v>
      </c>
      <c r="C48">
        <f>'Raw Data'!H44</f>
        <v>13730</v>
      </c>
      <c r="D48" s="36">
        <f>C47/C48-1</f>
        <v>5.2439912600146243E-3</v>
      </c>
      <c r="F48" s="34">
        <f>'Raw Data'!G44</f>
        <v>46230</v>
      </c>
      <c r="G48">
        <f>'Raw Data'!J44</f>
        <v>23995.95</v>
      </c>
      <c r="H48" s="36">
        <f>G47/G48-1</f>
        <v>-4.4174121049600501E-4</v>
      </c>
    </row>
    <row r="49" spans="2:8" x14ac:dyDescent="0.3">
      <c r="B49" s="34">
        <f>'Raw Data'!G45</f>
        <v>46227</v>
      </c>
      <c r="C49">
        <f>'Raw Data'!H45</f>
        <v>13442</v>
      </c>
      <c r="D49" s="36">
        <f>C48/C49-1</f>
        <v>2.1425383127510855E-2</v>
      </c>
      <c r="F49" s="34">
        <f>'Raw Data'!G45</f>
        <v>46227</v>
      </c>
      <c r="G49">
        <f>'Raw Data'!J45</f>
        <v>23767.45</v>
      </c>
      <c r="H49" s="36">
        <f>G48/G49-1</f>
        <v>9.6139888797495132E-3</v>
      </c>
    </row>
    <row r="50" spans="2:8" x14ac:dyDescent="0.3">
      <c r="B50" s="34">
        <f>'Raw Data'!G46</f>
        <v>46226</v>
      </c>
      <c r="C50">
        <f>'Raw Data'!H46</f>
        <v>13403</v>
      </c>
      <c r="D50" s="36">
        <f>C49/C50-1</f>
        <v>2.9097963142579175E-3</v>
      </c>
      <c r="F50" s="34">
        <f>'Raw Data'!G46</f>
        <v>46226</v>
      </c>
      <c r="G50">
        <f>'Raw Data'!J46</f>
        <v>23869.599999999999</v>
      </c>
      <c r="H50" s="36">
        <f>G49/G50-1</f>
        <v>-4.2795019606527429E-3</v>
      </c>
    </row>
    <row r="51" spans="2:8" x14ac:dyDescent="0.3">
      <c r="B51" s="34">
        <f>'Raw Data'!G47</f>
        <v>46225</v>
      </c>
      <c r="C51">
        <f>'Raw Data'!H47</f>
        <v>13545</v>
      </c>
      <c r="D51" s="36">
        <f>C50/C51-1</f>
        <v>-1.0483573274270963E-2</v>
      </c>
      <c r="F51" s="34">
        <f>'Raw Data'!G47</f>
        <v>46225</v>
      </c>
      <c r="G51">
        <f>'Raw Data'!J47</f>
        <v>23996.25</v>
      </c>
      <c r="H51" s="36">
        <f>G50/G51-1</f>
        <v>-5.2779080064594419E-3</v>
      </c>
    </row>
    <row r="52" spans="2:8" x14ac:dyDescent="0.3">
      <c r="B52" s="34">
        <f>'Raw Data'!G48</f>
        <v>46224</v>
      </c>
      <c r="C52">
        <f>'Raw Data'!H48</f>
        <v>13597</v>
      </c>
      <c r="D52" s="36">
        <f>C51/C52-1</f>
        <v>-3.8243730234610585E-3</v>
      </c>
      <c r="F52" s="34">
        <f>'Raw Data'!G48</f>
        <v>46224</v>
      </c>
      <c r="G52">
        <f>'Raw Data'!J48</f>
        <v>24187.7</v>
      </c>
      <c r="H52" s="36">
        <f>G51/G52-1</f>
        <v>-7.9151800295191865E-3</v>
      </c>
    </row>
    <row r="53" spans="2:8" x14ac:dyDescent="0.3">
      <c r="B53" s="34">
        <f>'Raw Data'!G49</f>
        <v>46223</v>
      </c>
      <c r="C53">
        <f>'Raw Data'!H49</f>
        <v>13514</v>
      </c>
      <c r="D53" s="36">
        <f>C52/C53-1</f>
        <v>6.141778895959682E-3</v>
      </c>
      <c r="F53" s="34">
        <f>'Raw Data'!G49</f>
        <v>46223</v>
      </c>
      <c r="G53">
        <f>'Raw Data'!J49</f>
        <v>24238.5</v>
      </c>
      <c r="H53" s="36">
        <f>G52/G53-1</f>
        <v>-2.0958392639808254E-3</v>
      </c>
    </row>
    <row r="54" spans="2:8" x14ac:dyDescent="0.3">
      <c r="B54" s="34">
        <f>'Raw Data'!G50</f>
        <v>46220</v>
      </c>
      <c r="C54">
        <f>'Raw Data'!H50</f>
        <v>13803</v>
      </c>
      <c r="D54" s="36">
        <f>C53/C54-1</f>
        <v>-2.0937477359994183E-2</v>
      </c>
      <c r="F54" s="34">
        <f>'Raw Data'!G50</f>
        <v>46220</v>
      </c>
      <c r="G54">
        <f>'Raw Data'!J50</f>
        <v>24334.3</v>
      </c>
      <c r="H54" s="36">
        <f>G53/G54-1</f>
        <v>-3.9368299067571444E-3</v>
      </c>
    </row>
    <row r="55" spans="2:8" x14ac:dyDescent="0.3">
      <c r="B55" s="34">
        <f>'Raw Data'!G51</f>
        <v>46219</v>
      </c>
      <c r="C55">
        <f>'Raw Data'!H51</f>
        <v>13783</v>
      </c>
      <c r="D55" s="36">
        <f>C54/C55-1</f>
        <v>1.4510629035768829E-3</v>
      </c>
      <c r="F55" s="34">
        <f>'Raw Data'!G51</f>
        <v>46219</v>
      </c>
      <c r="G55">
        <f>'Raw Data'!J51</f>
        <v>24072.75</v>
      </c>
      <c r="H55" s="36">
        <f>G54/G55-1</f>
        <v>1.0864982189404904E-2</v>
      </c>
    </row>
    <row r="56" spans="2:8" x14ac:dyDescent="0.3">
      <c r="B56" s="34">
        <f>'Raw Data'!G52</f>
        <v>46218</v>
      </c>
      <c r="C56">
        <f>'Raw Data'!H52</f>
        <v>13583</v>
      </c>
      <c r="D56" s="36">
        <f>C55/C56-1</f>
        <v>1.472428771258194E-2</v>
      </c>
      <c r="F56" s="34">
        <f>'Raw Data'!G52</f>
        <v>46218</v>
      </c>
      <c r="G56">
        <f>'Raw Data'!J52</f>
        <v>24078.5</v>
      </c>
      <c r="H56" s="36">
        <f>G55/G56-1</f>
        <v>-2.3880225097083763E-4</v>
      </c>
    </row>
    <row r="57" spans="2:8" x14ac:dyDescent="0.3">
      <c r="B57" s="34">
        <f>'Raw Data'!G53</f>
        <v>46217</v>
      </c>
      <c r="C57">
        <f>'Raw Data'!H53</f>
        <v>13489</v>
      </c>
      <c r="D57" s="36">
        <f>C56/C57-1</f>
        <v>6.9686411149825211E-3</v>
      </c>
      <c r="F57" s="34">
        <f>'Raw Data'!G53</f>
        <v>46217</v>
      </c>
      <c r="G57">
        <f>'Raw Data'!J53</f>
        <v>24052.05</v>
      </c>
      <c r="H57" s="36">
        <f>G56/G57-1</f>
        <v>1.0996983625095602E-3</v>
      </c>
    </row>
    <row r="58" spans="2:8" x14ac:dyDescent="0.3">
      <c r="B58" s="34">
        <f>'Raw Data'!G54</f>
        <v>46216</v>
      </c>
      <c r="C58">
        <f>'Raw Data'!H54</f>
        <v>13695</v>
      </c>
      <c r="D58" s="36">
        <f>C57/C58-1</f>
        <v>-1.5041986126323459E-2</v>
      </c>
      <c r="F58" s="34">
        <f>'Raw Data'!G54</f>
        <v>46216</v>
      </c>
      <c r="G58">
        <f>'Raw Data'!J54</f>
        <v>24211</v>
      </c>
      <c r="H58" s="36">
        <f>G57/G58-1</f>
        <v>-6.5651976374375698E-3</v>
      </c>
    </row>
    <row r="59" spans="2:8" x14ac:dyDescent="0.3">
      <c r="B59" s="34">
        <f>'Raw Data'!G55</f>
        <v>46213</v>
      </c>
      <c r="C59">
        <f>'Raw Data'!H55</f>
        <v>13854</v>
      </c>
      <c r="D59" s="36">
        <f>C58/C59-1</f>
        <v>-1.1476829796448706E-2</v>
      </c>
      <c r="F59" s="34">
        <f>'Raw Data'!G55</f>
        <v>46213</v>
      </c>
      <c r="G59">
        <f>'Raw Data'!J55</f>
        <v>24206.9</v>
      </c>
      <c r="H59" s="36">
        <f>G58/G59-1</f>
        <v>1.6937319524590322E-4</v>
      </c>
    </row>
    <row r="60" spans="2:8" x14ac:dyDescent="0.3">
      <c r="B60" s="34">
        <f>'Raw Data'!G56</f>
        <v>46212</v>
      </c>
      <c r="C60">
        <f>'Raw Data'!H56</f>
        <v>13728</v>
      </c>
      <c r="D60" s="36">
        <f>C59/C60-1</f>
        <v>9.1783216783216659E-3</v>
      </c>
      <c r="F60" s="34">
        <f>'Raw Data'!G56</f>
        <v>46212</v>
      </c>
      <c r="G60">
        <f>'Raw Data'!J56</f>
        <v>23962.799999999999</v>
      </c>
      <c r="H60" s="36">
        <f>G59/G60-1</f>
        <v>1.0186622598360895E-2</v>
      </c>
    </row>
    <row r="61" spans="2:8" x14ac:dyDescent="0.3">
      <c r="B61" s="34">
        <f>'Raw Data'!G57</f>
        <v>46211</v>
      </c>
      <c r="C61">
        <f>'Raw Data'!H57</f>
        <v>13951</v>
      </c>
      <c r="D61" s="36">
        <f>C60/C61-1</f>
        <v>-1.5984517238907592E-2</v>
      </c>
      <c r="F61" s="34">
        <f>'Raw Data'!G57</f>
        <v>46211</v>
      </c>
      <c r="G61">
        <f>'Raw Data'!J57</f>
        <v>23882.05</v>
      </c>
      <c r="H61" s="36">
        <f>G60/G61-1</f>
        <v>3.3812005250806187E-3</v>
      </c>
    </row>
    <row r="62" spans="2:8" x14ac:dyDescent="0.3">
      <c r="B62" s="34">
        <f>'Raw Data'!G58</f>
        <v>46210</v>
      </c>
      <c r="C62">
        <f>'Raw Data'!H58</f>
        <v>14538</v>
      </c>
      <c r="D62" s="36">
        <f>C61/C62-1</f>
        <v>-4.0376943183381475E-2</v>
      </c>
      <c r="F62" s="34">
        <f>'Raw Data'!G58</f>
        <v>46210</v>
      </c>
      <c r="G62">
        <f>'Raw Data'!J58</f>
        <v>24398.7</v>
      </c>
      <c r="H62" s="36">
        <f>G61/G62-1</f>
        <v>-2.1175308520535951E-2</v>
      </c>
    </row>
    <row r="63" spans="2:8" x14ac:dyDescent="0.3">
      <c r="B63" s="34">
        <f>'Raw Data'!G59</f>
        <v>46209</v>
      </c>
      <c r="C63">
        <f>'Raw Data'!H59</f>
        <v>14456</v>
      </c>
      <c r="D63" s="36">
        <f>C62/C63-1</f>
        <v>5.6723851687880966E-3</v>
      </c>
      <c r="F63" s="34">
        <f>'Raw Data'!G59</f>
        <v>46209</v>
      </c>
      <c r="G63">
        <f>'Raw Data'!J59</f>
        <v>24430.35</v>
      </c>
      <c r="H63" s="36">
        <f>G62/G63-1</f>
        <v>-1.2955197121612416E-3</v>
      </c>
    </row>
    <row r="64" spans="2:8" x14ac:dyDescent="0.3">
      <c r="B64" s="34">
        <f>'Raw Data'!G60</f>
        <v>46206</v>
      </c>
      <c r="C64">
        <f>'Raw Data'!H60</f>
        <v>14366</v>
      </c>
      <c r="D64" s="36">
        <f>C63/C64-1</f>
        <v>6.2647918696923099E-3</v>
      </c>
      <c r="F64" s="34">
        <f>'Raw Data'!G60</f>
        <v>46206</v>
      </c>
      <c r="G64">
        <f>'Raw Data'!J60</f>
        <v>24270.85</v>
      </c>
      <c r="H64" s="36">
        <f>G63/G64-1</f>
        <v>6.5716693070081433E-3</v>
      </c>
    </row>
    <row r="65" spans="2:8" x14ac:dyDescent="0.3">
      <c r="B65" s="34">
        <f>'Raw Data'!G61</f>
        <v>46205</v>
      </c>
      <c r="C65">
        <f>'Raw Data'!H61</f>
        <v>14348</v>
      </c>
      <c r="D65" s="36">
        <f>C64/C65-1</f>
        <v>1.2545302481181686E-3</v>
      </c>
      <c r="F65" s="34">
        <f>'Raw Data'!G61</f>
        <v>46205</v>
      </c>
      <c r="G65">
        <f>'Raw Data'!J61</f>
        <v>24175.7</v>
      </c>
      <c r="H65" s="36">
        <f>G64/G65-1</f>
        <v>3.9357702155469187E-3</v>
      </c>
    </row>
    <row r="66" spans="2:8" x14ac:dyDescent="0.3">
      <c r="B66" s="34">
        <f>'Raw Data'!G62</f>
        <v>46204</v>
      </c>
      <c r="C66">
        <f>'Raw Data'!H62</f>
        <v>14395</v>
      </c>
      <c r="D66" s="36">
        <f>C65/C66-1</f>
        <v>-3.2650225772837826E-3</v>
      </c>
      <c r="F66" s="34">
        <f>'Raw Data'!G62</f>
        <v>46204</v>
      </c>
      <c r="G66">
        <f>'Raw Data'!J62</f>
        <v>24005.85</v>
      </c>
      <c r="H66" s="36">
        <f>G65/G66-1</f>
        <v>7.0753587146468178E-3</v>
      </c>
    </row>
    <row r="67" spans="2:8" x14ac:dyDescent="0.3">
      <c r="B67" s="34">
        <f>'Raw Data'!G63</f>
        <v>46203</v>
      </c>
      <c r="C67">
        <f>'Raw Data'!H63</f>
        <v>14115</v>
      </c>
      <c r="D67" s="36">
        <f>C66/C67-1</f>
        <v>1.9837052780729669E-2</v>
      </c>
      <c r="F67" s="34">
        <f>'Raw Data'!G63</f>
        <v>46203</v>
      </c>
      <c r="G67">
        <f>'Raw Data'!J63</f>
        <v>23865.75</v>
      </c>
      <c r="H67" s="36">
        <f>G66/G67-1</f>
        <v>5.8703371987052222E-3</v>
      </c>
    </row>
    <row r="68" spans="2:8" x14ac:dyDescent="0.3">
      <c r="B68" s="34">
        <f>'Raw Data'!G64</f>
        <v>46202</v>
      </c>
      <c r="C68">
        <f>'Raw Data'!H64</f>
        <v>13412</v>
      </c>
      <c r="D68" s="36">
        <f>C67/C68-1</f>
        <v>5.241574709215624E-2</v>
      </c>
      <c r="F68" s="34">
        <f>'Raw Data'!G64</f>
        <v>46202</v>
      </c>
      <c r="G68">
        <f>'Raw Data'!J64</f>
        <v>23946.25</v>
      </c>
      <c r="H68" s="36">
        <f>G67/G68-1</f>
        <v>-3.3616954637991636E-3</v>
      </c>
    </row>
    <row r="69" spans="2:8" x14ac:dyDescent="0.3">
      <c r="B69" s="34">
        <f>'Raw Data'!G65</f>
        <v>46198</v>
      </c>
      <c r="C69">
        <f>'Raw Data'!H65</f>
        <v>13745</v>
      </c>
      <c r="D69" s="36">
        <f>C68/C69-1</f>
        <v>-2.4226991633321204E-2</v>
      </c>
      <c r="F69" s="34">
        <f>'Raw Data'!G65</f>
        <v>46198</v>
      </c>
      <c r="G69">
        <f>'Raw Data'!J65</f>
        <v>24056</v>
      </c>
      <c r="H69" s="36">
        <f>G68/G69-1</f>
        <v>-4.5622713668107551E-3</v>
      </c>
    </row>
    <row r="70" spans="2:8" x14ac:dyDescent="0.3">
      <c r="B70" s="34">
        <f>'Raw Data'!G66</f>
        <v>46197</v>
      </c>
      <c r="C70">
        <f>'Raw Data'!H66</f>
        <v>13248</v>
      </c>
      <c r="D70" s="36">
        <f>C69/C70-1</f>
        <v>3.7515096618357502E-2</v>
      </c>
      <c r="F70" s="34">
        <f>'Raw Data'!G66</f>
        <v>46197</v>
      </c>
      <c r="G70">
        <f>'Raw Data'!J66</f>
        <v>24021.65</v>
      </c>
      <c r="H70" s="36">
        <f>G69/G70-1</f>
        <v>1.4299600568652426E-3</v>
      </c>
    </row>
    <row r="71" spans="2:8" x14ac:dyDescent="0.3">
      <c r="B71" s="34">
        <f>'Raw Data'!G67</f>
        <v>46196</v>
      </c>
      <c r="C71">
        <f>'Raw Data'!H67</f>
        <v>13451</v>
      </c>
      <c r="D71" s="36">
        <f>C70/C71-1</f>
        <v>-1.5091814734963904E-2</v>
      </c>
      <c r="F71" s="34">
        <f>'Raw Data'!G67</f>
        <v>46196</v>
      </c>
      <c r="G71">
        <f>'Raw Data'!J67</f>
        <v>23824.1</v>
      </c>
      <c r="H71" s="36">
        <f>G70/G71-1</f>
        <v>8.2920236231380784E-3</v>
      </c>
    </row>
    <row r="72" spans="2:8" x14ac:dyDescent="0.3">
      <c r="B72" s="34">
        <f>'Raw Data'!G68</f>
        <v>46195</v>
      </c>
      <c r="C72">
        <f>'Raw Data'!H68</f>
        <v>13421</v>
      </c>
      <c r="D72" s="36">
        <f>C71/C72-1</f>
        <v>2.2353028835406796E-3</v>
      </c>
      <c r="F72" s="34">
        <f>'Raw Data'!G68</f>
        <v>46195</v>
      </c>
      <c r="G72">
        <f>'Raw Data'!J68</f>
        <v>24102.9</v>
      </c>
      <c r="H72" s="36">
        <f>G71/G72-1</f>
        <v>-1.1567072841857318E-2</v>
      </c>
    </row>
    <row r="73" spans="2:8" x14ac:dyDescent="0.3">
      <c r="B73" s="34">
        <f>'Raw Data'!G69</f>
        <v>46192</v>
      </c>
      <c r="C73">
        <f>'Raw Data'!H69</f>
        <v>13395</v>
      </c>
      <c r="D73" s="36">
        <f>C72/C73-1</f>
        <v>1.9410227696901039E-3</v>
      </c>
      <c r="F73" s="34">
        <f>'Raw Data'!G69</f>
        <v>46192</v>
      </c>
      <c r="G73">
        <f>'Raw Data'!J69</f>
        <v>24013.1</v>
      </c>
      <c r="H73" s="36">
        <f>G72/G73-1</f>
        <v>3.7396254544395102E-3</v>
      </c>
    </row>
    <row r="74" spans="2:8" x14ac:dyDescent="0.3">
      <c r="B74" s="34">
        <f>'Raw Data'!G70</f>
        <v>46191</v>
      </c>
      <c r="C74">
        <f>'Raw Data'!H70</f>
        <v>13484</v>
      </c>
      <c r="D74" s="36">
        <f>C73/C74-1</f>
        <v>-6.6004153070305938E-3</v>
      </c>
      <c r="F74" s="34">
        <f>'Raw Data'!G70</f>
        <v>46191</v>
      </c>
      <c r="G74">
        <f>'Raw Data'!J70</f>
        <v>24168</v>
      </c>
      <c r="H74" s="36">
        <f>G73/G74-1</f>
        <v>-6.4093015557763477E-3</v>
      </c>
    </row>
    <row r="75" spans="2:8" x14ac:dyDescent="0.3">
      <c r="B75" s="34">
        <f>'Raw Data'!G71</f>
        <v>46190</v>
      </c>
      <c r="C75">
        <f>'Raw Data'!H71</f>
        <v>13630</v>
      </c>
      <c r="D75" s="36">
        <f>C74/C75-1</f>
        <v>-1.0711665443873808E-2</v>
      </c>
      <c r="F75" s="34">
        <f>'Raw Data'!G71</f>
        <v>46190</v>
      </c>
      <c r="G75">
        <f>'Raw Data'!J71</f>
        <v>24085.7</v>
      </c>
      <c r="H75" s="36">
        <f>G74/G75-1</f>
        <v>3.4169652532414219E-3</v>
      </c>
    </row>
    <row r="76" spans="2:8" x14ac:dyDescent="0.3">
      <c r="B76" s="34">
        <f>'Raw Data'!G72</f>
        <v>46189</v>
      </c>
      <c r="C76">
        <f>'Raw Data'!H72</f>
        <v>13691</v>
      </c>
      <c r="D76" s="36">
        <f>C75/C76-1</f>
        <v>-4.4554817033087835E-3</v>
      </c>
      <c r="F76" s="34">
        <f>'Raw Data'!G72</f>
        <v>46189</v>
      </c>
      <c r="G76">
        <f>'Raw Data'!J72</f>
        <v>23989.15</v>
      </c>
      <c r="H76" s="36">
        <f>G75/G76-1</f>
        <v>4.0247361828158468E-3</v>
      </c>
    </row>
    <row r="77" spans="2:8" x14ac:dyDescent="0.3">
      <c r="B77" s="34">
        <f>'Raw Data'!G73</f>
        <v>46188</v>
      </c>
      <c r="C77">
        <f>'Raw Data'!H73</f>
        <v>13805</v>
      </c>
      <c r="D77" s="36">
        <f>C76/C77-1</f>
        <v>-8.2578775805867144E-3</v>
      </c>
      <c r="F77" s="34">
        <f>'Raw Data'!G73</f>
        <v>46188</v>
      </c>
      <c r="G77">
        <f>'Raw Data'!J73</f>
        <v>23853.9</v>
      </c>
      <c r="H77" s="36">
        <f>G76/G77-1</f>
        <v>5.6699323800299961E-3</v>
      </c>
    </row>
    <row r="78" spans="2:8" x14ac:dyDescent="0.3">
      <c r="B78" s="34">
        <f>'Raw Data'!G74</f>
        <v>46185</v>
      </c>
      <c r="C78">
        <f>'Raw Data'!H74</f>
        <v>13366</v>
      </c>
      <c r="D78" s="36">
        <f>C77/C78-1</f>
        <v>3.284453089929662E-2</v>
      </c>
      <c r="F78" s="34">
        <f>'Raw Data'!G74</f>
        <v>46185</v>
      </c>
      <c r="G78">
        <f>'Raw Data'!J74</f>
        <v>23622.9</v>
      </c>
      <c r="H78" s="36">
        <f>G77/G78-1</f>
        <v>9.7786469908436313E-3</v>
      </c>
    </row>
    <row r="79" spans="2:8" x14ac:dyDescent="0.3">
      <c r="B79" s="34">
        <f>'Raw Data'!G75</f>
        <v>46184</v>
      </c>
      <c r="C79">
        <f>'Raw Data'!H75</f>
        <v>13098</v>
      </c>
      <c r="D79" s="36">
        <f>C78/C79-1</f>
        <v>2.0461139105206971E-2</v>
      </c>
      <c r="F79" s="34">
        <f>'Raw Data'!G75</f>
        <v>46184</v>
      </c>
      <c r="G79">
        <f>'Raw Data'!J75</f>
        <v>23161.599999999999</v>
      </c>
      <c r="H79" s="36">
        <f>G78/G79-1</f>
        <v>1.9916586073501108E-2</v>
      </c>
    </row>
    <row r="80" spans="2:8" x14ac:dyDescent="0.3">
      <c r="B80" s="34">
        <f>'Raw Data'!G76</f>
        <v>46183</v>
      </c>
      <c r="C80">
        <f>'Raw Data'!H76</f>
        <v>13073</v>
      </c>
      <c r="D80" s="36">
        <f>C79/C80-1</f>
        <v>1.912338407404679E-3</v>
      </c>
      <c r="F80" s="34">
        <f>'Raw Data'!G76</f>
        <v>46183</v>
      </c>
      <c r="G80">
        <f>'Raw Data'!J76</f>
        <v>23214.95</v>
      </c>
      <c r="H80" s="36">
        <f>G79/G80-1</f>
        <v>-2.2980880854794883E-3</v>
      </c>
    </row>
    <row r="81" spans="2:8" x14ac:dyDescent="0.3">
      <c r="B81" s="34">
        <f>'Raw Data'!G77</f>
        <v>46182</v>
      </c>
      <c r="C81">
        <f>'Raw Data'!H77</f>
        <v>13120</v>
      </c>
      <c r="D81" s="36">
        <f>C80/C81-1</f>
        <v>-3.5823170731706933E-3</v>
      </c>
      <c r="F81" s="34">
        <f>'Raw Data'!G77</f>
        <v>46182</v>
      </c>
      <c r="G81">
        <f>'Raw Data'!J77</f>
        <v>23242.1</v>
      </c>
      <c r="H81" s="36">
        <f>G80/G81-1</f>
        <v>-1.1681388514805935E-3</v>
      </c>
    </row>
    <row r="82" spans="2:8" x14ac:dyDescent="0.3">
      <c r="B82" s="34">
        <f>'Raw Data'!G78</f>
        <v>46181</v>
      </c>
      <c r="C82">
        <f>'Raw Data'!H78</f>
        <v>12912</v>
      </c>
      <c r="D82" s="36">
        <f>C81/C82-1</f>
        <v>1.6109045848822889E-2</v>
      </c>
      <c r="F82" s="34">
        <f>'Raw Data'!G78</f>
        <v>46181</v>
      </c>
      <c r="G82">
        <f>'Raw Data'!J78</f>
        <v>23123</v>
      </c>
      <c r="H82" s="36">
        <f>G81/G82-1</f>
        <v>5.1507157375771939E-3</v>
      </c>
    </row>
    <row r="83" spans="2:8" x14ac:dyDescent="0.3">
      <c r="B83" s="34">
        <f>'Raw Data'!G79</f>
        <v>46178</v>
      </c>
      <c r="C83">
        <f>'Raw Data'!H79</f>
        <v>13050</v>
      </c>
      <c r="D83" s="36">
        <f>C82/C83-1</f>
        <v>-1.0574712643678152E-2</v>
      </c>
      <c r="F83" s="34">
        <f>'Raw Data'!G79</f>
        <v>46178</v>
      </c>
      <c r="G83">
        <f>'Raw Data'!J79</f>
        <v>23366.7</v>
      </c>
      <c r="H83" s="36">
        <f>G82/G83-1</f>
        <v>-1.0429371712736502E-2</v>
      </c>
    </row>
    <row r="84" spans="2:8" x14ac:dyDescent="0.3">
      <c r="B84" s="34">
        <f>'Raw Data'!G80</f>
        <v>46177</v>
      </c>
      <c r="C84">
        <f>'Raw Data'!H80</f>
        <v>13064</v>
      </c>
      <c r="D84" s="36">
        <f>C83/C84-1</f>
        <v>-1.0716472749541239E-3</v>
      </c>
      <c r="F84" s="34">
        <f>'Raw Data'!G80</f>
        <v>46177</v>
      </c>
      <c r="G84">
        <f>'Raw Data'!J80</f>
        <v>23416.55</v>
      </c>
      <c r="H84" s="36">
        <f>G83/G84-1</f>
        <v>-2.1288362290772245E-3</v>
      </c>
    </row>
    <row r="85" spans="2:8" x14ac:dyDescent="0.3">
      <c r="B85" s="34">
        <f>'Raw Data'!G81</f>
        <v>46176</v>
      </c>
      <c r="C85">
        <f>'Raw Data'!H81</f>
        <v>13044</v>
      </c>
      <c r="D85" s="36">
        <f>C84/C85-1</f>
        <v>1.5332720024532343E-3</v>
      </c>
      <c r="F85" s="34">
        <f>'Raw Data'!G81</f>
        <v>46176</v>
      </c>
      <c r="G85">
        <f>'Raw Data'!J81</f>
        <v>23405.599999999999</v>
      </c>
      <c r="H85" s="36">
        <f>G84/G85-1</f>
        <v>4.6783675701544958E-4</v>
      </c>
    </row>
    <row r="86" spans="2:8" x14ac:dyDescent="0.3">
      <c r="B86" s="34">
        <f>'Raw Data'!G82</f>
        <v>46175</v>
      </c>
      <c r="C86">
        <f>'Raw Data'!H82</f>
        <v>13022</v>
      </c>
      <c r="D86" s="36">
        <f>C85/C86-1</f>
        <v>1.6894486254031005E-3</v>
      </c>
      <c r="F86" s="34">
        <f>'Raw Data'!G82</f>
        <v>46175</v>
      </c>
      <c r="G86">
        <f>'Raw Data'!J82</f>
        <v>23483.55</v>
      </c>
      <c r="H86" s="36">
        <f>G85/G86-1</f>
        <v>-3.3193448179683616E-3</v>
      </c>
    </row>
    <row r="87" spans="2:8" x14ac:dyDescent="0.3">
      <c r="B87" s="34">
        <f>'Raw Data'!G83</f>
        <v>46174</v>
      </c>
      <c r="C87">
        <f>'Raw Data'!H83</f>
        <v>12946</v>
      </c>
      <c r="D87" s="36">
        <f>C86/C87-1</f>
        <v>5.8705391626756587E-3</v>
      </c>
      <c r="F87" s="34">
        <f>'Raw Data'!G83</f>
        <v>46174</v>
      </c>
      <c r="G87">
        <f>'Raw Data'!J83</f>
        <v>23382.6</v>
      </c>
      <c r="H87" s="36">
        <f>G86/G87-1</f>
        <v>4.3173128736753164E-3</v>
      </c>
    </row>
    <row r="88" spans="2:8" x14ac:dyDescent="0.3">
      <c r="B88" s="34">
        <f>'Raw Data'!G84</f>
        <v>46171</v>
      </c>
      <c r="C88">
        <f>'Raw Data'!H84</f>
        <v>13127</v>
      </c>
      <c r="D88" s="36">
        <f>C87/C88-1</f>
        <v>-1.3788375104745954E-2</v>
      </c>
      <c r="F88" s="34">
        <f>'Raw Data'!G84</f>
        <v>46171</v>
      </c>
      <c r="G88">
        <f>'Raw Data'!J84</f>
        <v>23547.75</v>
      </c>
      <c r="H88" s="36">
        <f>G87/G88-1</f>
        <v>-7.0134089244195952E-3</v>
      </c>
    </row>
    <row r="89" spans="2:8" x14ac:dyDescent="0.3">
      <c r="B89" s="34">
        <f>'Raw Data'!G85</f>
        <v>46169</v>
      </c>
      <c r="C89">
        <f>'Raw Data'!H85</f>
        <v>13364</v>
      </c>
      <c r="D89" s="36">
        <f>C88/C89-1</f>
        <v>-1.7734211313977899E-2</v>
      </c>
      <c r="F89" s="34">
        <f>'Raw Data'!G85</f>
        <v>46169</v>
      </c>
      <c r="G89">
        <f>'Raw Data'!J85</f>
        <v>23907.15</v>
      </c>
      <c r="H89" s="36">
        <f>G88/G89-1</f>
        <v>-1.5033159535954743E-2</v>
      </c>
    </row>
    <row r="90" spans="2:8" x14ac:dyDescent="0.3">
      <c r="B90" s="34">
        <f>'Raw Data'!G86</f>
        <v>46168</v>
      </c>
      <c r="C90">
        <f>'Raw Data'!H86</f>
        <v>13208</v>
      </c>
      <c r="D90" s="36">
        <f>C89/C90-1</f>
        <v>1.1811023622047223E-2</v>
      </c>
      <c r="F90" s="34">
        <f>'Raw Data'!G86</f>
        <v>46168</v>
      </c>
      <c r="G90">
        <f>'Raw Data'!J86</f>
        <v>23913.7</v>
      </c>
      <c r="H90" s="36">
        <f>G89/G90-1</f>
        <v>-2.7390157106588209E-4</v>
      </c>
    </row>
    <row r="91" spans="2:8" x14ac:dyDescent="0.3">
      <c r="B91" s="34">
        <f>'Raw Data'!G87</f>
        <v>46167</v>
      </c>
      <c r="C91">
        <f>'Raw Data'!H87</f>
        <v>13170</v>
      </c>
      <c r="D91" s="36">
        <f>C90/C91-1</f>
        <v>2.885345482156465E-3</v>
      </c>
      <c r="F91" s="34">
        <f>'Raw Data'!G87</f>
        <v>46167</v>
      </c>
      <c r="G91">
        <f>'Raw Data'!J87</f>
        <v>24031.7</v>
      </c>
      <c r="H91" s="36">
        <f>G90/G91-1</f>
        <v>-4.9101811357498137E-3</v>
      </c>
    </row>
    <row r="92" spans="2:8" x14ac:dyDescent="0.3">
      <c r="B92" s="34">
        <f>'Raw Data'!G88</f>
        <v>46164</v>
      </c>
      <c r="C92">
        <f>'Raw Data'!H88</f>
        <v>12987</v>
      </c>
      <c r="D92" s="36">
        <f>C91/C92-1</f>
        <v>1.4091014091013987E-2</v>
      </c>
      <c r="F92" s="34">
        <f>'Raw Data'!G88</f>
        <v>46164</v>
      </c>
      <c r="G92">
        <f>'Raw Data'!J88</f>
        <v>23719.3</v>
      </c>
      <c r="H92" s="36">
        <f>G91/G92-1</f>
        <v>1.3170709085006838E-2</v>
      </c>
    </row>
    <row r="93" spans="2:8" x14ac:dyDescent="0.3">
      <c r="B93" s="34">
        <f>'Raw Data'!G89</f>
        <v>46163</v>
      </c>
      <c r="C93">
        <f>'Raw Data'!H89</f>
        <v>13010</v>
      </c>
      <c r="D93" s="36">
        <f>C92/C93-1</f>
        <v>-1.7678708685626709E-3</v>
      </c>
      <c r="F93" s="34">
        <f>'Raw Data'!G89</f>
        <v>46163</v>
      </c>
      <c r="G93">
        <f>'Raw Data'!J89</f>
        <v>23654.7</v>
      </c>
      <c r="H93" s="36">
        <f>G92/G93-1</f>
        <v>2.7309583296342144E-3</v>
      </c>
    </row>
    <row r="94" spans="2:8" x14ac:dyDescent="0.3">
      <c r="B94" s="34">
        <f>'Raw Data'!G90</f>
        <v>46162</v>
      </c>
      <c r="C94">
        <f>'Raw Data'!H90</f>
        <v>13003</v>
      </c>
      <c r="D94" s="36">
        <f>C93/C94-1</f>
        <v>5.3833730677532721E-4</v>
      </c>
      <c r="F94" s="34">
        <f>'Raw Data'!G90</f>
        <v>46162</v>
      </c>
      <c r="G94">
        <f>'Raw Data'!J90</f>
        <v>23659</v>
      </c>
      <c r="H94" s="36">
        <f>G93/G94-1</f>
        <v>-1.8174901728729154E-4</v>
      </c>
    </row>
    <row r="95" spans="2:8" x14ac:dyDescent="0.3">
      <c r="B95" s="34">
        <f>'Raw Data'!G91</f>
        <v>46161</v>
      </c>
      <c r="C95">
        <f>'Raw Data'!H91</f>
        <v>12956</v>
      </c>
      <c r="D95" s="36">
        <f>C94/C95-1</f>
        <v>3.6276628589071436E-3</v>
      </c>
      <c r="F95" s="34">
        <f>'Raw Data'!G91</f>
        <v>46161</v>
      </c>
      <c r="G95">
        <f>'Raw Data'!J91</f>
        <v>23618</v>
      </c>
      <c r="H95" s="36">
        <f>G94/G95-1</f>
        <v>1.7359640951817301E-3</v>
      </c>
    </row>
    <row r="96" spans="2:8" x14ac:dyDescent="0.3">
      <c r="B96" s="34">
        <f>'Raw Data'!G92</f>
        <v>46160</v>
      </c>
      <c r="C96">
        <f>'Raw Data'!H92</f>
        <v>13016</v>
      </c>
      <c r="D96" s="36">
        <f>C95/C96-1</f>
        <v>-4.6097111247694889E-3</v>
      </c>
      <c r="F96" s="34">
        <f>'Raw Data'!G92</f>
        <v>46160</v>
      </c>
      <c r="G96">
        <f>'Raw Data'!J92</f>
        <v>23649.95</v>
      </c>
      <c r="H96" s="36">
        <f>G95/G96-1</f>
        <v>-1.3509542303472566E-3</v>
      </c>
    </row>
    <row r="97" spans="2:8" x14ac:dyDescent="0.3">
      <c r="B97" s="34">
        <f>'Raw Data'!G93</f>
        <v>46157</v>
      </c>
      <c r="C97">
        <f>'Raw Data'!H93</f>
        <v>13221</v>
      </c>
      <c r="D97" s="36">
        <f>C96/C97-1</f>
        <v>-1.5505634974661509E-2</v>
      </c>
      <c r="F97" s="34">
        <f>'Raw Data'!G93</f>
        <v>46157</v>
      </c>
      <c r="G97">
        <f>'Raw Data'!J93</f>
        <v>23643.5</v>
      </c>
      <c r="H97" s="36">
        <f>G96/G97-1</f>
        <v>2.7280225008996517E-4</v>
      </c>
    </row>
    <row r="98" spans="2:8" x14ac:dyDescent="0.3">
      <c r="B98" s="34">
        <f>'Raw Data'!G94</f>
        <v>46156</v>
      </c>
      <c r="C98">
        <f>'Raw Data'!H94</f>
        <v>13075</v>
      </c>
      <c r="D98" s="36">
        <f>C97/C98-1</f>
        <v>1.1166347992351833E-2</v>
      </c>
      <c r="F98" s="34">
        <f>'Raw Data'!G94</f>
        <v>46156</v>
      </c>
      <c r="G98">
        <f>'Raw Data'!J94</f>
        <v>23689.599999999999</v>
      </c>
      <c r="H98" s="36">
        <f>G97/G98-1</f>
        <v>-1.946001620964366E-3</v>
      </c>
    </row>
    <row r="99" spans="2:8" x14ac:dyDescent="0.3">
      <c r="B99" s="34">
        <f>'Raw Data'!G95</f>
        <v>46155</v>
      </c>
      <c r="C99">
        <f>'Raw Data'!H95</f>
        <v>13103</v>
      </c>
      <c r="D99" s="36">
        <f>C98/C99-1</f>
        <v>-2.136915210257162E-3</v>
      </c>
      <c r="F99" s="34">
        <f>'Raw Data'!G95</f>
        <v>46155</v>
      </c>
      <c r="G99">
        <f>'Raw Data'!J95</f>
        <v>23412.6</v>
      </c>
      <c r="H99" s="36">
        <f>G98/G99-1</f>
        <v>1.1831236171975679E-2</v>
      </c>
    </row>
    <row r="100" spans="2:8" x14ac:dyDescent="0.3">
      <c r="B100" s="34">
        <f>'Raw Data'!G96</f>
        <v>46154</v>
      </c>
      <c r="C100">
        <f>'Raw Data'!H96</f>
        <v>13172</v>
      </c>
      <c r="D100" s="36">
        <f>C99/C100-1</f>
        <v>-5.2383844518676392E-3</v>
      </c>
      <c r="F100" s="34">
        <f>'Raw Data'!G96</f>
        <v>46154</v>
      </c>
      <c r="G100">
        <f>'Raw Data'!J96</f>
        <v>23379.55</v>
      </c>
      <c r="H100" s="36">
        <f>G99/G100-1</f>
        <v>1.4136285771111368E-3</v>
      </c>
    </row>
    <row r="101" spans="2:8" x14ac:dyDescent="0.3">
      <c r="B101" s="34">
        <f>'Raw Data'!G97</f>
        <v>46153</v>
      </c>
      <c r="C101">
        <f>'Raw Data'!H97</f>
        <v>13483</v>
      </c>
      <c r="D101" s="36">
        <f>C100/C101-1</f>
        <v>-2.3066083215901534E-2</v>
      </c>
      <c r="F101" s="34">
        <f>'Raw Data'!G97</f>
        <v>46153</v>
      </c>
      <c r="G101">
        <f>'Raw Data'!J97</f>
        <v>23815.85</v>
      </c>
      <c r="H101" s="36">
        <f>G100/G101-1</f>
        <v>-1.8319732447088732E-2</v>
      </c>
    </row>
    <row r="102" spans="2:8" x14ac:dyDescent="0.3">
      <c r="B102" s="34">
        <f>'Raw Data'!G98</f>
        <v>46150</v>
      </c>
      <c r="C102">
        <f>'Raw Data'!H98</f>
        <v>13726</v>
      </c>
      <c r="D102" s="36">
        <f>C101/C102-1</f>
        <v>-1.7703628150954387E-2</v>
      </c>
      <c r="F102" s="34">
        <f>'Raw Data'!G98</f>
        <v>46150</v>
      </c>
      <c r="G102">
        <f>'Raw Data'!J98</f>
        <v>24176.15</v>
      </c>
      <c r="H102" s="36">
        <f>G101/G102-1</f>
        <v>-1.4903117328441629E-2</v>
      </c>
    </row>
    <row r="103" spans="2:8" x14ac:dyDescent="0.3">
      <c r="B103" s="34">
        <f>'Raw Data'!G99</f>
        <v>46149</v>
      </c>
      <c r="C103">
        <f>'Raw Data'!H99</f>
        <v>13770</v>
      </c>
      <c r="D103" s="36">
        <f>C102/C103-1</f>
        <v>-3.1953522149600344E-3</v>
      </c>
      <c r="F103" s="34">
        <f>'Raw Data'!G99</f>
        <v>46149</v>
      </c>
      <c r="G103">
        <f>'Raw Data'!J99</f>
        <v>24326.65</v>
      </c>
      <c r="H103" s="36">
        <f>G102/G103-1</f>
        <v>-6.1866307115858721E-3</v>
      </c>
    </row>
    <row r="104" spans="2:8" x14ac:dyDescent="0.3">
      <c r="B104" s="34">
        <f>'Raw Data'!G100</f>
        <v>46148</v>
      </c>
      <c r="C104">
        <f>'Raw Data'!H100</f>
        <v>13722</v>
      </c>
      <c r="D104" s="36">
        <f>C103/C104-1</f>
        <v>3.4980323567992411E-3</v>
      </c>
      <c r="F104" s="34">
        <f>'Raw Data'!G100</f>
        <v>46148</v>
      </c>
      <c r="G104">
        <f>'Raw Data'!J100</f>
        <v>24330.95</v>
      </c>
      <c r="H104" s="36">
        <f>G103/G104-1</f>
        <v>-1.7672963858783586E-4</v>
      </c>
    </row>
    <row r="105" spans="2:8" x14ac:dyDescent="0.3">
      <c r="B105" s="34">
        <f>'Raw Data'!G101</f>
        <v>46147</v>
      </c>
      <c r="C105">
        <f>'Raw Data'!H101</f>
        <v>13426</v>
      </c>
      <c r="D105" s="36">
        <f>C104/C105-1</f>
        <v>2.2046774914345368E-2</v>
      </c>
      <c r="F105" s="34">
        <f>'Raw Data'!G101</f>
        <v>46147</v>
      </c>
      <c r="G105">
        <f>'Raw Data'!J101</f>
        <v>24032.799999999999</v>
      </c>
      <c r="H105" s="36">
        <f>G104/G105-1</f>
        <v>1.2405961852135494E-2</v>
      </c>
    </row>
    <row r="106" spans="2:8" x14ac:dyDescent="0.3">
      <c r="B106" s="34">
        <f>'Raw Data'!G102</f>
        <v>46146</v>
      </c>
      <c r="C106">
        <f>'Raw Data'!H102</f>
        <v>13580</v>
      </c>
      <c r="D106" s="36">
        <f>C105/C106-1</f>
        <v>-1.134020618556697E-2</v>
      </c>
      <c r="F106" s="34">
        <f>'Raw Data'!G102</f>
        <v>46146</v>
      </c>
      <c r="G106">
        <f>'Raw Data'!J102</f>
        <v>24119.3</v>
      </c>
      <c r="H106" s="36">
        <f>G105/G106-1</f>
        <v>-3.5863395703855661E-3</v>
      </c>
    </row>
    <row r="107" spans="2:8" x14ac:dyDescent="0.3">
      <c r="B107" s="34">
        <f>'Raw Data'!G103</f>
        <v>46142</v>
      </c>
      <c r="C107">
        <f>'Raw Data'!H103</f>
        <v>13314</v>
      </c>
      <c r="D107" s="36">
        <f>C106/C107-1</f>
        <v>1.9978969505783484E-2</v>
      </c>
      <c r="F107" s="34">
        <f>'Raw Data'!G103</f>
        <v>46142</v>
      </c>
      <c r="G107">
        <f>'Raw Data'!J103</f>
        <v>23997.55</v>
      </c>
      <c r="H107" s="36">
        <f>G106/G107-1</f>
        <v>5.0734345797800451E-3</v>
      </c>
    </row>
    <row r="108" spans="2:8" x14ac:dyDescent="0.3">
      <c r="B108" s="34">
        <f>'Raw Data'!G104</f>
        <v>46141</v>
      </c>
      <c r="C108">
        <f>'Raw Data'!H104</f>
        <v>13257</v>
      </c>
      <c r="D108" s="36">
        <f>C107/C108-1</f>
        <v>4.2996152975787183E-3</v>
      </c>
      <c r="F108" s="34">
        <f>'Raw Data'!G104</f>
        <v>46141</v>
      </c>
      <c r="G108">
        <f>'Raw Data'!J104</f>
        <v>24177.65</v>
      </c>
      <c r="H108" s="36">
        <f>G107/G108-1</f>
        <v>-7.4490283381554168E-3</v>
      </c>
    </row>
    <row r="109" spans="2:8" x14ac:dyDescent="0.3">
      <c r="B109" s="34">
        <f>'Raw Data'!G105</f>
        <v>46140</v>
      </c>
      <c r="C109">
        <f>'Raw Data'!H105</f>
        <v>12892</v>
      </c>
      <c r="D109" s="36">
        <f>C108/C109-1</f>
        <v>2.8312131554452336E-2</v>
      </c>
      <c r="F109" s="34">
        <f>'Raw Data'!G105</f>
        <v>46140</v>
      </c>
      <c r="G109">
        <f>'Raw Data'!J105</f>
        <v>23995.7</v>
      </c>
      <c r="H109" s="36">
        <f>G108/G109-1</f>
        <v>7.5826085506986995E-3</v>
      </c>
    </row>
    <row r="110" spans="2:8" x14ac:dyDescent="0.3">
      <c r="B110" s="34">
        <f>'Raw Data'!G106</f>
        <v>46139</v>
      </c>
      <c r="C110">
        <f>'Raw Data'!H106</f>
        <v>13222</v>
      </c>
      <c r="D110" s="36">
        <f>C109/C110-1</f>
        <v>-2.4958402662229595E-2</v>
      </c>
      <c r="F110" s="34">
        <f>'Raw Data'!G106</f>
        <v>46139</v>
      </c>
      <c r="G110">
        <f>'Raw Data'!J106</f>
        <v>24092.7</v>
      </c>
      <c r="H110" s="36">
        <f>G109/G110-1</f>
        <v>-4.0261157944107007E-3</v>
      </c>
    </row>
    <row r="111" spans="2:8" x14ac:dyDescent="0.3">
      <c r="B111" s="34">
        <f>'Raw Data'!G107</f>
        <v>46136</v>
      </c>
      <c r="C111">
        <f>'Raw Data'!H107</f>
        <v>13048</v>
      </c>
      <c r="D111" s="36">
        <f>C110/C111-1</f>
        <v>1.3335377069282561E-2</v>
      </c>
      <c r="F111" s="34">
        <f>'Raw Data'!G107</f>
        <v>46136</v>
      </c>
      <c r="G111">
        <f>'Raw Data'!J107</f>
        <v>23897.95</v>
      </c>
      <c r="H111" s="36">
        <f>G110/G111-1</f>
        <v>8.1492345577758307E-3</v>
      </c>
    </row>
    <row r="112" spans="2:8" x14ac:dyDescent="0.3">
      <c r="B112" s="34">
        <f>'Raw Data'!G108</f>
        <v>46135</v>
      </c>
      <c r="C112">
        <f>'Raw Data'!H108</f>
        <v>13160</v>
      </c>
      <c r="D112" s="36">
        <f>C111/C112-1</f>
        <v>-8.5106382978723527E-3</v>
      </c>
      <c r="F112" s="34">
        <f>'Raw Data'!G108</f>
        <v>46135</v>
      </c>
      <c r="G112">
        <f>'Raw Data'!J108</f>
        <v>24173.05</v>
      </c>
      <c r="H112" s="36">
        <f>G111/G112-1</f>
        <v>-1.1380442269386726E-2</v>
      </c>
    </row>
    <row r="113" spans="2:8" x14ac:dyDescent="0.3">
      <c r="B113" s="34">
        <f>'Raw Data'!G109</f>
        <v>46134</v>
      </c>
      <c r="C113">
        <f>'Raw Data'!H109</f>
        <v>13337</v>
      </c>
      <c r="D113" s="36">
        <f>C112/C113-1</f>
        <v>-1.3271350378645907E-2</v>
      </c>
      <c r="F113" s="34">
        <f>'Raw Data'!G109</f>
        <v>46134</v>
      </c>
      <c r="G113">
        <f>'Raw Data'!J109</f>
        <v>24378.1</v>
      </c>
      <c r="H113" s="36">
        <f>G112/G113-1</f>
        <v>-8.4112379553779038E-3</v>
      </c>
    </row>
    <row r="114" spans="2:8" x14ac:dyDescent="0.3">
      <c r="B114" s="34">
        <f>'Raw Data'!G110</f>
        <v>46133</v>
      </c>
      <c r="C114">
        <f>'Raw Data'!H110</f>
        <v>13461</v>
      </c>
      <c r="D114" s="36">
        <f>C113/C114-1</f>
        <v>-9.2117970433103213E-3</v>
      </c>
      <c r="F114" s="34">
        <f>'Raw Data'!G110</f>
        <v>46133</v>
      </c>
      <c r="G114">
        <f>'Raw Data'!J110</f>
        <v>24576.6</v>
      </c>
      <c r="H114" s="36">
        <f>G113/G114-1</f>
        <v>-8.0767884898643727E-3</v>
      </c>
    </row>
    <row r="115" spans="2:8" x14ac:dyDescent="0.3">
      <c r="B115" s="34">
        <f>'Raw Data'!G111</f>
        <v>46132</v>
      </c>
      <c r="C115">
        <f>'Raw Data'!H111</f>
        <v>13450</v>
      </c>
      <c r="D115" s="36">
        <f>C114/C115-1</f>
        <v>8.1784386617100857E-4</v>
      </c>
      <c r="F115" s="34">
        <f>'Raw Data'!G111</f>
        <v>46132</v>
      </c>
      <c r="G115">
        <f>'Raw Data'!J111</f>
        <v>24364.85</v>
      </c>
      <c r="H115" s="36">
        <f>G114/G115-1</f>
        <v>8.690798424779933E-3</v>
      </c>
    </row>
    <row r="116" spans="2:8" x14ac:dyDescent="0.3">
      <c r="B116" s="34">
        <f>'Raw Data'!G112</f>
        <v>46129</v>
      </c>
      <c r="C116">
        <f>'Raw Data'!H112</f>
        <v>13453</v>
      </c>
      <c r="D116" s="36">
        <f>C115/C116-1</f>
        <v>-2.2299858767560465E-4</v>
      </c>
      <c r="F116" s="34">
        <f>'Raw Data'!G112</f>
        <v>46129</v>
      </c>
      <c r="G116">
        <f>'Raw Data'!J112</f>
        <v>24353.55</v>
      </c>
      <c r="H116" s="36">
        <f>G115/G116-1</f>
        <v>4.6399806188412995E-4</v>
      </c>
    </row>
    <row r="117" spans="2:8" x14ac:dyDescent="0.3">
      <c r="B117" s="34">
        <f>'Raw Data'!G113</f>
        <v>46128</v>
      </c>
      <c r="C117">
        <f>'Raw Data'!H113</f>
        <v>13335</v>
      </c>
      <c r="D117" s="36">
        <f>C116/C117-1</f>
        <v>8.8488938882640422E-3</v>
      </c>
      <c r="F117" s="34">
        <f>'Raw Data'!G113</f>
        <v>46128</v>
      </c>
      <c r="G117">
        <f>'Raw Data'!J113</f>
        <v>24196.75</v>
      </c>
      <c r="H117" s="36">
        <f>G116/G117-1</f>
        <v>6.4802091189932742E-3</v>
      </c>
    </row>
    <row r="118" spans="2:8" x14ac:dyDescent="0.3">
      <c r="B118" s="34">
        <f>'Raw Data'!G114</f>
        <v>46127</v>
      </c>
      <c r="C118">
        <f>'Raw Data'!H114</f>
        <v>13289</v>
      </c>
      <c r="D118" s="36">
        <f>C117/C118-1</f>
        <v>3.4615095191512513E-3</v>
      </c>
      <c r="F118" s="34">
        <f>'Raw Data'!G114</f>
        <v>46127</v>
      </c>
      <c r="G118">
        <f>'Raw Data'!J114</f>
        <v>24231.3</v>
      </c>
      <c r="H118" s="36">
        <f>G117/G118-1</f>
        <v>-1.4258417831481962E-3</v>
      </c>
    </row>
    <row r="119" spans="2:8" x14ac:dyDescent="0.3">
      <c r="B119" s="34">
        <f>'Raw Data'!G115</f>
        <v>46125</v>
      </c>
      <c r="C119">
        <f>'Raw Data'!H115</f>
        <v>13076</v>
      </c>
      <c r="D119" s="36">
        <f>C118/C119-1</f>
        <v>1.6289385133068324E-2</v>
      </c>
      <c r="F119" s="34">
        <f>'Raw Data'!G115</f>
        <v>46125</v>
      </c>
      <c r="G119">
        <f>'Raw Data'!J115</f>
        <v>23842.65</v>
      </c>
      <c r="H119" s="36">
        <f>G118/G119-1</f>
        <v>1.6300620946077649E-2</v>
      </c>
    </row>
    <row r="120" spans="2:8" x14ac:dyDescent="0.3">
      <c r="B120" s="34">
        <f>'Raw Data'!G116</f>
        <v>46122</v>
      </c>
      <c r="C120">
        <f>'Raw Data'!H116</f>
        <v>13709</v>
      </c>
      <c r="D120" s="36">
        <f>C119/C120-1</f>
        <v>-4.6174046246991063E-2</v>
      </c>
      <c r="F120" s="34">
        <f>'Raw Data'!G116</f>
        <v>46122</v>
      </c>
      <c r="G120">
        <f>'Raw Data'!J116</f>
        <v>24050.6</v>
      </c>
      <c r="H120" s="36">
        <f>G119/G120-1</f>
        <v>-8.6463539371157694E-3</v>
      </c>
    </row>
    <row r="121" spans="2:8" x14ac:dyDescent="0.3">
      <c r="B121" s="34">
        <f>'Raw Data'!G117</f>
        <v>46121</v>
      </c>
      <c r="C121">
        <f>'Raw Data'!H117</f>
        <v>13589</v>
      </c>
      <c r="D121" s="36">
        <f>C120/C121-1</f>
        <v>8.8306718669513007E-3</v>
      </c>
      <c r="F121" s="34">
        <f>'Raw Data'!G117</f>
        <v>46121</v>
      </c>
      <c r="G121">
        <f>'Raw Data'!J117</f>
        <v>23775.1</v>
      </c>
      <c r="H121" s="36">
        <f>G120/G121-1</f>
        <v>1.1587753574117565E-2</v>
      </c>
    </row>
    <row r="122" spans="2:8" x14ac:dyDescent="0.3">
      <c r="B122" s="34">
        <f>'Raw Data'!G118</f>
        <v>46120</v>
      </c>
      <c r="C122">
        <f>'Raw Data'!H118</f>
        <v>13602</v>
      </c>
      <c r="D122" s="36">
        <f>C121/C122-1</f>
        <v>-9.557418026761022E-4</v>
      </c>
      <c r="F122" s="34">
        <f>'Raw Data'!G118</f>
        <v>46120</v>
      </c>
      <c r="G122">
        <f>'Raw Data'!J118</f>
        <v>23997.35</v>
      </c>
      <c r="H122" s="36">
        <f>G121/G122-1</f>
        <v>-9.2614392839209803E-3</v>
      </c>
    </row>
    <row r="123" spans="2:8" x14ac:dyDescent="0.3">
      <c r="B123" s="34">
        <f>'Raw Data'!G119</f>
        <v>46119</v>
      </c>
      <c r="C123">
        <f>'Raw Data'!H119</f>
        <v>12798</v>
      </c>
      <c r="D123" s="36">
        <f>C122/C123-1</f>
        <v>6.2822315986873045E-2</v>
      </c>
      <c r="F123" s="34">
        <f>'Raw Data'!G119</f>
        <v>46119</v>
      </c>
      <c r="G123">
        <f>'Raw Data'!J119</f>
        <v>23123.65</v>
      </c>
      <c r="H123" s="36">
        <f>G122/G123-1</f>
        <v>3.7783827380192925E-2</v>
      </c>
    </row>
    <row r="124" spans="2:8" x14ac:dyDescent="0.3">
      <c r="B124" s="34">
        <f>'Raw Data'!G120</f>
        <v>46118</v>
      </c>
      <c r="C124">
        <f>'Raw Data'!H120</f>
        <v>12688</v>
      </c>
      <c r="D124" s="36">
        <f>C123/C124-1</f>
        <v>8.6696090794451397E-3</v>
      </c>
      <c r="F124" s="34">
        <f>'Raw Data'!G120</f>
        <v>46118</v>
      </c>
      <c r="G124">
        <f>'Raw Data'!J120</f>
        <v>22968.25</v>
      </c>
      <c r="H124" s="36">
        <f>G123/G124-1</f>
        <v>6.7658615697756552E-3</v>
      </c>
    </row>
    <row r="125" spans="2:8" x14ac:dyDescent="0.3">
      <c r="B125" s="34">
        <f>'Raw Data'!G121</f>
        <v>46114</v>
      </c>
      <c r="C125">
        <f>'Raw Data'!H121</f>
        <v>12631</v>
      </c>
      <c r="D125" s="36">
        <f>C124/C125-1</f>
        <v>4.5127068323964625E-3</v>
      </c>
      <c r="F125" s="34">
        <f>'Raw Data'!G121</f>
        <v>46114</v>
      </c>
      <c r="G125">
        <f>'Raw Data'!J121</f>
        <v>22713.1</v>
      </c>
      <c r="H125" s="36">
        <f>G124/G125-1</f>
        <v>1.123360527625028E-2</v>
      </c>
    </row>
    <row r="126" spans="2:8" x14ac:dyDescent="0.3">
      <c r="B126" s="34">
        <f>'Raw Data'!G122</f>
        <v>46113</v>
      </c>
      <c r="C126">
        <f>'Raw Data'!H122</f>
        <v>12509</v>
      </c>
      <c r="D126" s="36">
        <f>C125/C126-1</f>
        <v>9.7529778559437563E-3</v>
      </c>
      <c r="F126" s="34">
        <f>'Raw Data'!G122</f>
        <v>46113</v>
      </c>
      <c r="G126">
        <f>'Raw Data'!J122</f>
        <v>22679.4</v>
      </c>
      <c r="H126" s="36">
        <f>G125/G126-1</f>
        <v>1.4859299628737777E-3</v>
      </c>
    </row>
    <row r="127" spans="2:8" x14ac:dyDescent="0.3">
      <c r="B127" s="34">
        <f>'Raw Data'!G123</f>
        <v>46111</v>
      </c>
      <c r="C127">
        <f>'Raw Data'!H123</f>
        <v>12306</v>
      </c>
      <c r="D127" s="36">
        <f>C126/C127-1</f>
        <v>1.6496018202502905E-2</v>
      </c>
      <c r="F127" s="34">
        <f>'Raw Data'!G123</f>
        <v>46111</v>
      </c>
      <c r="G127">
        <f>'Raw Data'!J123</f>
        <v>22331.4</v>
      </c>
      <c r="H127" s="36">
        <f>G126/G127-1</f>
        <v>1.5583438566323604E-2</v>
      </c>
    </row>
    <row r="128" spans="2:8" x14ac:dyDescent="0.3">
      <c r="B128" s="34">
        <f>'Raw Data'!G124</f>
        <v>46108</v>
      </c>
      <c r="C128">
        <f>'Raw Data'!H124</f>
        <v>12389</v>
      </c>
      <c r="D128" s="36">
        <f>C127/C128-1</f>
        <v>-6.6994914843813147E-3</v>
      </c>
      <c r="F128" s="34">
        <f>'Raw Data'!G124</f>
        <v>46108</v>
      </c>
      <c r="G128">
        <f>'Raw Data'!J124</f>
        <v>22819.599999999999</v>
      </c>
      <c r="H128" s="36">
        <f>G127/G128-1</f>
        <v>-2.1393889463443561E-2</v>
      </c>
    </row>
    <row r="129" spans="2:8" x14ac:dyDescent="0.3">
      <c r="B129" s="34">
        <f>'Raw Data'!G125</f>
        <v>46106</v>
      </c>
      <c r="C129">
        <f>'Raw Data'!H125</f>
        <v>12711</v>
      </c>
      <c r="D129" s="36">
        <f>C128/C129-1</f>
        <v>-2.5332389269136946E-2</v>
      </c>
      <c r="F129" s="34">
        <f>'Raw Data'!G125</f>
        <v>46106</v>
      </c>
      <c r="G129">
        <f>'Raw Data'!J125</f>
        <v>23306.45</v>
      </c>
      <c r="H129" s="36">
        <f>G128/G129-1</f>
        <v>-2.0889067189554966E-2</v>
      </c>
    </row>
    <row r="130" spans="2:8" x14ac:dyDescent="0.3">
      <c r="B130" s="34">
        <f>'Raw Data'!G126</f>
        <v>46105</v>
      </c>
      <c r="C130">
        <f>'Raw Data'!H126</f>
        <v>12464</v>
      </c>
      <c r="D130" s="36">
        <f>C129/C130-1</f>
        <v>1.9817073170731669E-2</v>
      </c>
      <c r="F130" s="34">
        <f>'Raw Data'!G126</f>
        <v>46105</v>
      </c>
      <c r="G130">
        <f>'Raw Data'!J126</f>
        <v>22912.400000000001</v>
      </c>
      <c r="H130" s="36">
        <f>G129/G130-1</f>
        <v>1.7198111066496713E-2</v>
      </c>
    </row>
    <row r="131" spans="2:8" x14ac:dyDescent="0.3">
      <c r="B131" s="34">
        <f>'Raw Data'!G127</f>
        <v>46104</v>
      </c>
      <c r="C131">
        <f>'Raw Data'!H127</f>
        <v>12355</v>
      </c>
      <c r="D131" s="36">
        <f>C130/C131-1</f>
        <v>8.8223391339539159E-3</v>
      </c>
      <c r="F131" s="34">
        <f>'Raw Data'!G127</f>
        <v>46104</v>
      </c>
      <c r="G131">
        <f>'Raw Data'!J127</f>
        <v>22512.65</v>
      </c>
      <c r="H131" s="36">
        <f>G130/G131-1</f>
        <v>1.7756683464629885E-2</v>
      </c>
    </row>
    <row r="132" spans="2:8" x14ac:dyDescent="0.3">
      <c r="B132" s="34">
        <f>'Raw Data'!G128</f>
        <v>46101</v>
      </c>
      <c r="C132">
        <f>'Raw Data'!H128</f>
        <v>12601</v>
      </c>
      <c r="D132" s="36">
        <f>C131/C132-1</f>
        <v>-1.9522260138084224E-2</v>
      </c>
      <c r="F132" s="34">
        <f>'Raw Data'!G128</f>
        <v>46101</v>
      </c>
      <c r="G132">
        <f>'Raw Data'!J128</f>
        <v>23114.5</v>
      </c>
      <c r="H132" s="36">
        <f>G131/G132-1</f>
        <v>-2.6037768500291936E-2</v>
      </c>
    </row>
    <row r="133" spans="2:8" x14ac:dyDescent="0.3">
      <c r="B133" s="34">
        <f>'Raw Data'!G129</f>
        <v>46100</v>
      </c>
      <c r="C133">
        <f>'Raw Data'!H129</f>
        <v>12599</v>
      </c>
      <c r="D133" s="36">
        <f>C132/C133-1</f>
        <v>1.5874275736171839E-4</v>
      </c>
      <c r="F133" s="34">
        <f>'Raw Data'!G129</f>
        <v>46100</v>
      </c>
      <c r="G133">
        <f>'Raw Data'!J129</f>
        <v>23002.15</v>
      </c>
      <c r="H133" s="36">
        <f>G132/G133-1</f>
        <v>4.8843260303927938E-3</v>
      </c>
    </row>
    <row r="134" spans="2:8" x14ac:dyDescent="0.3">
      <c r="B134" s="34">
        <f>'Raw Data'!G130</f>
        <v>46099</v>
      </c>
      <c r="C134">
        <f>'Raw Data'!H130</f>
        <v>13048</v>
      </c>
      <c r="D134" s="36">
        <f>C133/C134-1</f>
        <v>-3.4411404046597149E-2</v>
      </c>
      <c r="F134" s="34">
        <f>'Raw Data'!G130</f>
        <v>46099</v>
      </c>
      <c r="G134">
        <f>'Raw Data'!J130</f>
        <v>23777.8</v>
      </c>
      <c r="H134" s="36">
        <f>G133/G134-1</f>
        <v>-3.2620763905828021E-2</v>
      </c>
    </row>
    <row r="135" spans="2:8" x14ac:dyDescent="0.3">
      <c r="B135" s="34">
        <f>'Raw Data'!G131</f>
        <v>46098</v>
      </c>
      <c r="C135">
        <f>'Raw Data'!H131</f>
        <v>12972</v>
      </c>
      <c r="D135" s="36">
        <f>C134/C135-1</f>
        <v>5.8587727412888757E-3</v>
      </c>
      <c r="F135" s="34">
        <f>'Raw Data'!G131</f>
        <v>46098</v>
      </c>
      <c r="G135">
        <f>'Raw Data'!J131</f>
        <v>23581.15</v>
      </c>
      <c r="H135" s="36">
        <f>G134/G135-1</f>
        <v>8.3392879482127036E-3</v>
      </c>
    </row>
    <row r="136" spans="2:8" x14ac:dyDescent="0.3">
      <c r="B136" s="34">
        <f>'Raw Data'!G132</f>
        <v>46097</v>
      </c>
      <c r="C136">
        <f>'Raw Data'!H132</f>
        <v>12757</v>
      </c>
      <c r="D136" s="36">
        <f>C135/C136-1</f>
        <v>1.6853492200360476E-2</v>
      </c>
      <c r="F136" s="34">
        <f>'Raw Data'!G132</f>
        <v>46097</v>
      </c>
      <c r="G136">
        <f>'Raw Data'!J132</f>
        <v>23408.799999999999</v>
      </c>
      <c r="H136" s="36">
        <f>G135/G136-1</f>
        <v>7.3626157684290039E-3</v>
      </c>
    </row>
    <row r="137" spans="2:8" x14ac:dyDescent="0.3">
      <c r="B137" s="34">
        <f>'Raw Data'!G133</f>
        <v>46094</v>
      </c>
      <c r="C137">
        <f>'Raw Data'!H133</f>
        <v>12591</v>
      </c>
      <c r="D137" s="36">
        <f>C136/C137-1</f>
        <v>1.3184020331983071E-2</v>
      </c>
      <c r="F137" s="34">
        <f>'Raw Data'!G133</f>
        <v>46094</v>
      </c>
      <c r="G137">
        <f>'Raw Data'!J133</f>
        <v>23151.1</v>
      </c>
      <c r="H137" s="36">
        <f>G136/G137-1</f>
        <v>1.1131220546755971E-2</v>
      </c>
    </row>
    <row r="138" spans="2:8" x14ac:dyDescent="0.3">
      <c r="B138" s="34">
        <f>'Raw Data'!G134</f>
        <v>46093</v>
      </c>
      <c r="C138">
        <f>'Raw Data'!H134</f>
        <v>13011</v>
      </c>
      <c r="D138" s="36">
        <f>C137/C138-1</f>
        <v>-3.2280378141572474E-2</v>
      </c>
      <c r="F138" s="34">
        <f>'Raw Data'!G134</f>
        <v>46093</v>
      </c>
      <c r="G138">
        <f>'Raw Data'!J134</f>
        <v>23639.15</v>
      </c>
      <c r="H138" s="36">
        <f>G137/G138-1</f>
        <v>-2.0645835404403456E-2</v>
      </c>
    </row>
    <row r="139" spans="2:8" x14ac:dyDescent="0.3">
      <c r="B139" s="34">
        <f>'Raw Data'!G135</f>
        <v>46092</v>
      </c>
      <c r="C139">
        <f>'Raw Data'!H135</f>
        <v>13497</v>
      </c>
      <c r="D139" s="36">
        <f>C138/C139-1</f>
        <v>-3.6008001778172982E-2</v>
      </c>
      <c r="F139" s="34">
        <f>'Raw Data'!G135</f>
        <v>46092</v>
      </c>
      <c r="G139">
        <f>'Raw Data'!J135</f>
        <v>23866.85</v>
      </c>
      <c r="H139" s="36">
        <f>G138/G139-1</f>
        <v>-9.5404295078738155E-3</v>
      </c>
    </row>
    <row r="140" spans="2:8" x14ac:dyDescent="0.3">
      <c r="B140" s="34">
        <f>'Raw Data'!G136</f>
        <v>46091</v>
      </c>
      <c r="C140">
        <f>'Raw Data'!H136</f>
        <v>13867</v>
      </c>
      <c r="D140" s="36">
        <f>C139/C140-1</f>
        <v>-2.6682050912237631E-2</v>
      </c>
      <c r="F140" s="34">
        <f>'Raw Data'!G136</f>
        <v>46091</v>
      </c>
      <c r="G140">
        <f>'Raw Data'!J136</f>
        <v>24261.599999999999</v>
      </c>
      <c r="H140" s="36">
        <f>G139/G140-1</f>
        <v>-1.6270567481122433E-2</v>
      </c>
    </row>
    <row r="141" spans="2:8" x14ac:dyDescent="0.3">
      <c r="B141" s="34">
        <f>'Raw Data'!G137</f>
        <v>46090</v>
      </c>
      <c r="C141">
        <f>'Raw Data'!H137</f>
        <v>13508</v>
      </c>
      <c r="D141" s="36">
        <f>C140/C141-1</f>
        <v>2.6576843352087653E-2</v>
      </c>
      <c r="F141" s="34">
        <f>'Raw Data'!G137</f>
        <v>46090</v>
      </c>
      <c r="G141">
        <f>'Raw Data'!J137</f>
        <v>24028.05</v>
      </c>
      <c r="H141" s="36">
        <f>G140/G141-1</f>
        <v>9.7198898787043131E-3</v>
      </c>
    </row>
    <row r="142" spans="2:8" x14ac:dyDescent="0.3">
      <c r="B142" s="34">
        <f>'Raw Data'!G138</f>
        <v>46087</v>
      </c>
      <c r="C142">
        <f>'Raw Data'!H138</f>
        <v>14159</v>
      </c>
      <c r="D142" s="36">
        <f>C141/C142-1</f>
        <v>-4.5977823292605358E-2</v>
      </c>
      <c r="F142" s="34">
        <f>'Raw Data'!G138</f>
        <v>46087</v>
      </c>
      <c r="G142">
        <f>'Raw Data'!J138</f>
        <v>24450.45</v>
      </c>
      <c r="H142" s="36">
        <f>G141/G142-1</f>
        <v>-1.7275755660938863E-2</v>
      </c>
    </row>
    <row r="143" spans="2:8" x14ac:dyDescent="0.3">
      <c r="B143" s="34">
        <f>'Raw Data'!G139</f>
        <v>46086</v>
      </c>
      <c r="C143">
        <f>'Raw Data'!H139</f>
        <v>14415</v>
      </c>
      <c r="D143" s="36">
        <f>C142/C143-1</f>
        <v>-1.7759278529309697E-2</v>
      </c>
      <c r="F143" s="34">
        <f>'Raw Data'!G139</f>
        <v>46086</v>
      </c>
      <c r="G143">
        <f>'Raw Data'!J139</f>
        <v>24765.9</v>
      </c>
      <c r="H143" s="36">
        <f>G142/G143-1</f>
        <v>-1.2737271813259343E-2</v>
      </c>
    </row>
    <row r="144" spans="2:8" x14ac:dyDescent="0.3">
      <c r="B144" s="34">
        <f>'Raw Data'!G140</f>
        <v>46085</v>
      </c>
      <c r="C144">
        <f>'Raw Data'!H140</f>
        <v>14158</v>
      </c>
      <c r="D144" s="36">
        <f>C143/C144-1</f>
        <v>1.8152281395677372E-2</v>
      </c>
      <c r="F144" s="34">
        <f>'Raw Data'!G140</f>
        <v>46085</v>
      </c>
      <c r="G144">
        <f>'Raw Data'!J140</f>
        <v>24480.5</v>
      </c>
      <c r="H144" s="36">
        <f>G143/G144-1</f>
        <v>1.1658258613999051E-2</v>
      </c>
    </row>
    <row r="145" spans="2:8" x14ac:dyDescent="0.3">
      <c r="B145" s="34">
        <f>'Raw Data'!G141</f>
        <v>46083</v>
      </c>
      <c r="C145">
        <f>'Raw Data'!H141</f>
        <v>14388</v>
      </c>
      <c r="D145" s="36">
        <f>C144/C145-1</f>
        <v>-1.598554350847925E-2</v>
      </c>
      <c r="F145" s="34">
        <f>'Raw Data'!G141</f>
        <v>46083</v>
      </c>
      <c r="G145">
        <f>'Raw Data'!J141</f>
        <v>24865.7</v>
      </c>
      <c r="H145" s="36">
        <f>G144/G145-1</f>
        <v>-1.5491218827541564E-2</v>
      </c>
    </row>
    <row r="146" spans="2:8" x14ac:dyDescent="0.3">
      <c r="B146" s="34">
        <f>'Raw Data'!G142</f>
        <v>46080</v>
      </c>
      <c r="C146">
        <f>'Raw Data'!H142</f>
        <v>14857</v>
      </c>
      <c r="D146" s="36">
        <f>C145/C146-1</f>
        <v>-3.1567611227031001E-2</v>
      </c>
      <c r="F146" s="34">
        <f>'Raw Data'!G142</f>
        <v>46080</v>
      </c>
      <c r="G146">
        <f>'Raw Data'!J142</f>
        <v>25178.65</v>
      </c>
      <c r="H146" s="36">
        <f>G145/G146-1</f>
        <v>-1.2429181072059148E-2</v>
      </c>
    </row>
    <row r="147" spans="2:8" x14ac:dyDescent="0.3">
      <c r="B147" s="34">
        <f>'Raw Data'!G143</f>
        <v>46079</v>
      </c>
      <c r="C147">
        <f>'Raw Data'!H143</f>
        <v>15213</v>
      </c>
      <c r="D147" s="36">
        <f>C146/C147-1</f>
        <v>-2.3401038585420419E-2</v>
      </c>
      <c r="F147" s="34">
        <f>'Raw Data'!G143</f>
        <v>46079</v>
      </c>
      <c r="G147">
        <f>'Raw Data'!J143</f>
        <v>25496.55</v>
      </c>
      <c r="H147" s="36">
        <f>G146/G147-1</f>
        <v>-1.2468353561560175E-2</v>
      </c>
    </row>
    <row r="148" spans="2:8" x14ac:dyDescent="0.3">
      <c r="B148" s="34">
        <f>'Raw Data'!G144</f>
        <v>46078</v>
      </c>
      <c r="C148">
        <f>'Raw Data'!H144</f>
        <v>15070</v>
      </c>
      <c r="D148" s="36">
        <f>C147/C148-1</f>
        <v>9.4890510948906215E-3</v>
      </c>
      <c r="F148" s="34">
        <f>'Raw Data'!G144</f>
        <v>46078</v>
      </c>
      <c r="G148">
        <f>'Raw Data'!J144</f>
        <v>25482.5</v>
      </c>
      <c r="H148" s="36">
        <f>G147/G148-1</f>
        <v>5.5135877563028401E-4</v>
      </c>
    </row>
    <row r="149" spans="2:8" x14ac:dyDescent="0.3">
      <c r="B149" s="34">
        <f>'Raw Data'!G145</f>
        <v>46077</v>
      </c>
      <c r="C149">
        <f>'Raw Data'!H145</f>
        <v>14926</v>
      </c>
      <c r="D149" s="36">
        <f>C148/C149-1</f>
        <v>9.6475948010183998E-3</v>
      </c>
      <c r="F149" s="34">
        <f>'Raw Data'!G145</f>
        <v>46077</v>
      </c>
      <c r="G149">
        <f>'Raw Data'!J145</f>
        <v>25424.65</v>
      </c>
      <c r="H149" s="36">
        <f>G148/G149-1</f>
        <v>2.275350889786143E-3</v>
      </c>
    </row>
    <row r="150" spans="2:8" x14ac:dyDescent="0.3">
      <c r="B150" s="34">
        <f>'Raw Data'!G146</f>
        <v>46076</v>
      </c>
      <c r="C150">
        <f>'Raw Data'!H146</f>
        <v>15072</v>
      </c>
      <c r="D150" s="36">
        <f>C149/C150-1</f>
        <v>-9.6868365180466931E-3</v>
      </c>
      <c r="F150" s="34">
        <f>'Raw Data'!G146</f>
        <v>46076</v>
      </c>
      <c r="G150">
        <f>'Raw Data'!J146</f>
        <v>25713</v>
      </c>
      <c r="H150" s="36">
        <f>G149/G150-1</f>
        <v>-1.1214171819702079E-2</v>
      </c>
    </row>
    <row r="151" spans="2:8" x14ac:dyDescent="0.3">
      <c r="B151" s="34">
        <f>'Raw Data'!G147</f>
        <v>46073</v>
      </c>
      <c r="C151">
        <f>'Raw Data'!H147</f>
        <v>14977</v>
      </c>
      <c r="D151" s="36">
        <f>C150/C151-1</f>
        <v>6.3430593576818683E-3</v>
      </c>
      <c r="F151" s="34">
        <f>'Raw Data'!G147</f>
        <v>46073</v>
      </c>
      <c r="G151">
        <f>'Raw Data'!J147</f>
        <v>25571.25</v>
      </c>
      <c r="H151" s="36">
        <f>G150/G151-1</f>
        <v>5.5433347998239402E-3</v>
      </c>
    </row>
    <row r="152" spans="2:8" x14ac:dyDescent="0.3">
      <c r="B152" s="34">
        <f>'Raw Data'!G148</f>
        <v>46072</v>
      </c>
      <c r="C152">
        <f>'Raw Data'!H148</f>
        <v>14903</v>
      </c>
      <c r="D152" s="36">
        <f>C151/C152-1</f>
        <v>4.9654431993557679E-3</v>
      </c>
      <c r="F152" s="34">
        <f>'Raw Data'!G148</f>
        <v>46072</v>
      </c>
      <c r="G152">
        <f>'Raw Data'!J148</f>
        <v>25454.35</v>
      </c>
      <c r="H152" s="36">
        <f>G151/G152-1</f>
        <v>4.5925352641100758E-3</v>
      </c>
    </row>
    <row r="153" spans="2:8" x14ac:dyDescent="0.3">
      <c r="B153" s="34">
        <f>'Raw Data'!G149</f>
        <v>46071</v>
      </c>
      <c r="C153">
        <f>'Raw Data'!H149</f>
        <v>15164</v>
      </c>
      <c r="D153" s="36">
        <f>C152/C153-1</f>
        <v>-1.7211817462410961E-2</v>
      </c>
      <c r="F153" s="34">
        <f>'Raw Data'!G149</f>
        <v>46071</v>
      </c>
      <c r="G153">
        <f>'Raw Data'!J149</f>
        <v>25819.35</v>
      </c>
      <c r="H153" s="36">
        <f>G152/G153-1</f>
        <v>-1.4136684308474035E-2</v>
      </c>
    </row>
    <row r="154" spans="2:8" x14ac:dyDescent="0.3">
      <c r="B154" s="34">
        <f>'Raw Data'!G150</f>
        <v>46070</v>
      </c>
      <c r="C154">
        <f>'Raw Data'!H150</f>
        <v>15179</v>
      </c>
      <c r="D154" s="36">
        <f>C153/C154-1</f>
        <v>-9.8820739179128481E-4</v>
      </c>
      <c r="F154" s="34">
        <f>'Raw Data'!G150</f>
        <v>46070</v>
      </c>
      <c r="G154">
        <f>'Raw Data'!J150</f>
        <v>25725.4</v>
      </c>
      <c r="H154" s="36">
        <f>G153/G154-1</f>
        <v>3.6520326214557475E-3</v>
      </c>
    </row>
    <row r="155" spans="2:8" x14ac:dyDescent="0.3">
      <c r="B155" s="34">
        <f>'Raw Data'!G151</f>
        <v>46069</v>
      </c>
      <c r="C155">
        <f>'Raw Data'!H151</f>
        <v>15051</v>
      </c>
      <c r="D155" s="36">
        <f>C154/C155-1</f>
        <v>8.5044183110756233E-3</v>
      </c>
      <c r="F155" s="34">
        <f>'Raw Data'!G151</f>
        <v>46069</v>
      </c>
      <c r="G155">
        <f>'Raw Data'!J151</f>
        <v>25682.75</v>
      </c>
      <c r="H155" s="36">
        <f>G154/G155-1</f>
        <v>1.6606477110123752E-3</v>
      </c>
    </row>
    <row r="156" spans="2:8" x14ac:dyDescent="0.3">
      <c r="B156" s="34">
        <f>'Raw Data'!G152</f>
        <v>46066</v>
      </c>
      <c r="C156">
        <f>'Raw Data'!H152</f>
        <v>15237</v>
      </c>
      <c r="D156" s="36">
        <f>C155/C156-1</f>
        <v>-1.2207127387280914E-2</v>
      </c>
      <c r="F156" s="34">
        <f>'Raw Data'!G152</f>
        <v>46066</v>
      </c>
      <c r="G156">
        <f>'Raw Data'!J152</f>
        <v>25471.1</v>
      </c>
      <c r="H156" s="36">
        <f>G155/G156-1</f>
        <v>8.3094173396516258E-3</v>
      </c>
    </row>
    <row r="157" spans="2:8" x14ac:dyDescent="0.3">
      <c r="B157" s="34">
        <f>'Raw Data'!G153</f>
        <v>46065</v>
      </c>
      <c r="C157">
        <f>'Raw Data'!H153</f>
        <v>15326</v>
      </c>
      <c r="D157" s="36">
        <f>C156/C157-1</f>
        <v>-5.8071251468093665E-3</v>
      </c>
      <c r="F157" s="34">
        <f>'Raw Data'!G153</f>
        <v>46065</v>
      </c>
      <c r="G157">
        <f>'Raw Data'!J153</f>
        <v>25807.200000000001</v>
      </c>
      <c r="H157" s="36">
        <f>G156/G157-1</f>
        <v>-1.3023497318577881E-2</v>
      </c>
    </row>
    <row r="158" spans="2:8" x14ac:dyDescent="0.3">
      <c r="B158" s="34">
        <f>'Raw Data'!G154</f>
        <v>46064</v>
      </c>
      <c r="C158">
        <f>'Raw Data'!H154</f>
        <v>15412</v>
      </c>
      <c r="D158" s="36">
        <f>C157/C158-1</f>
        <v>-5.5800674798858196E-3</v>
      </c>
      <c r="F158" s="34">
        <f>'Raw Data'!G154</f>
        <v>46064</v>
      </c>
      <c r="G158">
        <f>'Raw Data'!J154</f>
        <v>25953.85</v>
      </c>
      <c r="H158" s="36">
        <f>G157/G158-1</f>
        <v>-5.6504141004127817E-3</v>
      </c>
    </row>
    <row r="159" spans="2:8" x14ac:dyDescent="0.3">
      <c r="B159" s="34">
        <f>'Raw Data'!G155</f>
        <v>46063</v>
      </c>
      <c r="C159">
        <f>'Raw Data'!H155</f>
        <v>15146</v>
      </c>
      <c r="D159" s="36">
        <f>C158/C159-1</f>
        <v>1.7562392710946728E-2</v>
      </c>
      <c r="F159" s="34">
        <f>'Raw Data'!G155</f>
        <v>46063</v>
      </c>
      <c r="G159">
        <f>'Raw Data'!J155</f>
        <v>25935.15</v>
      </c>
      <c r="H159" s="36">
        <f>G158/G159-1</f>
        <v>7.2102918240291025E-4</v>
      </c>
    </row>
    <row r="160" spans="2:8" x14ac:dyDescent="0.3">
      <c r="B160" s="34">
        <f>'Raw Data'!G156</f>
        <v>46062</v>
      </c>
      <c r="C160">
        <f>'Raw Data'!H156</f>
        <v>14978</v>
      </c>
      <c r="D160" s="36">
        <f>C159/C160-1</f>
        <v>1.1216450794498511E-2</v>
      </c>
      <c r="F160" s="34">
        <f>'Raw Data'!G156</f>
        <v>46062</v>
      </c>
      <c r="G160">
        <f>'Raw Data'!J156</f>
        <v>25867.3</v>
      </c>
      <c r="H160" s="36">
        <f>G159/G160-1</f>
        <v>2.6230027873028749E-3</v>
      </c>
    </row>
    <row r="161" spans="2:8" x14ac:dyDescent="0.3">
      <c r="B161" s="34">
        <f>'Raw Data'!G157</f>
        <v>46059</v>
      </c>
      <c r="C161">
        <f>'Raw Data'!H157</f>
        <v>14997</v>
      </c>
      <c r="D161" s="36">
        <f>C160/C161-1</f>
        <v>-1.2669200506768563E-3</v>
      </c>
      <c r="F161" s="34">
        <f>'Raw Data'!G157</f>
        <v>46059</v>
      </c>
      <c r="G161">
        <f>'Raw Data'!J157</f>
        <v>25693.7</v>
      </c>
      <c r="H161" s="36">
        <f>G160/G161-1</f>
        <v>6.7565200807979675E-3</v>
      </c>
    </row>
    <row r="162" spans="2:8" x14ac:dyDescent="0.3">
      <c r="B162" s="34">
        <f>'Raw Data'!G158</f>
        <v>46058</v>
      </c>
      <c r="C162">
        <f>'Raw Data'!H158</f>
        <v>15059</v>
      </c>
      <c r="D162" s="36">
        <f>C161/C162-1</f>
        <v>-4.1171392522744155E-3</v>
      </c>
      <c r="F162" s="34">
        <f>'Raw Data'!G158</f>
        <v>46058</v>
      </c>
      <c r="G162">
        <f>'Raw Data'!J158</f>
        <v>25642.799999999999</v>
      </c>
      <c r="H162" s="36">
        <f>G161/G162-1</f>
        <v>1.9849626405852305E-3</v>
      </c>
    </row>
    <row r="163" spans="2:8" x14ac:dyDescent="0.3">
      <c r="B163" s="34">
        <f>'Raw Data'!G159</f>
        <v>46057</v>
      </c>
      <c r="C163">
        <f>'Raw Data'!H159</f>
        <v>15071</v>
      </c>
      <c r="D163" s="36">
        <f>C162/C163-1</f>
        <v>-7.9623117245042341E-4</v>
      </c>
      <c r="F163" s="34">
        <f>'Raw Data'!G159</f>
        <v>46057</v>
      </c>
      <c r="G163">
        <f>'Raw Data'!J159</f>
        <v>25776</v>
      </c>
      <c r="H163" s="36">
        <f>G162/G163-1</f>
        <v>-5.16759776536313E-3</v>
      </c>
    </row>
    <row r="164" spans="2:8" x14ac:dyDescent="0.3">
      <c r="B164" s="34">
        <f>'Raw Data'!G160</f>
        <v>46056</v>
      </c>
      <c r="C164">
        <f>'Raw Data'!H160</f>
        <v>14782</v>
      </c>
      <c r="D164" s="36">
        <f>C163/C164-1</f>
        <v>1.9550805033148322E-2</v>
      </c>
      <c r="F164" s="34">
        <f>'Raw Data'!G160</f>
        <v>46056</v>
      </c>
      <c r="G164">
        <f>'Raw Data'!J160</f>
        <v>25727.55</v>
      </c>
      <c r="H164" s="36">
        <f>G163/G164-1</f>
        <v>1.8831952517825989E-3</v>
      </c>
    </row>
    <row r="165" spans="2:8" x14ac:dyDescent="0.3">
      <c r="B165" s="34">
        <f>'Raw Data'!G161</f>
        <v>46055</v>
      </c>
      <c r="C165">
        <f>'Raw Data'!H161</f>
        <v>14384</v>
      </c>
      <c r="D165" s="36">
        <f>C164/C165-1</f>
        <v>2.7669632925472643E-2</v>
      </c>
      <c r="F165" s="34">
        <f>'Raw Data'!G161</f>
        <v>46055</v>
      </c>
      <c r="G165">
        <f>'Raw Data'!J161</f>
        <v>25088.400000000001</v>
      </c>
      <c r="H165" s="36">
        <f>G164/G165-1</f>
        <v>2.5475917156932981E-2</v>
      </c>
    </row>
    <row r="166" spans="2:8" x14ac:dyDescent="0.3">
      <c r="B166" s="34">
        <f>'Raw Data'!G162</f>
        <v>46054</v>
      </c>
      <c r="C166">
        <f>'Raw Data'!H162</f>
        <v>14199</v>
      </c>
      <c r="D166" s="36">
        <f>C165/C166-1</f>
        <v>1.3029086555391256E-2</v>
      </c>
      <c r="F166" s="34">
        <f>'Raw Data'!G162</f>
        <v>46054</v>
      </c>
      <c r="G166">
        <f>'Raw Data'!J162</f>
        <v>25320.65</v>
      </c>
      <c r="H166" s="36">
        <f>G165/G166-1</f>
        <v>-9.1723553700240323E-3</v>
      </c>
    </row>
    <row r="167" spans="2:8" x14ac:dyDescent="0.3">
      <c r="B167" s="34">
        <f>'Raw Data'!G163</f>
        <v>46052</v>
      </c>
      <c r="C167">
        <f>'Raw Data'!H163</f>
        <v>14599</v>
      </c>
      <c r="D167" s="36">
        <f>C166/C167-1</f>
        <v>-2.7399136927186762E-2</v>
      </c>
      <c r="F167" s="34">
        <f>'Raw Data'!G163</f>
        <v>46052</v>
      </c>
      <c r="G167">
        <f>'Raw Data'!J163</f>
        <v>25320.65</v>
      </c>
      <c r="H167" s="36">
        <f>G166/G167-1</f>
        <v>0</v>
      </c>
    </row>
    <row r="168" spans="2:8" x14ac:dyDescent="0.3">
      <c r="B168" s="34">
        <f>'Raw Data'!G164</f>
        <v>46051</v>
      </c>
      <c r="C168">
        <f>'Raw Data'!H164</f>
        <v>14502</v>
      </c>
      <c r="D168" s="36">
        <f>C167/C168-1</f>
        <v>6.6887325886084703E-3</v>
      </c>
      <c r="F168" s="34">
        <f>'Raw Data'!G164</f>
        <v>46051</v>
      </c>
      <c r="G168">
        <f>'Raw Data'!J164</f>
        <v>25418.9</v>
      </c>
      <c r="H168" s="36">
        <f>G167/G168-1</f>
        <v>-3.8652341368037302E-3</v>
      </c>
    </row>
    <row r="169" spans="2:8" x14ac:dyDescent="0.3">
      <c r="B169" s="34">
        <f>'Raw Data'!G165</f>
        <v>46050</v>
      </c>
      <c r="C169">
        <f>'Raw Data'!H165</f>
        <v>14877</v>
      </c>
      <c r="D169" s="36">
        <f>C168/C169-1</f>
        <v>-2.5206694898164961E-2</v>
      </c>
      <c r="F169" s="34">
        <f>'Raw Data'!G165</f>
        <v>46050</v>
      </c>
      <c r="G169">
        <f>'Raw Data'!J165</f>
        <v>25342.75</v>
      </c>
      <c r="H169" s="36">
        <f>G168/G169-1</f>
        <v>3.004804135305017E-3</v>
      </c>
    </row>
    <row r="170" spans="2:8" x14ac:dyDescent="0.3">
      <c r="B170" s="34">
        <f>'Raw Data'!G166</f>
        <v>46049</v>
      </c>
      <c r="C170">
        <f>'Raw Data'!H166</f>
        <v>15245</v>
      </c>
      <c r="D170" s="36">
        <f>C169/C170-1</f>
        <v>-2.4139061987536903E-2</v>
      </c>
      <c r="F170" s="34">
        <f>'Raw Data'!G166</f>
        <v>46049</v>
      </c>
      <c r="G170">
        <f>'Raw Data'!J166</f>
        <v>25175.4</v>
      </c>
      <c r="H170" s="36">
        <f>G169/G170-1</f>
        <v>6.6473621074540912E-3</v>
      </c>
    </row>
    <row r="171" spans="2:8" x14ac:dyDescent="0.3">
      <c r="B171" s="34">
        <f>'Raw Data'!G167</f>
        <v>46045</v>
      </c>
      <c r="C171">
        <f>'Raw Data'!H167</f>
        <v>15469</v>
      </c>
      <c r="D171" s="36">
        <f>C170/C171-1</f>
        <v>-1.448057405132841E-2</v>
      </c>
      <c r="F171" s="34">
        <f>'Raw Data'!G167</f>
        <v>46045</v>
      </c>
      <c r="G171">
        <f>'Raw Data'!J167</f>
        <v>25048.65</v>
      </c>
      <c r="H171" s="36">
        <f>G170/G171-1</f>
        <v>5.0601529423741631E-3</v>
      </c>
    </row>
    <row r="172" spans="2:8" x14ac:dyDescent="0.3">
      <c r="B172" s="34">
        <f>'Raw Data'!G168</f>
        <v>46044</v>
      </c>
      <c r="C172">
        <f>'Raw Data'!H168</f>
        <v>15765</v>
      </c>
      <c r="D172" s="36">
        <f>C171/C172-1</f>
        <v>-1.8775769108785312E-2</v>
      </c>
      <c r="F172" s="34">
        <f>'Raw Data'!G168</f>
        <v>46044</v>
      </c>
      <c r="G172">
        <f>'Raw Data'!J168</f>
        <v>25289.9</v>
      </c>
      <c r="H172" s="36">
        <f>G171/G172-1</f>
        <v>-9.5393813340503009E-3</v>
      </c>
    </row>
    <row r="173" spans="2:8" x14ac:dyDescent="0.3">
      <c r="B173" s="34">
        <f>'Raw Data'!G169</f>
        <v>46043</v>
      </c>
      <c r="C173">
        <f>'Raw Data'!H169</f>
        <v>15770</v>
      </c>
      <c r="D173" s="36">
        <f>C172/C173-1</f>
        <v>-3.1705770450218829E-4</v>
      </c>
      <c r="F173" s="34">
        <f>'Raw Data'!G169</f>
        <v>46043</v>
      </c>
      <c r="G173">
        <f>'Raw Data'!J169</f>
        <v>25157.5</v>
      </c>
      <c r="H173" s="36">
        <f>G172/G173-1</f>
        <v>5.2628440822817257E-3</v>
      </c>
    </row>
    <row r="174" spans="2:8" x14ac:dyDescent="0.3">
      <c r="B174" s="34">
        <f>'Raw Data'!G170</f>
        <v>46042</v>
      </c>
      <c r="C174">
        <f>'Raw Data'!H170</f>
        <v>15879</v>
      </c>
      <c r="D174" s="36">
        <f>C173/C174-1</f>
        <v>-6.8644121166320238E-3</v>
      </c>
      <c r="F174" s="34">
        <f>'Raw Data'!G170</f>
        <v>46042</v>
      </c>
      <c r="G174">
        <f>'Raw Data'!J170</f>
        <v>25232.5</v>
      </c>
      <c r="H174" s="36">
        <f>G173/G174-1</f>
        <v>-2.9723570791637677E-3</v>
      </c>
    </row>
    <row r="175" spans="2:8" x14ac:dyDescent="0.3">
      <c r="B175" s="34">
        <f>'Raw Data'!G171</f>
        <v>46041</v>
      </c>
      <c r="C175">
        <f>'Raw Data'!H171</f>
        <v>16176</v>
      </c>
      <c r="D175" s="36">
        <f>C174/C175-1</f>
        <v>-1.8360534124629124E-2</v>
      </c>
      <c r="F175" s="34">
        <f>'Raw Data'!G171</f>
        <v>46041</v>
      </c>
      <c r="G175">
        <f>'Raw Data'!J171</f>
        <v>25585.5</v>
      </c>
      <c r="H175" s="36">
        <f>G174/G175-1</f>
        <v>-1.3796877137441155E-2</v>
      </c>
    </row>
    <row r="176" spans="2:8" x14ac:dyDescent="0.3">
      <c r="B176" s="34">
        <f>'Raw Data'!G172</f>
        <v>46038</v>
      </c>
      <c r="C176">
        <f>'Raw Data'!H172</f>
        <v>15859</v>
      </c>
      <c r="D176" s="36">
        <f>C175/C176-1</f>
        <v>1.9988649977930484E-2</v>
      </c>
      <c r="F176" s="34">
        <f>'Raw Data'!G172</f>
        <v>46038</v>
      </c>
      <c r="G176">
        <f>'Raw Data'!J172</f>
        <v>25694.35</v>
      </c>
      <c r="H176" s="36">
        <f>G175/G176-1</f>
        <v>-4.2363398957357967E-3</v>
      </c>
    </row>
    <row r="177" spans="2:8" x14ac:dyDescent="0.3">
      <c r="B177" s="34">
        <f>'Raw Data'!G173</f>
        <v>46036</v>
      </c>
      <c r="C177">
        <f>'Raw Data'!H173</f>
        <v>16152</v>
      </c>
      <c r="D177" s="36">
        <f>C176/C177-1</f>
        <v>-1.8140168400198164E-2</v>
      </c>
      <c r="F177" s="34">
        <f>'Raw Data'!G173</f>
        <v>46036</v>
      </c>
      <c r="G177">
        <f>'Raw Data'!J173</f>
        <v>25665.599999999999</v>
      </c>
      <c r="H177" s="36">
        <f>G176/G177-1</f>
        <v>1.1201764229162858E-3</v>
      </c>
    </row>
    <row r="178" spans="2:8" x14ac:dyDescent="0.3">
      <c r="B178" s="34">
        <f>'Raw Data'!G174</f>
        <v>46035</v>
      </c>
      <c r="C178">
        <f>'Raw Data'!H174</f>
        <v>16426</v>
      </c>
      <c r="D178" s="36">
        <f>C177/C178-1</f>
        <v>-1.668087178862776E-2</v>
      </c>
      <c r="F178" s="34">
        <f>'Raw Data'!G174</f>
        <v>46035</v>
      </c>
      <c r="G178">
        <f>'Raw Data'!J174</f>
        <v>25732.3</v>
      </c>
      <c r="H178" s="36">
        <f>G177/G178-1</f>
        <v>-2.5920729977498835E-3</v>
      </c>
    </row>
    <row r="179" spans="2:8" x14ac:dyDescent="0.3">
      <c r="B179" s="34">
        <f>'Raw Data'!G175</f>
        <v>46034</v>
      </c>
      <c r="C179">
        <f>'Raw Data'!H175</f>
        <v>16582</v>
      </c>
      <c r="D179" s="36">
        <f>C178/C179-1</f>
        <v>-9.4077915812326163E-3</v>
      </c>
      <c r="F179" s="34">
        <f>'Raw Data'!G175</f>
        <v>46034</v>
      </c>
      <c r="G179">
        <f>'Raw Data'!J175</f>
        <v>25790.25</v>
      </c>
      <c r="H179" s="36">
        <f>G178/G179-1</f>
        <v>-2.2469731778482771E-3</v>
      </c>
    </row>
    <row r="180" spans="2:8" x14ac:dyDescent="0.3">
      <c r="B180" s="34">
        <f>'Raw Data'!G176</f>
        <v>46031</v>
      </c>
      <c r="C180">
        <f>'Raw Data'!H176</f>
        <v>16501</v>
      </c>
      <c r="D180" s="36">
        <f>C179/C180-1</f>
        <v>4.9087934064602212E-3</v>
      </c>
      <c r="F180" s="34">
        <f>'Raw Data'!G176</f>
        <v>46031</v>
      </c>
      <c r="G180">
        <f>'Raw Data'!J176</f>
        <v>25683.3</v>
      </c>
      <c r="H180" s="36">
        <f>G179/G180-1</f>
        <v>4.164184509000135E-3</v>
      </c>
    </row>
    <row r="181" spans="2:8" x14ac:dyDescent="0.3">
      <c r="B181" s="34">
        <f>'Raw Data'!G177</f>
        <v>46030</v>
      </c>
      <c r="C181">
        <f>'Raw Data'!H177</f>
        <v>16664</v>
      </c>
      <c r="D181" s="36">
        <f>C180/C181-1</f>
        <v>-9.7815650504080587E-3</v>
      </c>
      <c r="F181" s="34">
        <f>'Raw Data'!G177</f>
        <v>46030</v>
      </c>
      <c r="G181">
        <f>'Raw Data'!J177</f>
        <v>25876.85</v>
      </c>
      <c r="H181" s="36">
        <f>G180/G181-1</f>
        <v>-7.4796584592019544E-3</v>
      </c>
    </row>
    <row r="182" spans="2:8" x14ac:dyDescent="0.3">
      <c r="B182" s="34">
        <f>'Raw Data'!G178</f>
        <v>46029</v>
      </c>
      <c r="C182">
        <f>'Raw Data'!H178</f>
        <v>16809</v>
      </c>
      <c r="D182" s="36">
        <f>C181/C182-1</f>
        <v>-8.6263311321316261E-3</v>
      </c>
      <c r="F182" s="34">
        <f>'Raw Data'!G178</f>
        <v>46029</v>
      </c>
      <c r="G182">
        <f>'Raw Data'!J178</f>
        <v>26140.75</v>
      </c>
      <c r="H182" s="36">
        <f>G181/G182-1</f>
        <v>-1.0095349215305638E-2</v>
      </c>
    </row>
    <row r="183" spans="2:8" x14ac:dyDescent="0.3">
      <c r="B183" s="34">
        <f>'Raw Data'!G179</f>
        <v>46028</v>
      </c>
      <c r="C183">
        <f>'Raw Data'!H179</f>
        <v>17292</v>
      </c>
      <c r="D183" s="36">
        <f>C182/C183-1</f>
        <v>-2.7931991672449641E-2</v>
      </c>
      <c r="F183" s="34">
        <f>'Raw Data'!G179</f>
        <v>46028</v>
      </c>
      <c r="G183">
        <f>'Raw Data'!J179</f>
        <v>26178.7</v>
      </c>
      <c r="H183" s="36">
        <f>G182/G183-1</f>
        <v>-1.4496518161711824E-3</v>
      </c>
    </row>
    <row r="184" spans="2:8" x14ac:dyDescent="0.3">
      <c r="B184" s="34">
        <f>'Raw Data'!G180</f>
        <v>46027</v>
      </c>
      <c r="C184">
        <f>'Raw Data'!H180</f>
        <v>17155</v>
      </c>
      <c r="D184" s="36">
        <f>C183/C184-1</f>
        <v>7.9860099096473736E-3</v>
      </c>
      <c r="F184" s="34">
        <f>'Raw Data'!G180</f>
        <v>46027</v>
      </c>
      <c r="G184">
        <f>'Raw Data'!J180</f>
        <v>26250.3</v>
      </c>
      <c r="H184" s="36">
        <f>G183/G184-1</f>
        <v>-2.7275878751861216E-3</v>
      </c>
    </row>
    <row r="185" spans="2:8" x14ac:dyDescent="0.3">
      <c r="B185" s="34">
        <f>'Raw Data'!G181</f>
        <v>46024</v>
      </c>
      <c r="C185">
        <f>'Raw Data'!H181</f>
        <v>16960</v>
      </c>
      <c r="D185" s="36">
        <f>C184/C185-1</f>
        <v>1.1497641509433887E-2</v>
      </c>
      <c r="F185" s="34">
        <f>'Raw Data'!G181</f>
        <v>46024</v>
      </c>
      <c r="G185">
        <f>'Raw Data'!J181</f>
        <v>26328.55</v>
      </c>
      <c r="H185" s="36">
        <f>G184/G185-1</f>
        <v>-2.9720588486642496E-3</v>
      </c>
    </row>
    <row r="186" spans="2:8" x14ac:dyDescent="0.3">
      <c r="B186" s="34">
        <f>'Raw Data'!G182</f>
        <v>46023</v>
      </c>
      <c r="C186">
        <f>'Raw Data'!H182</f>
        <v>16708</v>
      </c>
      <c r="D186" s="36">
        <f>C185/C186-1</f>
        <v>1.508259516399324E-2</v>
      </c>
      <c r="F186" s="34">
        <f>'Raw Data'!G182</f>
        <v>46023</v>
      </c>
      <c r="G186">
        <f>'Raw Data'!J182</f>
        <v>26146.55</v>
      </c>
      <c r="H186" s="36">
        <f>G185/G186-1</f>
        <v>6.9607653782239876E-3</v>
      </c>
    </row>
    <row r="187" spans="2:8" x14ac:dyDescent="0.3">
      <c r="B187" s="34">
        <f>'Raw Data'!G183</f>
        <v>46022</v>
      </c>
      <c r="C187">
        <f>'Raw Data'!H183</f>
        <v>16697</v>
      </c>
      <c r="D187" s="36">
        <f>C186/C187-1</f>
        <v>6.5880098221238192E-4</v>
      </c>
      <c r="F187" s="34">
        <f>'Raw Data'!G183</f>
        <v>46022</v>
      </c>
      <c r="G187">
        <f>'Raw Data'!J183</f>
        <v>26129.599999999999</v>
      </c>
      <c r="H187" s="36">
        <f>G186/G187-1</f>
        <v>6.4868960871966586E-4</v>
      </c>
    </row>
    <row r="188" spans="2:8" x14ac:dyDescent="0.3">
      <c r="B188" s="34">
        <f>'Raw Data'!G184</f>
        <v>46021</v>
      </c>
      <c r="C188">
        <f>'Raw Data'!H184</f>
        <v>16647</v>
      </c>
      <c r="D188" s="36">
        <f>C187/C188-1</f>
        <v>3.0035441821349984E-3</v>
      </c>
      <c r="F188" s="34">
        <f>'Raw Data'!G184</f>
        <v>46021</v>
      </c>
      <c r="G188">
        <f>'Raw Data'!J184</f>
        <v>25938.85</v>
      </c>
      <c r="H188" s="36">
        <f>G187/G188-1</f>
        <v>7.3538341136942798E-3</v>
      </c>
    </row>
    <row r="189" spans="2:8" x14ac:dyDescent="0.3">
      <c r="B189" s="34">
        <f>'Raw Data'!G185</f>
        <v>46020</v>
      </c>
      <c r="C189">
        <f>'Raw Data'!H185</f>
        <v>16542</v>
      </c>
      <c r="D189" s="36">
        <f>C188/C189-1</f>
        <v>6.3474791439970257E-3</v>
      </c>
      <c r="F189" s="34">
        <f>'Raw Data'!G185</f>
        <v>46020</v>
      </c>
      <c r="G189">
        <f>'Raw Data'!J185</f>
        <v>25942.1</v>
      </c>
      <c r="H189" s="36">
        <f>G188/G189-1</f>
        <v>-1.2527898666647719E-4</v>
      </c>
    </row>
    <row r="190" spans="2:8" x14ac:dyDescent="0.3">
      <c r="B190" s="34">
        <f>'Raw Data'!G186</f>
        <v>46017</v>
      </c>
      <c r="C190">
        <f>'Raw Data'!H186</f>
        <v>16596</v>
      </c>
      <c r="D190" s="36">
        <f>C189/C190-1</f>
        <v>-3.2537960954447387E-3</v>
      </c>
      <c r="F190" s="34">
        <f>'Raw Data'!G186</f>
        <v>46017</v>
      </c>
      <c r="G190">
        <f>'Raw Data'!J186</f>
        <v>26042.3</v>
      </c>
      <c r="H190" s="36">
        <f>G189/G190-1</f>
        <v>-3.8475864266981352E-3</v>
      </c>
    </row>
    <row r="191" spans="2:8" x14ac:dyDescent="0.3">
      <c r="B191" s="34">
        <f>'Raw Data'!G187</f>
        <v>46015</v>
      </c>
      <c r="C191">
        <f>'Raw Data'!H187</f>
        <v>16703</v>
      </c>
      <c r="D191" s="36">
        <f>C190/C191-1</f>
        <v>-6.4060348440400094E-3</v>
      </c>
      <c r="F191" s="34">
        <f>'Raw Data'!G187</f>
        <v>46015</v>
      </c>
      <c r="G191">
        <f>'Raw Data'!J187</f>
        <v>26142.1</v>
      </c>
      <c r="H191" s="36">
        <f>G190/G191-1</f>
        <v>-3.8175969030797008E-3</v>
      </c>
    </row>
    <row r="192" spans="2:8" x14ac:dyDescent="0.3">
      <c r="B192" s="34">
        <f>'Raw Data'!G188</f>
        <v>46014</v>
      </c>
      <c r="C192">
        <f>'Raw Data'!H188</f>
        <v>16585</v>
      </c>
      <c r="D192" s="36">
        <f>C191/C192-1</f>
        <v>7.1148628278565607E-3</v>
      </c>
      <c r="F192" s="34">
        <f>'Raw Data'!G188</f>
        <v>46014</v>
      </c>
      <c r="G192">
        <f>'Raw Data'!J188</f>
        <v>26177.15</v>
      </c>
      <c r="H192" s="36">
        <f>G191/G192-1</f>
        <v>-1.3389540114184806E-3</v>
      </c>
    </row>
    <row r="193" spans="2:8" x14ac:dyDescent="0.3">
      <c r="B193" s="34">
        <f>'Raw Data'!G189</f>
        <v>46013</v>
      </c>
      <c r="C193">
        <f>'Raw Data'!H189</f>
        <v>16649</v>
      </c>
      <c r="D193" s="36">
        <f>C192/C193-1</f>
        <v>-3.8440747192023395E-3</v>
      </c>
      <c r="F193" s="34">
        <f>'Raw Data'!G189</f>
        <v>46013</v>
      </c>
      <c r="G193">
        <f>'Raw Data'!J189</f>
        <v>26172.400000000001</v>
      </c>
      <c r="H193" s="36">
        <f>G192/G193-1</f>
        <v>1.8148889670044355E-4</v>
      </c>
    </row>
    <row r="194" spans="2:8" x14ac:dyDescent="0.3">
      <c r="B194" s="34">
        <f>'Raw Data'!G190</f>
        <v>46010</v>
      </c>
      <c r="C194">
        <f>'Raw Data'!H190</f>
        <v>16414</v>
      </c>
      <c r="D194" s="36">
        <f>C193/C194-1</f>
        <v>1.4317046423784507E-2</v>
      </c>
      <c r="F194" s="34">
        <f>'Raw Data'!G190</f>
        <v>46010</v>
      </c>
      <c r="G194">
        <f>'Raw Data'!J190</f>
        <v>25966.400000000001</v>
      </c>
      <c r="H194" s="36">
        <f>G193/G194-1</f>
        <v>7.9333292254606391E-3</v>
      </c>
    </row>
    <row r="195" spans="2:8" x14ac:dyDescent="0.3">
      <c r="B195" s="34">
        <f>'Raw Data'!G191</f>
        <v>46009</v>
      </c>
      <c r="C195">
        <f>'Raw Data'!H191</f>
        <v>16329</v>
      </c>
      <c r="D195" s="36">
        <f>C194/C195-1</f>
        <v>5.2054626737705334E-3</v>
      </c>
      <c r="F195" s="34">
        <f>'Raw Data'!G191</f>
        <v>46009</v>
      </c>
      <c r="G195">
        <f>'Raw Data'!J191</f>
        <v>25815.55</v>
      </c>
      <c r="H195" s="36">
        <f>G194/G195-1</f>
        <v>5.8433773442752024E-3</v>
      </c>
    </row>
    <row r="196" spans="2:8" x14ac:dyDescent="0.3">
      <c r="B196" s="34">
        <f>'Raw Data'!G192</f>
        <v>46008</v>
      </c>
      <c r="C196">
        <f>'Raw Data'!H192</f>
        <v>16398</v>
      </c>
      <c r="D196" s="36">
        <f>C195/C196-1</f>
        <v>-4.2078302231979281E-3</v>
      </c>
      <c r="F196" s="34">
        <f>'Raw Data'!G192</f>
        <v>46008</v>
      </c>
      <c r="G196">
        <f>'Raw Data'!J192</f>
        <v>25818.55</v>
      </c>
      <c r="H196" s="36">
        <f>G195/G196-1</f>
        <v>-1.1619552608488348E-4</v>
      </c>
    </row>
    <row r="197" spans="2:8" x14ac:dyDescent="0.3">
      <c r="B197" s="34">
        <f>'Raw Data'!G193</f>
        <v>46007</v>
      </c>
      <c r="C197">
        <f>'Raw Data'!H193</f>
        <v>16354</v>
      </c>
      <c r="D197" s="36">
        <f>C196/C197-1</f>
        <v>2.6904732787085273E-3</v>
      </c>
      <c r="F197" s="34">
        <f>'Raw Data'!G193</f>
        <v>46007</v>
      </c>
      <c r="G197">
        <f>'Raw Data'!J193</f>
        <v>25860.1</v>
      </c>
      <c r="H197" s="36">
        <f>G196/G197-1</f>
        <v>-1.6067223251263751E-3</v>
      </c>
    </row>
    <row r="198" spans="2:8" x14ac:dyDescent="0.3">
      <c r="B198" s="34">
        <f>'Raw Data'!G194</f>
        <v>46006</v>
      </c>
      <c r="C198">
        <f>'Raw Data'!H194</f>
        <v>16415</v>
      </c>
      <c r="D198" s="36">
        <f>C197/C198-1</f>
        <v>-3.7161133109960831E-3</v>
      </c>
      <c r="F198" s="34">
        <f>'Raw Data'!G194</f>
        <v>46006</v>
      </c>
      <c r="G198">
        <f>'Raw Data'!J194</f>
        <v>26027.3</v>
      </c>
      <c r="H198" s="36">
        <f>G197/G198-1</f>
        <v>-6.4240240055634112E-3</v>
      </c>
    </row>
    <row r="199" spans="2:8" x14ac:dyDescent="0.3">
      <c r="B199" s="34">
        <f>'Raw Data'!G195</f>
        <v>46003</v>
      </c>
      <c r="C199">
        <f>'Raw Data'!H195</f>
        <v>16522</v>
      </c>
      <c r="D199" s="36">
        <f>C198/C199-1</f>
        <v>-6.4762135334704984E-3</v>
      </c>
      <c r="F199" s="34">
        <f>'Raw Data'!G195</f>
        <v>46003</v>
      </c>
      <c r="G199">
        <f>'Raw Data'!J195</f>
        <v>26046.95</v>
      </c>
      <c r="H199" s="36">
        <f>G198/G199-1</f>
        <v>-7.5440694591888402E-4</v>
      </c>
    </row>
    <row r="200" spans="2:8" x14ac:dyDescent="0.3">
      <c r="B200" s="34">
        <f>'Raw Data'!G196</f>
        <v>46002</v>
      </c>
      <c r="C200">
        <f>'Raw Data'!H196</f>
        <v>16248</v>
      </c>
      <c r="D200" s="36">
        <f>C199/C200-1</f>
        <v>1.6863613983259418E-2</v>
      </c>
      <c r="F200" s="34">
        <f>'Raw Data'!G196</f>
        <v>46002</v>
      </c>
      <c r="G200">
        <f>'Raw Data'!J196</f>
        <v>25898.55</v>
      </c>
      <c r="H200" s="36">
        <f>G199/G200-1</f>
        <v>5.7300505240640565E-3</v>
      </c>
    </row>
    <row r="201" spans="2:8" x14ac:dyDescent="0.3">
      <c r="B201" s="34">
        <f>'Raw Data'!G197</f>
        <v>46001</v>
      </c>
      <c r="C201">
        <f>'Raw Data'!H197</f>
        <v>16019</v>
      </c>
      <c r="D201" s="36">
        <f>C200/C201-1</f>
        <v>1.4295524065172538E-2</v>
      </c>
      <c r="F201" s="34">
        <f>'Raw Data'!G197</f>
        <v>46001</v>
      </c>
      <c r="G201">
        <f>'Raw Data'!J197</f>
        <v>25758</v>
      </c>
      <c r="H201" s="36">
        <f>G200/G201-1</f>
        <v>5.4565571861169282E-3</v>
      </c>
    </row>
    <row r="202" spans="2:8" x14ac:dyDescent="0.3">
      <c r="B202" s="34">
        <f>'Raw Data'!G198</f>
        <v>46000</v>
      </c>
      <c r="C202">
        <f>'Raw Data'!H198</f>
        <v>16020</v>
      </c>
      <c r="D202" s="36">
        <f>C201/C202-1</f>
        <v>-6.2421972534365544E-5</v>
      </c>
      <c r="F202" s="34">
        <f>'Raw Data'!G198</f>
        <v>46000</v>
      </c>
      <c r="G202">
        <f>'Raw Data'!J198</f>
        <v>25839.65</v>
      </c>
      <c r="H202" s="36">
        <f>G201/G202-1</f>
        <v>-3.15987252149319E-3</v>
      </c>
    </row>
    <row r="203" spans="2:8" x14ac:dyDescent="0.3">
      <c r="B203" s="34">
        <f>'Raw Data'!G199</f>
        <v>45999</v>
      </c>
      <c r="C203">
        <f>'Raw Data'!H199</f>
        <v>16187</v>
      </c>
      <c r="D203" s="36">
        <f>C202/C203-1</f>
        <v>-1.0316920985976363E-2</v>
      </c>
      <c r="F203" s="34">
        <f>'Raw Data'!G199</f>
        <v>45999</v>
      </c>
      <c r="G203">
        <f>'Raw Data'!J199</f>
        <v>25960.55</v>
      </c>
      <c r="H203" s="36">
        <f>G202/G203-1</f>
        <v>-4.6570662023723841E-3</v>
      </c>
    </row>
    <row r="204" spans="2:8" x14ac:dyDescent="0.3">
      <c r="B204" s="34">
        <f>'Raw Data'!G200</f>
        <v>45996</v>
      </c>
      <c r="C204">
        <f>'Raw Data'!H200</f>
        <v>16282</v>
      </c>
      <c r="D204" s="36">
        <f>C203/C204-1</f>
        <v>-5.8346640461859334E-3</v>
      </c>
      <c r="F204" s="34">
        <f>'Raw Data'!G200</f>
        <v>45996</v>
      </c>
      <c r="G204">
        <f>'Raw Data'!J200</f>
        <v>26186.45</v>
      </c>
      <c r="H204" s="36">
        <f>G203/G204-1</f>
        <v>-8.626598870790092E-3</v>
      </c>
    </row>
    <row r="205" spans="2:8" x14ac:dyDescent="0.3">
      <c r="B205" s="34">
        <f>'Raw Data'!G201</f>
        <v>45995</v>
      </c>
      <c r="C205">
        <f>'Raw Data'!H201</f>
        <v>15994</v>
      </c>
      <c r="D205" s="36">
        <f>C204/C205-1</f>
        <v>1.8006752532199632E-2</v>
      </c>
      <c r="F205" s="34">
        <f>'Raw Data'!G201</f>
        <v>45995</v>
      </c>
      <c r="G205">
        <f>'Raw Data'!J201</f>
        <v>26033.75</v>
      </c>
      <c r="H205" s="36">
        <f>G204/G205-1</f>
        <v>5.8654631007826197E-3</v>
      </c>
    </row>
    <row r="206" spans="2:8" x14ac:dyDescent="0.3">
      <c r="B206" s="34">
        <f>'Raw Data'!G202</f>
        <v>45994</v>
      </c>
      <c r="C206">
        <f>'Raw Data'!H202</f>
        <v>16082</v>
      </c>
      <c r="D206" s="36">
        <f>C205/C206-1</f>
        <v>-5.4719562243502606E-3</v>
      </c>
      <c r="F206" s="34">
        <f>'Raw Data'!G202</f>
        <v>45994</v>
      </c>
      <c r="G206">
        <f>'Raw Data'!J202</f>
        <v>25986</v>
      </c>
      <c r="H206" s="36">
        <f>G205/G206-1</f>
        <v>1.8375278996383138E-3</v>
      </c>
    </row>
    <row r="207" spans="2:8" x14ac:dyDescent="0.3">
      <c r="B207" s="34">
        <f>'Raw Data'!G203</f>
        <v>45993</v>
      </c>
      <c r="C207">
        <f>'Raw Data'!H203</f>
        <v>16239</v>
      </c>
      <c r="D207" s="36">
        <f>C206/C207-1</f>
        <v>-9.6680830100375204E-3</v>
      </c>
      <c r="F207" s="34">
        <f>'Raw Data'!G203</f>
        <v>45993</v>
      </c>
      <c r="G207">
        <f>'Raw Data'!J203</f>
        <v>26032.2</v>
      </c>
      <c r="H207" s="36">
        <f>G206/G207-1</f>
        <v>-1.7747251480858539E-3</v>
      </c>
    </row>
    <row r="208" spans="2:8" x14ac:dyDescent="0.3">
      <c r="B208" s="34">
        <f>'Raw Data'!G204</f>
        <v>45992</v>
      </c>
      <c r="C208">
        <f>'Raw Data'!H204</f>
        <v>16097</v>
      </c>
      <c r="D208" s="36">
        <f>C207/C208-1</f>
        <v>8.8215195378020805E-3</v>
      </c>
      <c r="F208" s="34">
        <f>'Raw Data'!G204</f>
        <v>45992</v>
      </c>
      <c r="G208">
        <f>'Raw Data'!J204</f>
        <v>26175.75</v>
      </c>
      <c r="H208" s="36">
        <f>G207/G208-1</f>
        <v>-5.4840835506145824E-3</v>
      </c>
    </row>
    <row r="209" spans="2:8" x14ac:dyDescent="0.3">
      <c r="B209" s="34">
        <f>'Raw Data'!G205</f>
        <v>45989</v>
      </c>
      <c r="C209">
        <f>'Raw Data'!H205</f>
        <v>15900</v>
      </c>
      <c r="D209" s="36">
        <f>C208/C209-1</f>
        <v>1.238993710691827E-2</v>
      </c>
      <c r="F209" s="34">
        <f>'Raw Data'!G205</f>
        <v>45989</v>
      </c>
      <c r="G209">
        <f>'Raw Data'!J205</f>
        <v>26202.95</v>
      </c>
      <c r="H209" s="36">
        <f>G208/G209-1</f>
        <v>-1.0380510591364578E-3</v>
      </c>
    </row>
    <row r="210" spans="2:8" x14ac:dyDescent="0.3">
      <c r="B210" s="34">
        <f>'Raw Data'!G206</f>
        <v>45988</v>
      </c>
      <c r="C210">
        <f>'Raw Data'!H206</f>
        <v>15903</v>
      </c>
      <c r="D210" s="36">
        <f>C209/C210-1</f>
        <v>-1.8864365214110723E-4</v>
      </c>
      <c r="F210" s="34">
        <f>'Raw Data'!G206</f>
        <v>45988</v>
      </c>
      <c r="G210">
        <f>'Raw Data'!J206</f>
        <v>26215.55</v>
      </c>
      <c r="H210" s="36">
        <f>G209/G210-1</f>
        <v>-4.806307706685109E-4</v>
      </c>
    </row>
    <row r="211" spans="2:8" x14ac:dyDescent="0.3">
      <c r="B211" s="34">
        <f>'Raw Data'!G207</f>
        <v>45987</v>
      </c>
      <c r="C211">
        <f>'Raw Data'!H207</f>
        <v>16156</v>
      </c>
      <c r="D211" s="36">
        <f>C210/C211-1</f>
        <v>-1.5659816786333214E-2</v>
      </c>
      <c r="F211" s="34">
        <f>'Raw Data'!G207</f>
        <v>45987</v>
      </c>
      <c r="G211">
        <f>'Raw Data'!J207</f>
        <v>26205.3</v>
      </c>
      <c r="H211" s="36">
        <f>G210/G211-1</f>
        <v>3.9114224985015156E-4</v>
      </c>
    </row>
    <row r="212" spans="2:8" x14ac:dyDescent="0.3">
      <c r="B212" s="34">
        <f>'Raw Data'!G208</f>
        <v>45986</v>
      </c>
      <c r="C212">
        <f>'Raw Data'!H208</f>
        <v>15889</v>
      </c>
      <c r="D212" s="36">
        <f>C211/C212-1</f>
        <v>1.6804078293158886E-2</v>
      </c>
      <c r="F212" s="34">
        <f>'Raw Data'!G208</f>
        <v>45986</v>
      </c>
      <c r="G212">
        <f>'Raw Data'!J208</f>
        <v>25884.799999999999</v>
      </c>
      <c r="H212" s="36">
        <f>G211/G212-1</f>
        <v>1.238178390406719E-2</v>
      </c>
    </row>
    <row r="213" spans="2:8" x14ac:dyDescent="0.3">
      <c r="B213" s="34">
        <f>'Raw Data'!G209</f>
        <v>45985</v>
      </c>
      <c r="C213">
        <f>'Raw Data'!H209</f>
        <v>15958</v>
      </c>
      <c r="D213" s="36">
        <f>C212/C213-1</f>
        <v>-4.3238501065296919E-3</v>
      </c>
      <c r="F213" s="34">
        <f>'Raw Data'!G209</f>
        <v>45985</v>
      </c>
      <c r="G213">
        <f>'Raw Data'!J209</f>
        <v>25959.5</v>
      </c>
      <c r="H213" s="36">
        <f>G212/G213-1</f>
        <v>-2.8775592750245327E-3</v>
      </c>
    </row>
    <row r="214" spans="2:8" x14ac:dyDescent="0.3">
      <c r="B214" s="34">
        <f>'Raw Data'!G210</f>
        <v>45982</v>
      </c>
      <c r="C214">
        <f>'Raw Data'!H210</f>
        <v>15977</v>
      </c>
      <c r="D214" s="36">
        <f>C213/C214-1</f>
        <v>-1.1892094886398752E-3</v>
      </c>
      <c r="F214" s="34">
        <f>'Raw Data'!G210</f>
        <v>45982</v>
      </c>
      <c r="G214">
        <f>'Raw Data'!J210</f>
        <v>26068.15</v>
      </c>
      <c r="H214" s="36">
        <f>G213/G214-1</f>
        <v>-4.1679213906625767E-3</v>
      </c>
    </row>
    <row r="215" spans="2:8" x14ac:dyDescent="0.3">
      <c r="B215" s="34">
        <f>'Raw Data'!G211</f>
        <v>45981</v>
      </c>
      <c r="C215">
        <f>'Raw Data'!H211</f>
        <v>15801</v>
      </c>
      <c r="D215" s="36">
        <f>C214/C215-1</f>
        <v>1.1138535535725635E-2</v>
      </c>
      <c r="F215" s="34">
        <f>'Raw Data'!G211</f>
        <v>45981</v>
      </c>
      <c r="G215">
        <f>'Raw Data'!J211</f>
        <v>26192.15</v>
      </c>
      <c r="H215" s="36">
        <f>G214/G215-1</f>
        <v>-4.7342428933859759E-3</v>
      </c>
    </row>
    <row r="216" spans="2:8" x14ac:dyDescent="0.3">
      <c r="B216" s="34">
        <f>'Raw Data'!G212</f>
        <v>45980</v>
      </c>
      <c r="C216">
        <f>'Raw Data'!H212</f>
        <v>15768</v>
      </c>
      <c r="D216" s="36">
        <f>C215/C216-1</f>
        <v>2.0928462709284279E-3</v>
      </c>
      <c r="F216" s="34">
        <f>'Raw Data'!G212</f>
        <v>45980</v>
      </c>
      <c r="G216">
        <f>'Raw Data'!J212</f>
        <v>26052.65</v>
      </c>
      <c r="H216" s="36">
        <f>G215/G216-1</f>
        <v>5.3545416685059077E-3</v>
      </c>
    </row>
    <row r="217" spans="2:8" x14ac:dyDescent="0.3">
      <c r="B217" s="34">
        <f>'Raw Data'!G213</f>
        <v>45979</v>
      </c>
      <c r="C217">
        <f>'Raw Data'!H213</f>
        <v>15930</v>
      </c>
      <c r="D217" s="36">
        <f>C216/C217-1</f>
        <v>-1.016949152542368E-2</v>
      </c>
      <c r="F217" s="34">
        <f>'Raw Data'!G213</f>
        <v>45979</v>
      </c>
      <c r="G217">
        <f>'Raw Data'!J213</f>
        <v>25910.05</v>
      </c>
      <c r="H217" s="36">
        <f>G216/G217-1</f>
        <v>5.5036559172985111E-3</v>
      </c>
    </row>
    <row r="218" spans="2:8" x14ac:dyDescent="0.3">
      <c r="B218" s="34">
        <f>'Raw Data'!G214</f>
        <v>45978</v>
      </c>
      <c r="C218">
        <f>'Raw Data'!H214</f>
        <v>15878</v>
      </c>
      <c r="D218" s="36">
        <f>C217/C218-1</f>
        <v>3.2749716588991173E-3</v>
      </c>
      <c r="F218" s="34">
        <f>'Raw Data'!G214</f>
        <v>45978</v>
      </c>
      <c r="G218">
        <f>'Raw Data'!J214</f>
        <v>26013.45</v>
      </c>
      <c r="H218" s="36">
        <f>G217/G218-1</f>
        <v>-3.9748668477268545E-3</v>
      </c>
    </row>
    <row r="219" spans="2:8" x14ac:dyDescent="0.3">
      <c r="B219" s="34">
        <f>'Raw Data'!G215</f>
        <v>45975</v>
      </c>
      <c r="C219">
        <f>'Raw Data'!H215</f>
        <v>15684</v>
      </c>
      <c r="D219" s="36">
        <f>C218/C219-1</f>
        <v>1.2369293547564331E-2</v>
      </c>
      <c r="F219" s="34">
        <f>'Raw Data'!G215</f>
        <v>45975</v>
      </c>
      <c r="G219">
        <f>'Raw Data'!J215</f>
        <v>25910.05</v>
      </c>
      <c r="H219" s="36">
        <f>G218/G219-1</f>
        <v>3.9907294659795589E-3</v>
      </c>
    </row>
    <row r="220" spans="2:8" x14ac:dyDescent="0.3">
      <c r="B220" s="34">
        <f>'Raw Data'!G216</f>
        <v>45974</v>
      </c>
      <c r="C220">
        <f>'Raw Data'!H216</f>
        <v>15749</v>
      </c>
      <c r="D220" s="36">
        <f>C219/C220-1</f>
        <v>-4.1272461743602218E-3</v>
      </c>
      <c r="F220" s="34">
        <f>'Raw Data'!G216</f>
        <v>45974</v>
      </c>
      <c r="G220">
        <f>'Raw Data'!J216</f>
        <v>25879.15</v>
      </c>
      <c r="H220" s="36">
        <f>G219/G220-1</f>
        <v>1.194011395273753E-3</v>
      </c>
    </row>
    <row r="221" spans="2:8" x14ac:dyDescent="0.3">
      <c r="B221" s="34">
        <f>'Raw Data'!G217</f>
        <v>45973</v>
      </c>
      <c r="C221">
        <f>'Raw Data'!H217</f>
        <v>15696</v>
      </c>
      <c r="D221" s="36">
        <f>C220/C221-1</f>
        <v>3.3766564729866833E-3</v>
      </c>
      <c r="F221" s="34">
        <f>'Raw Data'!G217</f>
        <v>45973</v>
      </c>
      <c r="G221">
        <f>'Raw Data'!J217</f>
        <v>25875.8</v>
      </c>
      <c r="H221" s="36">
        <f>G220/G221-1</f>
        <v>1.2946459626372864E-4</v>
      </c>
    </row>
    <row r="222" spans="2:8" x14ac:dyDescent="0.3">
      <c r="B222" s="34">
        <f>'Raw Data'!G218</f>
        <v>45972</v>
      </c>
      <c r="C222">
        <f>'Raw Data'!H218</f>
        <v>15645</v>
      </c>
      <c r="D222" s="36">
        <f>C221/C222-1</f>
        <v>3.2598274209012512E-3</v>
      </c>
      <c r="F222" s="34">
        <f>'Raw Data'!G218</f>
        <v>45972</v>
      </c>
      <c r="G222">
        <f>'Raw Data'!J218</f>
        <v>25694.95</v>
      </c>
      <c r="H222" s="36">
        <f>G221/G222-1</f>
        <v>7.0383480022337963E-3</v>
      </c>
    </row>
    <row r="223" spans="2:8" x14ac:dyDescent="0.3">
      <c r="B223" s="34">
        <f>'Raw Data'!G219</f>
        <v>45971</v>
      </c>
      <c r="C223">
        <f>'Raw Data'!H219</f>
        <v>15583</v>
      </c>
      <c r="D223" s="36">
        <f>C222/C223-1</f>
        <v>3.9786947314381926E-3</v>
      </c>
      <c r="F223" s="34">
        <f>'Raw Data'!G219</f>
        <v>45971</v>
      </c>
      <c r="G223">
        <f>'Raw Data'!J219</f>
        <v>25574.35</v>
      </c>
      <c r="H223" s="36">
        <f>G222/G223-1</f>
        <v>4.7156623726507529E-3</v>
      </c>
    </row>
    <row r="224" spans="2:8" x14ac:dyDescent="0.3">
      <c r="B224" s="34">
        <f>'Raw Data'!G220</f>
        <v>45968</v>
      </c>
      <c r="C224">
        <f>'Raw Data'!H220</f>
        <v>15479</v>
      </c>
      <c r="D224" s="36">
        <f>C223/C224-1</f>
        <v>6.7187802829640209E-3</v>
      </c>
      <c r="F224" s="34">
        <f>'Raw Data'!G220</f>
        <v>45968</v>
      </c>
      <c r="G224">
        <f>'Raw Data'!J220</f>
        <v>25492.3</v>
      </c>
      <c r="H224" s="36">
        <f>G223/G224-1</f>
        <v>3.2186189555276634E-3</v>
      </c>
    </row>
    <row r="225" spans="2:8" x14ac:dyDescent="0.3">
      <c r="B225" s="34">
        <f>'Raw Data'!G221</f>
        <v>45967</v>
      </c>
      <c r="C225">
        <f>'Raw Data'!H221</f>
        <v>15452</v>
      </c>
      <c r="D225" s="36">
        <f>C224/C225-1</f>
        <v>1.7473466217965417E-3</v>
      </c>
      <c r="F225" s="34">
        <f>'Raw Data'!G221</f>
        <v>45967</v>
      </c>
      <c r="G225">
        <f>'Raw Data'!J221</f>
        <v>25509.7</v>
      </c>
      <c r="H225" s="36">
        <f>G224/G225-1</f>
        <v>-6.8209347816716726E-4</v>
      </c>
    </row>
    <row r="226" spans="2:8" x14ac:dyDescent="0.3">
      <c r="B226" s="34">
        <f>'Raw Data'!G222</f>
        <v>45965</v>
      </c>
      <c r="C226">
        <f>'Raw Data'!H222</f>
        <v>15374</v>
      </c>
      <c r="D226" s="36">
        <f>C225/C226-1</f>
        <v>5.0735007154936174E-3</v>
      </c>
      <c r="F226" s="34">
        <f>'Raw Data'!G222</f>
        <v>45965</v>
      </c>
      <c r="G226">
        <f>'Raw Data'!J222</f>
        <v>25597.65</v>
      </c>
      <c r="H226" s="36">
        <f>G225/G226-1</f>
        <v>-3.4358622764198987E-3</v>
      </c>
    </row>
    <row r="227" spans="2:8" x14ac:dyDescent="0.3">
      <c r="B227" s="34">
        <f>'Raw Data'!G223</f>
        <v>45964</v>
      </c>
      <c r="C227">
        <f>'Raw Data'!H223</f>
        <v>15651</v>
      </c>
      <c r="D227" s="36">
        <f>C226/C227-1</f>
        <v>-1.7698549613443193E-2</v>
      </c>
      <c r="F227" s="34">
        <f>'Raw Data'!G223</f>
        <v>45964</v>
      </c>
      <c r="G227">
        <f>'Raw Data'!J223</f>
        <v>25763.35</v>
      </c>
      <c r="H227" s="36">
        <f>G226/G227-1</f>
        <v>-6.4316170063286604E-3</v>
      </c>
    </row>
    <row r="228" spans="2:8" x14ac:dyDescent="0.3">
      <c r="B228" s="34">
        <f>'Raw Data'!G224</f>
        <v>45961</v>
      </c>
      <c r="C228">
        <f>'Raw Data'!H224</f>
        <v>16186</v>
      </c>
      <c r="D228" s="36">
        <f>C227/C228-1</f>
        <v>-3.3053255900160616E-2</v>
      </c>
      <c r="F228" s="34">
        <f>'Raw Data'!G224</f>
        <v>45961</v>
      </c>
      <c r="G228">
        <f>'Raw Data'!J224</f>
        <v>25722.1</v>
      </c>
      <c r="H228" s="36">
        <f>G227/G228-1</f>
        <v>1.6036793263380922E-3</v>
      </c>
    </row>
    <row r="229" spans="2:8" x14ac:dyDescent="0.3">
      <c r="B229" s="34">
        <f>'Raw Data'!G225</f>
        <v>45960</v>
      </c>
      <c r="C229">
        <f>'Raw Data'!H225</f>
        <v>16206</v>
      </c>
      <c r="D229" s="36">
        <f>C228/C229-1</f>
        <v>-1.234110823151946E-3</v>
      </c>
      <c r="F229" s="34">
        <f>'Raw Data'!G225</f>
        <v>45960</v>
      </c>
      <c r="G229">
        <f>'Raw Data'!J225</f>
        <v>25877.85</v>
      </c>
      <c r="H229" s="36">
        <f>G228/G229-1</f>
        <v>-6.0186607465457787E-3</v>
      </c>
    </row>
    <row r="230" spans="2:8" x14ac:dyDescent="0.3">
      <c r="B230" s="34">
        <f>'Raw Data'!G226</f>
        <v>45959</v>
      </c>
      <c r="C230">
        <f>'Raw Data'!H226</f>
        <v>16138</v>
      </c>
      <c r="D230" s="36">
        <f>C229/C230-1</f>
        <v>4.2136572065931688E-3</v>
      </c>
      <c r="F230" s="34">
        <f>'Raw Data'!G226</f>
        <v>45959</v>
      </c>
      <c r="G230">
        <f>'Raw Data'!J226</f>
        <v>26053.9</v>
      </c>
      <c r="H230" s="36">
        <f>G229/G230-1</f>
        <v>-6.7571457632064069E-3</v>
      </c>
    </row>
    <row r="231" spans="2:8" x14ac:dyDescent="0.3">
      <c r="B231" s="34">
        <f>'Raw Data'!G227</f>
        <v>45958</v>
      </c>
      <c r="C231">
        <f>'Raw Data'!H227</f>
        <v>16311</v>
      </c>
      <c r="D231" s="36">
        <f>C230/C231-1</f>
        <v>-1.0606339280240351E-2</v>
      </c>
      <c r="F231" s="34">
        <f>'Raw Data'!G227</f>
        <v>45958</v>
      </c>
      <c r="G231">
        <f>'Raw Data'!J227</f>
        <v>25936.2</v>
      </c>
      <c r="H231" s="36">
        <f>G230/G231-1</f>
        <v>4.5380587749941359E-3</v>
      </c>
    </row>
    <row r="232" spans="2:8" x14ac:dyDescent="0.3">
      <c r="B232" s="34">
        <f>'Raw Data'!G228</f>
        <v>45957</v>
      </c>
      <c r="C232">
        <f>'Raw Data'!H228</f>
        <v>16388</v>
      </c>
      <c r="D232" s="36">
        <f>C231/C232-1</f>
        <v>-4.6985599218940521E-3</v>
      </c>
      <c r="F232" s="34">
        <f>'Raw Data'!G228</f>
        <v>45957</v>
      </c>
      <c r="G232">
        <f>'Raw Data'!J228</f>
        <v>25966.05</v>
      </c>
      <c r="H232" s="36">
        <f>G231/G232-1</f>
        <v>-1.1495780066663741E-3</v>
      </c>
    </row>
    <row r="233" spans="2:8" x14ac:dyDescent="0.3">
      <c r="B233" s="34">
        <f>'Raw Data'!G229</f>
        <v>45954</v>
      </c>
      <c r="C233">
        <f>'Raw Data'!H229</f>
        <v>16274</v>
      </c>
      <c r="D233" s="36">
        <f>C232/C233-1</f>
        <v>7.0050387120559332E-3</v>
      </c>
      <c r="F233" s="34">
        <f>'Raw Data'!G229</f>
        <v>45954</v>
      </c>
      <c r="G233">
        <f>'Raw Data'!J229</f>
        <v>25795.15</v>
      </c>
      <c r="H233" s="36">
        <f>G232/G233-1</f>
        <v>6.6252764570082778E-3</v>
      </c>
    </row>
    <row r="234" spans="2:8" x14ac:dyDescent="0.3">
      <c r="B234" s="34">
        <f>'Raw Data'!G230</f>
        <v>45953</v>
      </c>
      <c r="C234">
        <f>'Raw Data'!H230</f>
        <v>16393</v>
      </c>
      <c r="D234" s="36">
        <f>C233/C234-1</f>
        <v>-7.2591959982919452E-3</v>
      </c>
      <c r="F234" s="34">
        <f>'Raw Data'!G230</f>
        <v>45953</v>
      </c>
      <c r="G234">
        <f>'Raw Data'!J230</f>
        <v>25891.4</v>
      </c>
      <c r="H234" s="36">
        <f>G233/G234-1</f>
        <v>-3.7174505820465331E-3</v>
      </c>
    </row>
    <row r="235" spans="2:8" x14ac:dyDescent="0.3">
      <c r="B235" s="34">
        <f>'Raw Data'!G231</f>
        <v>45951</v>
      </c>
      <c r="C235">
        <f>'Raw Data'!H231</f>
        <v>16396</v>
      </c>
      <c r="D235" s="36">
        <f>C234/C235-1</f>
        <v>-1.8297145645274071E-4</v>
      </c>
      <c r="F235" s="34">
        <f>'Raw Data'!G231</f>
        <v>45951</v>
      </c>
      <c r="G235">
        <f>'Raw Data'!J231</f>
        <v>25868.6</v>
      </c>
      <c r="H235" s="36">
        <f>G234/G235-1</f>
        <v>8.8137742282157205E-4</v>
      </c>
    </row>
    <row r="236" spans="2:8" x14ac:dyDescent="0.3">
      <c r="B236" s="34">
        <f>'Raw Data'!G232</f>
        <v>45950</v>
      </c>
      <c r="C236">
        <f>'Raw Data'!H232</f>
        <v>16424</v>
      </c>
      <c r="D236" s="36">
        <f>C235/C236-1</f>
        <v>-1.7048222113980049E-3</v>
      </c>
      <c r="F236" s="34">
        <f>'Raw Data'!G232</f>
        <v>45950</v>
      </c>
      <c r="G236">
        <f>'Raw Data'!J232</f>
        <v>25843.15</v>
      </c>
      <c r="H236" s="36">
        <f>G235/G236-1</f>
        <v>9.8478707123539344E-4</v>
      </c>
    </row>
    <row r="237" spans="2:8" x14ac:dyDescent="0.3">
      <c r="B237" s="34">
        <f>'Raw Data'!G233</f>
        <v>45947</v>
      </c>
      <c r="C237">
        <f>'Raw Data'!H233</f>
        <v>16401</v>
      </c>
      <c r="D237" s="36">
        <f>C236/C237-1</f>
        <v>1.4023535150295974E-3</v>
      </c>
      <c r="F237" s="34">
        <f>'Raw Data'!G233</f>
        <v>45947</v>
      </c>
      <c r="G237">
        <f>'Raw Data'!J233</f>
        <v>25709.85</v>
      </c>
      <c r="H237" s="36">
        <f>G236/G237-1</f>
        <v>5.1847832640019575E-3</v>
      </c>
    </row>
    <row r="238" spans="2:8" x14ac:dyDescent="0.3">
      <c r="B238" s="34">
        <f>'Raw Data'!G234</f>
        <v>45946</v>
      </c>
      <c r="C238">
        <f>'Raw Data'!H234</f>
        <v>16298</v>
      </c>
      <c r="D238" s="36">
        <f>C237/C238-1</f>
        <v>6.3197938397350217E-3</v>
      </c>
      <c r="F238" s="34">
        <f>'Raw Data'!G234</f>
        <v>45946</v>
      </c>
      <c r="G238">
        <f>'Raw Data'!J234</f>
        <v>25585.3</v>
      </c>
      <c r="H238" s="36">
        <f>G237/G238-1</f>
        <v>4.8680296889229702E-3</v>
      </c>
    </row>
    <row r="239" spans="2:8" x14ac:dyDescent="0.3">
      <c r="B239" s="34">
        <f>'Raw Data'!G235</f>
        <v>45945</v>
      </c>
      <c r="C239">
        <f>'Raw Data'!H235</f>
        <v>16212</v>
      </c>
      <c r="D239" s="36">
        <f>C238/C239-1</f>
        <v>5.3047125585985455E-3</v>
      </c>
      <c r="F239" s="34">
        <f>'Raw Data'!G235</f>
        <v>45945</v>
      </c>
      <c r="G239">
        <f>'Raw Data'!J235</f>
        <v>25323.55</v>
      </c>
      <c r="H239" s="36">
        <f>G238/G239-1</f>
        <v>1.0336228530360092E-2</v>
      </c>
    </row>
    <row r="240" spans="2:8" x14ac:dyDescent="0.3">
      <c r="B240" s="34">
        <f>'Raw Data'!G236</f>
        <v>45944</v>
      </c>
      <c r="C240">
        <f>'Raw Data'!H236</f>
        <v>16261</v>
      </c>
      <c r="D240" s="36">
        <f>C239/C240-1</f>
        <v>-3.0133448127421802E-3</v>
      </c>
      <c r="F240" s="34">
        <f>'Raw Data'!G236</f>
        <v>45944</v>
      </c>
      <c r="G240">
        <f>'Raw Data'!J236</f>
        <v>25145.5</v>
      </c>
      <c r="H240" s="36">
        <f>G239/G240-1</f>
        <v>7.0807898033444783E-3</v>
      </c>
    </row>
    <row r="241" spans="2:8" x14ac:dyDescent="0.3">
      <c r="B241" s="34">
        <f>'Raw Data'!G237</f>
        <v>45943</v>
      </c>
      <c r="C241">
        <f>'Raw Data'!H237</f>
        <v>16323</v>
      </c>
      <c r="D241" s="36">
        <f>C240/C241-1</f>
        <v>-3.798321386999981E-3</v>
      </c>
      <c r="F241" s="34">
        <f>'Raw Data'!G237</f>
        <v>45943</v>
      </c>
      <c r="G241">
        <f>'Raw Data'!J237</f>
        <v>25227.35</v>
      </c>
      <c r="H241" s="36">
        <f>G240/G241-1</f>
        <v>-3.2444945664129587E-3</v>
      </c>
    </row>
    <row r="242" spans="2:8" x14ac:dyDescent="0.3">
      <c r="B242" s="34">
        <f>'Raw Data'!G238</f>
        <v>45940</v>
      </c>
      <c r="C242">
        <f>'Raw Data'!H238</f>
        <v>16265</v>
      </c>
      <c r="D242" s="36">
        <f>C241/C242-1</f>
        <v>3.565939133107987E-3</v>
      </c>
      <c r="F242" s="34">
        <f>'Raw Data'!G238</f>
        <v>45940</v>
      </c>
      <c r="G242">
        <f>'Raw Data'!J238</f>
        <v>25285.35</v>
      </c>
      <c r="H242" s="36">
        <f>G241/G242-1</f>
        <v>-2.2938183572701609E-3</v>
      </c>
    </row>
    <row r="243" spans="2:8" x14ac:dyDescent="0.3">
      <c r="B243" s="34">
        <f>'Raw Data'!G239</f>
        <v>45939</v>
      </c>
      <c r="C243">
        <f>'Raw Data'!H239</f>
        <v>15985</v>
      </c>
      <c r="D243" s="36">
        <f>C242/C243-1</f>
        <v>1.7516421645292546E-2</v>
      </c>
      <c r="F243" s="34">
        <f>'Raw Data'!G239</f>
        <v>45939</v>
      </c>
      <c r="G243">
        <f>'Raw Data'!J239</f>
        <v>25181.8</v>
      </c>
      <c r="H243" s="36">
        <f>G242/G243-1</f>
        <v>4.1120968318388851E-3</v>
      </c>
    </row>
    <row r="244" spans="2:8" x14ac:dyDescent="0.3">
      <c r="B244" s="34">
        <f>'Raw Data'!G240</f>
        <v>45938</v>
      </c>
      <c r="C244">
        <f>'Raw Data'!H240</f>
        <v>16012</v>
      </c>
      <c r="D244" s="36">
        <f>C243/C244-1</f>
        <v>-1.6862353235074234E-3</v>
      </c>
      <c r="F244" s="34">
        <f>'Raw Data'!G240</f>
        <v>45938</v>
      </c>
      <c r="G244">
        <f>'Raw Data'!J240</f>
        <v>25046.15</v>
      </c>
      <c r="H244" s="36">
        <f>G243/G244-1</f>
        <v>5.4160020601967673E-3</v>
      </c>
    </row>
    <row r="245" spans="2:8" x14ac:dyDescent="0.3">
      <c r="B245" s="34">
        <f>'Raw Data'!G241</f>
        <v>45937</v>
      </c>
      <c r="C245">
        <f>'Raw Data'!H241</f>
        <v>16108</v>
      </c>
      <c r="D245" s="36">
        <f>C244/C245-1</f>
        <v>-5.9597715420909303E-3</v>
      </c>
      <c r="F245" s="34">
        <f>'Raw Data'!G241</f>
        <v>45937</v>
      </c>
      <c r="G245">
        <f>'Raw Data'!J241</f>
        <v>25108.3</v>
      </c>
      <c r="H245" s="36">
        <f>G244/G245-1</f>
        <v>-2.4752770996043783E-3</v>
      </c>
    </row>
    <row r="246" spans="2:8" x14ac:dyDescent="0.3">
      <c r="B246" s="34">
        <f>'Raw Data'!G242</f>
        <v>45936</v>
      </c>
      <c r="C246">
        <f>'Raw Data'!H242</f>
        <v>15998</v>
      </c>
      <c r="D246" s="36">
        <f>C245/C246-1</f>
        <v>6.8758594824354091E-3</v>
      </c>
      <c r="F246" s="34">
        <f>'Raw Data'!G242</f>
        <v>45936</v>
      </c>
      <c r="G246">
        <f>'Raw Data'!J242</f>
        <v>25077.65</v>
      </c>
      <c r="H246" s="36">
        <f>G245/G246-1</f>
        <v>1.222203834888802E-3</v>
      </c>
    </row>
    <row r="247" spans="2:8" x14ac:dyDescent="0.3">
      <c r="B247" s="34">
        <f>'Raw Data'!G243</f>
        <v>45933</v>
      </c>
      <c r="C247">
        <f>'Raw Data'!H243</f>
        <v>15806</v>
      </c>
      <c r="D247" s="36">
        <f>C246/C247-1</f>
        <v>1.2147285840820032E-2</v>
      </c>
      <c r="F247" s="34">
        <f>'Raw Data'!G243</f>
        <v>45933</v>
      </c>
      <c r="G247">
        <f>'Raw Data'!J243</f>
        <v>24894.25</v>
      </c>
      <c r="H247" s="36">
        <f>G246/G247-1</f>
        <v>7.3671630999125881E-3</v>
      </c>
    </row>
    <row r="248" spans="2:8" x14ac:dyDescent="0.3">
      <c r="B248" s="34">
        <f>'Raw Data'!G244</f>
        <v>45931</v>
      </c>
      <c r="C248">
        <f>'Raw Data'!H244</f>
        <v>15965</v>
      </c>
      <c r="D248" s="36">
        <f>C247/C248-1</f>
        <v>-9.9592859379893373E-3</v>
      </c>
      <c r="F248" s="34">
        <f>'Raw Data'!G244</f>
        <v>45931</v>
      </c>
      <c r="G248">
        <f>'Raw Data'!J244</f>
        <v>24836.3</v>
      </c>
      <c r="H248" s="36">
        <f>G247/G248-1</f>
        <v>2.3332783063501061E-3</v>
      </c>
    </row>
    <row r="249" spans="2:8" x14ac:dyDescent="0.3">
      <c r="B249" s="34">
        <f>'Raw Data'!G245</f>
        <v>45930</v>
      </c>
      <c r="C249">
        <f>'Raw Data'!H245</f>
        <v>16029</v>
      </c>
      <c r="D249" s="36">
        <f>C248/C249-1</f>
        <v>-3.9927631168507061E-3</v>
      </c>
      <c r="F249" s="34">
        <f>'Raw Data'!G245</f>
        <v>45930</v>
      </c>
      <c r="G249">
        <f>'Raw Data'!J245</f>
        <v>24611.1</v>
      </c>
      <c r="H249" s="36">
        <f>G248/G249-1</f>
        <v>9.1503427315318131E-3</v>
      </c>
    </row>
    <row r="250" spans="2:8" x14ac:dyDescent="0.3">
      <c r="B250" s="34">
        <f>'Raw Data'!G246</f>
        <v>45929</v>
      </c>
      <c r="C250">
        <f>'Raw Data'!H246</f>
        <v>15984</v>
      </c>
      <c r="D250" s="36">
        <f>C249/C250-1</f>
        <v>2.8153153153154253E-3</v>
      </c>
      <c r="F250" s="34">
        <f>'Raw Data'!G246</f>
        <v>45929</v>
      </c>
      <c r="G250">
        <f>'Raw Data'!J246</f>
        <v>24634.9</v>
      </c>
      <c r="H250" s="36">
        <f>G249/G250-1</f>
        <v>-9.6610905666361102E-4</v>
      </c>
    </row>
    <row r="251" spans="2:8" x14ac:dyDescent="0.3">
      <c r="B251" s="34">
        <f>'Raw Data'!G247</f>
        <v>45926</v>
      </c>
      <c r="C251">
        <f>'Raw Data'!H247</f>
        <v>16286</v>
      </c>
      <c r="D251" s="36">
        <f>C250/C251-1</f>
        <v>-1.8543534323959276E-2</v>
      </c>
      <c r="F251" s="34">
        <f>'Raw Data'!G247</f>
        <v>45926</v>
      </c>
      <c r="G251">
        <f>'Raw Data'!J247</f>
        <v>24654.7</v>
      </c>
      <c r="H251" s="36">
        <f>G250/G251-1</f>
        <v>-8.0309231099950917E-4</v>
      </c>
    </row>
    <row r="252" spans="2:8" x14ac:dyDescent="0.3">
      <c r="B252" s="34">
        <f>'Raw Data'!G248</f>
        <v>45925</v>
      </c>
      <c r="C252">
        <f>'Raw Data'!H248</f>
        <v>16269</v>
      </c>
      <c r="D252" s="36">
        <f>C251/C252-1</f>
        <v>1.0449320794148065E-3</v>
      </c>
      <c r="F252" s="34">
        <f>'Raw Data'!G248</f>
        <v>45925</v>
      </c>
      <c r="G252">
        <f>'Raw Data'!J248</f>
        <v>24890.85</v>
      </c>
      <c r="H252" s="36">
        <f>G251/G252-1</f>
        <v>-9.4874220848222279E-3</v>
      </c>
    </row>
    <row r="253" spans="2:8" x14ac:dyDescent="0.3">
      <c r="B253" s="34">
        <f>'Raw Data'!G249</f>
        <v>45924</v>
      </c>
      <c r="C253">
        <f>'Raw Data'!H249</f>
        <v>16249</v>
      </c>
      <c r="D253">
        <f>C252/C253-1</f>
        <v>1.230844975075307E-3</v>
      </c>
      <c r="F253" s="171">
        <f>'Raw Data'!G249</f>
        <v>45924</v>
      </c>
      <c r="G253">
        <f>'Raw Data'!J249</f>
        <v>25056.9</v>
      </c>
      <c r="H253">
        <f>G252/G253-1</f>
        <v>-6.6269171365972435E-3</v>
      </c>
    </row>
    <row r="254" spans="2:8" x14ac:dyDescent="0.3">
      <c r="B254" s="34">
        <f>'Raw Data'!G250</f>
        <v>45923</v>
      </c>
      <c r="C254">
        <f>'Raw Data'!H250</f>
        <v>16097</v>
      </c>
      <c r="D254">
        <f>C253/C254-1</f>
        <v>9.4427533080698733E-3</v>
      </c>
      <c r="F254" s="171">
        <f>'Raw Data'!G250</f>
        <v>45923</v>
      </c>
      <c r="G254">
        <f>'Raw Data'!J250</f>
        <v>25169.5</v>
      </c>
      <c r="H254">
        <f>G253/G254-1</f>
        <v>-4.4736685273842891E-3</v>
      </c>
    </row>
    <row r="255" spans="2:8" x14ac:dyDescent="0.3">
      <c r="B255" s="34">
        <f>'Raw Data'!G251</f>
        <v>45922</v>
      </c>
      <c r="C255">
        <f>'Raw Data'!H251</f>
        <v>15816</v>
      </c>
      <c r="D255">
        <f>C254/C255-1</f>
        <v>1.7766818411734997E-2</v>
      </c>
      <c r="F255" s="171">
        <f>'Raw Data'!G251</f>
        <v>45922</v>
      </c>
      <c r="G255">
        <f>'Raw Data'!J251</f>
        <v>25202.35</v>
      </c>
      <c r="H255">
        <f>G254/G255-1</f>
        <v>-1.3034498766979485E-3</v>
      </c>
    </row>
    <row r="256" spans="2:8" x14ac:dyDescent="0.3">
      <c r="B256" s="34">
        <f>'Raw Data'!G252</f>
        <v>45919</v>
      </c>
      <c r="C256">
        <f>'Raw Data'!H252</f>
        <v>15864</v>
      </c>
      <c r="D256">
        <f>C255/C256-1</f>
        <v>-3.0257186081694698E-3</v>
      </c>
      <c r="F256" s="171">
        <f>'Raw Data'!G252</f>
        <v>45919</v>
      </c>
      <c r="G256">
        <f>'Raw Data'!J252</f>
        <v>25327.05</v>
      </c>
      <c r="H256">
        <f>G255/G256-1</f>
        <v>-4.9235896008418267E-3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M &amp; M</v>
      </c>
      <c r="C14" s="119"/>
      <c r="D14" s="119" t="str">
        <f>'Raw Data'!Q24</f>
        <v>India</v>
      </c>
      <c r="E14" s="124">
        <f>'Raw Data'!R24</f>
        <v>94881.2</v>
      </c>
      <c r="F14" s="124">
        <f>'Raw Data'!S24</f>
        <v>379525</v>
      </c>
      <c r="G14" s="120">
        <f>'Raw Data'!T24</f>
        <v>0.3</v>
      </c>
      <c r="H14" s="36">
        <f>E14/F14</f>
        <v>0.2499998682563731</v>
      </c>
      <c r="I14" s="36">
        <f>E14/SUM(E14:F14)</f>
        <v>0.19999991568406988</v>
      </c>
      <c r="J14" s="47">
        <v>1</v>
      </c>
      <c r="K14" s="47">
        <f>J14/(1+(1-G14)*H14)</f>
        <v>0.85106389658346482</v>
      </c>
    </row>
    <row r="15" spans="1:12" x14ac:dyDescent="0.3">
      <c r="B15" s="119" t="str">
        <f>'Raw Data'!O25</f>
        <v>Maruti Suzuki India Ltd</v>
      </c>
      <c r="C15" s="119"/>
      <c r="D15" s="119" t="str">
        <f>'Raw Data'!Q25</f>
        <v>India</v>
      </c>
      <c r="E15" s="124">
        <f>'Raw Data'!R25</f>
        <v>102</v>
      </c>
      <c r="F15" s="124">
        <f>'Raw Data'!S25</f>
        <v>380521</v>
      </c>
      <c r="G15" s="120">
        <f>'Raw Data'!T25</f>
        <v>0.3</v>
      </c>
      <c r="H15" s="36">
        <f t="shared" ref="H15:H18" si="0">E15/F15</f>
        <v>2.6805353712410092E-4</v>
      </c>
      <c r="I15" s="36">
        <f t="shared" ref="I15:I18" si="1">E15/SUM(E15:F15)</f>
        <v>2.679817036805448E-4</v>
      </c>
      <c r="J15" s="47">
        <f>'Beta-Regression'!L15</f>
        <v>1.0450000307698162</v>
      </c>
      <c r="K15" s="47">
        <f t="shared" ref="K15:K18" si="2">J15/(1+(1-G15)*H15)</f>
        <v>1.0448039863869096</v>
      </c>
    </row>
    <row r="16" spans="1:12" x14ac:dyDescent="0.3">
      <c r="B16" s="119" t="str">
        <f>'Raw Data'!O26</f>
        <v>Bajaj Auto</v>
      </c>
      <c r="C16" s="119"/>
      <c r="D16" s="119" t="str">
        <f>'Raw Data'!Q26</f>
        <v>India</v>
      </c>
      <c r="E16" s="124">
        <f>'Raw Data'!R26</f>
        <v>78415.3</v>
      </c>
      <c r="F16" s="124">
        <f>'Raw Data'!S26</f>
        <v>313661.09999999998</v>
      </c>
      <c r="G16" s="120">
        <f>'Raw Data'!T26</f>
        <v>0.3</v>
      </c>
      <c r="H16" s="36">
        <f t="shared" si="0"/>
        <v>0.25000007970385874</v>
      </c>
      <c r="I16" s="36">
        <f t="shared" si="1"/>
        <v>0.20000005101046636</v>
      </c>
      <c r="J16">
        <v>1</v>
      </c>
      <c r="K16" s="47">
        <f t="shared" si="2"/>
        <v>0.85106378937604454</v>
      </c>
    </row>
    <row r="17" spans="2:11" x14ac:dyDescent="0.3">
      <c r="B17" s="119" t="str">
        <f>'Raw Data'!O27</f>
        <v>Eicher Motors</v>
      </c>
      <c r="C17" s="119"/>
      <c r="D17" s="119" t="str">
        <f>'Raw Data'!Q27</f>
        <v>India</v>
      </c>
      <c r="E17" s="124">
        <f>'Raw Data'!R27</f>
        <v>51582.6</v>
      </c>
      <c r="F17" s="124">
        <f>'Raw Data'!S27</f>
        <v>206330.52</v>
      </c>
      <c r="G17" s="120">
        <f>'Raw Data'!T27</f>
        <v>0.3</v>
      </c>
      <c r="H17" s="36">
        <f t="shared" si="0"/>
        <v>0.24999985460221785</v>
      </c>
      <c r="I17" s="36">
        <f t="shared" si="1"/>
        <v>0.19999990694540859</v>
      </c>
      <c r="J17" s="47">
        <v>1</v>
      </c>
      <c r="K17" s="47">
        <f t="shared" si="2"/>
        <v>0.85106390350635142</v>
      </c>
    </row>
    <row r="18" spans="2:11" x14ac:dyDescent="0.3">
      <c r="B18" s="119" t="str">
        <f>'Raw Data'!O28</f>
        <v>TVS Motor Co.</v>
      </c>
      <c r="C18" s="119"/>
      <c r="D18" s="119" t="str">
        <f>'Raw Data'!Q28</f>
        <v>India</v>
      </c>
      <c r="E18" s="124">
        <f>'Raw Data'!R28</f>
        <v>49543.3</v>
      </c>
      <c r="F18" s="124">
        <f>'Raw Data'!S28</f>
        <v>198173.09</v>
      </c>
      <c r="G18" s="120">
        <f>'Raw Data'!T28</f>
        <v>0.3</v>
      </c>
      <c r="H18" s="36">
        <f t="shared" si="0"/>
        <v>0.25000013876757943</v>
      </c>
      <c r="I18" s="36">
        <f t="shared" si="1"/>
        <v>0.20000008881124096</v>
      </c>
      <c r="J18">
        <v>1</v>
      </c>
      <c r="K18" s="47">
        <f t="shared" si="2"/>
        <v>0.85106375942975276</v>
      </c>
    </row>
    <row r="20" spans="2:11" x14ac:dyDescent="0.3">
      <c r="F20" s="122" t="s">
        <v>339</v>
      </c>
      <c r="G20" s="69">
        <f>AVERAGE(G14:G18)</f>
        <v>0.3</v>
      </c>
      <c r="H20" s="69">
        <f t="shared" ref="H20:K20" si="3">AVERAGE(H14:H18)</f>
        <v>0.20005359897343061</v>
      </c>
      <c r="I20" s="69">
        <f t="shared" si="3"/>
        <v>0.16005358883097326</v>
      </c>
      <c r="J20" s="69">
        <f t="shared" si="3"/>
        <v>1.0090000061539632</v>
      </c>
      <c r="K20" s="69">
        <f t="shared" si="3"/>
        <v>0.88981186705650472</v>
      </c>
    </row>
    <row r="21" spans="2:11" x14ac:dyDescent="0.3">
      <c r="F21" s="68" t="s">
        <v>160</v>
      </c>
      <c r="G21" s="70">
        <f>MEDIAN(G14:G18)</f>
        <v>0.3</v>
      </c>
      <c r="H21" s="70">
        <f t="shared" ref="H21:K21" si="4">MEDIAN(H14:H18)</f>
        <v>0.2499998682563731</v>
      </c>
      <c r="I21" s="70">
        <f t="shared" si="4"/>
        <v>0.19999991568406988</v>
      </c>
      <c r="J21" s="70">
        <f t="shared" si="4"/>
        <v>1</v>
      </c>
      <c r="K21" s="70">
        <f t="shared" si="4"/>
        <v>0.85106389658346482</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0.96458433123613585</v>
      </c>
    </row>
    <row r="29" spans="2:11" x14ac:dyDescent="0.3">
      <c r="G29" s="67" t="s">
        <v>227</v>
      </c>
      <c r="H29" s="64"/>
      <c r="I29" s="64"/>
      <c r="J29" s="64"/>
      <c r="K29" s="66">
        <f>K26+K27*K28</f>
        <v>0.13269798153034884</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0.85106389658346482</v>
      </c>
    </row>
    <row r="34" spans="2:11" x14ac:dyDescent="0.3">
      <c r="B34" t="s">
        <v>220</v>
      </c>
      <c r="C34" s="106">
        <f>E15</f>
        <v>102</v>
      </c>
      <c r="D34" s="36">
        <f>C34/C$36</f>
        <v>2.679817036805448E-4</v>
      </c>
      <c r="E34" s="46">
        <f>I20</f>
        <v>0.16005358883097326</v>
      </c>
      <c r="G34" t="s">
        <v>234</v>
      </c>
      <c r="K34" s="46">
        <f>E38</f>
        <v>0.19055214321138977</v>
      </c>
    </row>
    <row r="35" spans="2:11" x14ac:dyDescent="0.3">
      <c r="B35" t="s">
        <v>79</v>
      </c>
      <c r="C35" s="106">
        <f>F15</f>
        <v>380521</v>
      </c>
      <c r="D35" s="36">
        <f t="shared" ref="D35:D36" si="5">C35/C$36</f>
        <v>0.99973201829631941</v>
      </c>
      <c r="E35" s="46">
        <f>E36-E34</f>
        <v>0.83994641116902669</v>
      </c>
      <c r="G35" t="s">
        <v>111</v>
      </c>
      <c r="K35" s="46">
        <f>E27</f>
        <v>0.3</v>
      </c>
    </row>
    <row r="36" spans="2:11" x14ac:dyDescent="0.3">
      <c r="B36" t="s">
        <v>237</v>
      </c>
      <c r="C36" s="125">
        <f>SUM(C34:C35)</f>
        <v>380623</v>
      </c>
      <c r="D36" s="63">
        <f t="shared" si="5"/>
        <v>1</v>
      </c>
      <c r="E36" s="62">
        <f>D36</f>
        <v>1</v>
      </c>
      <c r="G36" s="67" t="s">
        <v>224</v>
      </c>
      <c r="H36" s="64"/>
      <c r="I36" s="64"/>
      <c r="J36" s="64"/>
      <c r="K36" s="126">
        <f>K33*(1+(1-K35)*K34)</f>
        <v>0.96458433123613585</v>
      </c>
    </row>
    <row r="38" spans="2:11" x14ac:dyDescent="0.3">
      <c r="B38" t="s">
        <v>222</v>
      </c>
      <c r="D38" s="65">
        <f>D34/D35</f>
        <v>2.6805353712410092E-4</v>
      </c>
      <c r="E38" s="65">
        <f>E34/E35</f>
        <v>0.19055214321138977</v>
      </c>
      <c r="G38" s="37" t="s">
        <v>238</v>
      </c>
    </row>
    <row r="39" spans="2:11" x14ac:dyDescent="0.3">
      <c r="G39" s="60"/>
      <c r="H39" s="60"/>
      <c r="I39" s="60"/>
      <c r="J39" s="60"/>
      <c r="K39" s="60"/>
    </row>
    <row r="40" spans="2:11" x14ac:dyDescent="0.3">
      <c r="G40" s="18" t="s">
        <v>240</v>
      </c>
      <c r="K40" s="46">
        <f>K29</f>
        <v>0.13269798153034884</v>
      </c>
    </row>
    <row r="41" spans="2:11" x14ac:dyDescent="0.3">
      <c r="G41" s="18" t="s">
        <v>239</v>
      </c>
      <c r="K41" s="46">
        <f>E35</f>
        <v>0.83994641116902669</v>
      </c>
    </row>
    <row r="43" spans="2:11" x14ac:dyDescent="0.3">
      <c r="G43" t="s">
        <v>226</v>
      </c>
      <c r="K43" s="46">
        <f>E28</f>
        <v>5.6349999999999997E-2</v>
      </c>
    </row>
    <row r="44" spans="2:11" x14ac:dyDescent="0.3">
      <c r="G44" t="s">
        <v>241</v>
      </c>
      <c r="K44" s="46">
        <f>E34</f>
        <v>0.16005358883097326</v>
      </c>
    </row>
    <row r="45" spans="2:11" ht="3.6" customHeight="1" x14ac:dyDescent="0.3"/>
    <row r="46" spans="2:11" x14ac:dyDescent="0.3">
      <c r="G46" s="67" t="s">
        <v>238</v>
      </c>
      <c r="H46" s="64"/>
      <c r="I46" s="64"/>
      <c r="J46" s="64"/>
      <c r="K46" s="66">
        <f>(K40*K41)+(K43*K44)</f>
        <v>0.12047821308641564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44621</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3532</v>
      </c>
      <c r="I9" s="130">
        <f>'Raw FS'!K39</f>
        <v>5444</v>
      </c>
      <c r="J9" s="130">
        <f>'Raw FS'!L39</f>
        <v>5318</v>
      </c>
      <c r="K9" s="130">
        <f>'Raw FS'!M39</f>
        <v>6913</v>
      </c>
      <c r="L9" s="130">
        <f>'Raw FS'!N39</f>
        <v>11321</v>
      </c>
    </row>
    <row r="10" spans="1:12" x14ac:dyDescent="0.3">
      <c r="B10" s="72" t="s">
        <v>273</v>
      </c>
      <c r="C10" s="72"/>
      <c r="D10" s="72"/>
      <c r="E10" s="72"/>
      <c r="F10" s="72"/>
      <c r="G10" s="72"/>
      <c r="H10" s="130">
        <f>'Raw FS'!J40</f>
        <v>2034</v>
      </c>
      <c r="I10" s="130">
        <f>'Raw FS'!K40</f>
        <v>3285</v>
      </c>
      <c r="J10" s="130">
        <f>'Raw FS'!L40</f>
        <v>4597</v>
      </c>
      <c r="K10" s="130">
        <f>'Raw FS'!M40</f>
        <v>6540</v>
      </c>
      <c r="L10" s="130">
        <f>'Raw FS'!N40</f>
        <v>5342</v>
      </c>
    </row>
    <row r="11" spans="1:12" x14ac:dyDescent="0.3">
      <c r="B11" s="72" t="str">
        <f>'Raw FS'!B42</f>
        <v>Loans n Advances</v>
      </c>
      <c r="C11" s="72"/>
      <c r="D11" s="72"/>
      <c r="E11" s="72"/>
      <c r="F11" s="72"/>
      <c r="G11" s="72"/>
      <c r="H11" s="130">
        <f>'Raw FS'!J42</f>
        <v>2880</v>
      </c>
      <c r="I11" s="130">
        <f>'Raw FS'!K42</f>
        <v>349</v>
      </c>
      <c r="J11" s="130">
        <f>'Raw FS'!L42</f>
        <v>825</v>
      </c>
      <c r="K11" s="130">
        <f>'Raw FS'!M42</f>
        <v>339</v>
      </c>
      <c r="L11" s="130">
        <f>'Raw FS'!N42</f>
        <v>339</v>
      </c>
    </row>
    <row r="12" spans="1:12" ht="15" thickBot="1" x14ac:dyDescent="0.35">
      <c r="B12" t="str">
        <f>'Raw FS'!B43</f>
        <v>Other asset items</v>
      </c>
      <c r="H12" s="106">
        <f>'Raw FS'!J43</f>
        <v>4448</v>
      </c>
      <c r="I12" s="106">
        <f>'Raw FS'!K43</f>
        <v>7012</v>
      </c>
      <c r="J12" s="106">
        <f>'Raw FS'!L43</f>
        <v>8841</v>
      </c>
      <c r="K12" s="106">
        <f>'Raw FS'!M43</f>
        <v>9494</v>
      </c>
      <c r="L12" s="106">
        <f>'Raw FS'!N43</f>
        <v>9098</v>
      </c>
    </row>
    <row r="13" spans="1:12" x14ac:dyDescent="0.3">
      <c r="B13" s="137" t="s">
        <v>126</v>
      </c>
      <c r="C13" s="137"/>
      <c r="D13" s="137"/>
      <c r="E13" s="137"/>
      <c r="F13" s="137"/>
      <c r="G13" s="137"/>
      <c r="H13" s="138">
        <f>SUM(H9:H12)</f>
        <v>12894</v>
      </c>
      <c r="I13" s="138">
        <f t="shared" ref="I13:L13" si="0">SUM(I9:I12)</f>
        <v>16090</v>
      </c>
      <c r="J13" s="138">
        <f t="shared" si="0"/>
        <v>19581</v>
      </c>
      <c r="K13" s="138">
        <f t="shared" si="0"/>
        <v>23286</v>
      </c>
      <c r="L13" s="138">
        <f t="shared" si="0"/>
        <v>26100</v>
      </c>
    </row>
    <row r="15" spans="1:12" x14ac:dyDescent="0.3">
      <c r="B15" s="37" t="s">
        <v>274</v>
      </c>
    </row>
    <row r="16" spans="1:12" x14ac:dyDescent="0.3">
      <c r="B16" s="72" t="str">
        <f>'Raw FS'!B14</f>
        <v>Trade Payables</v>
      </c>
      <c r="C16" s="72"/>
      <c r="D16" s="72"/>
      <c r="E16" s="72"/>
      <c r="F16" s="72"/>
      <c r="G16" s="72"/>
      <c r="H16" s="130">
        <f>'Raw FS'!J14</f>
        <v>9765</v>
      </c>
      <c r="I16" s="130">
        <f>'Raw FS'!K14</f>
        <v>13676</v>
      </c>
      <c r="J16" s="130">
        <f>'Raw FS'!L14</f>
        <v>16988</v>
      </c>
      <c r="K16" s="130">
        <f>'Raw FS'!M14</f>
        <v>16922</v>
      </c>
      <c r="L16" s="130">
        <f>'Raw FS'!N14</f>
        <v>22134</v>
      </c>
    </row>
    <row r="17" spans="1:12" x14ac:dyDescent="0.3">
      <c r="B17" s="72" t="str">
        <f>'Raw FS'!B15</f>
        <v>Advance from Customers</v>
      </c>
      <c r="C17" s="72"/>
      <c r="D17" s="72"/>
      <c r="E17" s="72"/>
      <c r="F17" s="72"/>
      <c r="G17" s="72"/>
      <c r="H17" s="130">
        <f>'Raw FS'!J15</f>
        <v>1124</v>
      </c>
      <c r="I17" s="130">
        <f>'Raw FS'!K15</f>
        <v>1463</v>
      </c>
      <c r="J17" s="130">
        <f>'Raw FS'!L15</f>
        <v>1464</v>
      </c>
      <c r="K17" s="130">
        <f>'Raw FS'!M15</f>
        <v>1136</v>
      </c>
      <c r="L17" s="130">
        <f>'Raw FS'!N15</f>
        <v>2250</v>
      </c>
    </row>
    <row r="18" spans="1:12" ht="15" thickBot="1" x14ac:dyDescent="0.35">
      <c r="B18" t="str">
        <f>'Raw FS'!B16</f>
        <v>Other liability items</v>
      </c>
      <c r="H18" s="106">
        <f>'Raw FS'!J16</f>
        <v>8007</v>
      </c>
      <c r="I18" s="106">
        <f>'Raw FS'!K16</f>
        <v>9120</v>
      </c>
      <c r="J18" s="106">
        <f>'Raw FS'!L16</f>
        <v>11098</v>
      </c>
      <c r="K18" s="106">
        <f>'Raw FS'!M16</f>
        <v>16631</v>
      </c>
      <c r="L18" s="106">
        <f>'Raw FS'!N16</f>
        <v>17238</v>
      </c>
    </row>
    <row r="19" spans="1:12" ht="15" thickTop="1" x14ac:dyDescent="0.3">
      <c r="B19" s="139" t="s">
        <v>275</v>
      </c>
      <c r="C19" s="139"/>
      <c r="D19" s="139"/>
      <c r="E19" s="139"/>
      <c r="F19" s="139"/>
      <c r="G19" s="139"/>
      <c r="H19" s="140">
        <f>SUM(H16:H18)</f>
        <v>18896</v>
      </c>
      <c r="I19" s="140">
        <f t="shared" ref="I19:L19" si="1">SUM(I16:I18)</f>
        <v>24259</v>
      </c>
      <c r="J19" s="140">
        <f t="shared" si="1"/>
        <v>29550</v>
      </c>
      <c r="K19" s="140">
        <f t="shared" si="1"/>
        <v>34689</v>
      </c>
      <c r="L19" s="140">
        <f t="shared" si="1"/>
        <v>41622</v>
      </c>
    </row>
    <row r="20" spans="1:12" ht="15" thickBot="1" x14ac:dyDescent="0.35"/>
    <row r="21" spans="1:12" ht="15" thickBot="1" x14ac:dyDescent="0.35">
      <c r="A21" t="s">
        <v>121</v>
      </c>
      <c r="B21" s="141" t="s">
        <v>276</v>
      </c>
      <c r="C21" s="141"/>
      <c r="D21" s="141"/>
      <c r="E21" s="141"/>
      <c r="F21" s="141"/>
      <c r="G21" s="141"/>
      <c r="H21" s="142">
        <f>H13-H19</f>
        <v>-6002</v>
      </c>
      <c r="I21" s="142">
        <f t="shared" ref="I21:L21" si="2">I13-I19</f>
        <v>-8169</v>
      </c>
      <c r="J21" s="142">
        <f t="shared" si="2"/>
        <v>-9969</v>
      </c>
      <c r="K21" s="142">
        <f t="shared" si="2"/>
        <v>-11403</v>
      </c>
      <c r="L21" s="142">
        <f t="shared" si="2"/>
        <v>-15522</v>
      </c>
    </row>
    <row r="23" spans="1:12" x14ac:dyDescent="0.3">
      <c r="B23" s="37" t="s">
        <v>278</v>
      </c>
    </row>
    <row r="24" spans="1:12" x14ac:dyDescent="0.3">
      <c r="B24" s="72" t="str">
        <f>'Raw FS'!B22</f>
        <v>Land</v>
      </c>
      <c r="C24" s="72"/>
      <c r="D24" s="72"/>
      <c r="E24" s="72"/>
      <c r="F24" s="72"/>
      <c r="G24" s="72"/>
      <c r="H24" s="130">
        <f>'Raw FS'!J22</f>
        <v>4592</v>
      </c>
      <c r="I24" s="130">
        <f>'Raw FS'!K22</f>
        <v>6830</v>
      </c>
      <c r="J24" s="130">
        <f>'Raw FS'!L22</f>
        <v>6896</v>
      </c>
      <c r="K24" s="130">
        <f>'Raw FS'!M22</f>
        <v>6921</v>
      </c>
      <c r="L24" s="130">
        <f>'Raw FS'!N22</f>
        <v>6968</v>
      </c>
    </row>
    <row r="25" spans="1:12" x14ac:dyDescent="0.3">
      <c r="B25" s="72" t="str">
        <f>'Raw FS'!B23</f>
        <v>Building</v>
      </c>
      <c r="C25" s="72"/>
      <c r="D25" s="72"/>
      <c r="E25" s="72"/>
      <c r="F25" s="72"/>
      <c r="G25" s="72"/>
      <c r="H25" s="130">
        <f>'Raw FS'!J23</f>
        <v>2955</v>
      </c>
      <c r="I25" s="130">
        <f>'Raw FS'!K23</f>
        <v>5218</v>
      </c>
      <c r="J25" s="130">
        <f>'Raw FS'!L23</f>
        <v>5604</v>
      </c>
      <c r="K25" s="130">
        <f>'Raw FS'!M23</f>
        <v>8158</v>
      </c>
      <c r="L25" s="130">
        <f>'Raw FS'!N23</f>
        <v>9192</v>
      </c>
    </row>
    <row r="26" spans="1:12" x14ac:dyDescent="0.3">
      <c r="B26" s="72" t="str">
        <f>'Raw FS'!B24</f>
        <v>Plant Machinery</v>
      </c>
      <c r="C26" s="72"/>
      <c r="D26" s="72"/>
      <c r="E26" s="72"/>
      <c r="F26" s="72"/>
      <c r="G26" s="72"/>
      <c r="H26" s="130">
        <f>'Raw FS'!J24</f>
        <v>22712</v>
      </c>
      <c r="I26" s="130">
        <f>'Raw FS'!K24</f>
        <v>40872</v>
      </c>
      <c r="J26" s="130">
        <f>'Raw FS'!L24</f>
        <v>44745</v>
      </c>
      <c r="K26" s="130">
        <f>'Raw FS'!M24</f>
        <v>51915</v>
      </c>
      <c r="L26" s="130">
        <f>'Raw FS'!N24</f>
        <v>57284</v>
      </c>
    </row>
    <row r="27" spans="1:12" x14ac:dyDescent="0.3">
      <c r="B27" s="72" t="str">
        <f>'Raw FS'!B25</f>
        <v>Equipments</v>
      </c>
      <c r="C27" s="72"/>
      <c r="D27" s="72"/>
      <c r="E27" s="72"/>
      <c r="F27" s="72"/>
      <c r="G27" s="72"/>
      <c r="H27" s="130">
        <f>'Raw FS'!J25</f>
        <v>44</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445</v>
      </c>
      <c r="I28" s="130">
        <f>'Raw FS'!K26</f>
        <v>569</v>
      </c>
      <c r="J28" s="130">
        <f>'Raw FS'!L26</f>
        <v>636</v>
      </c>
      <c r="K28" s="130">
        <f>'Raw FS'!M26</f>
        <v>698</v>
      </c>
      <c r="L28" s="130">
        <f>'Raw FS'!N26</f>
        <v>751</v>
      </c>
    </row>
    <row r="29" spans="1:12" x14ac:dyDescent="0.3">
      <c r="B29" s="72" t="str">
        <f>'Raw FS'!B27</f>
        <v>Railway sidings</v>
      </c>
      <c r="C29" s="72"/>
      <c r="D29" s="72"/>
      <c r="E29" s="72"/>
      <c r="F29" s="72"/>
      <c r="G29" s="72"/>
      <c r="H29" s="130">
        <f>'Raw FS'!J27</f>
        <v>0</v>
      </c>
      <c r="I29" s="130">
        <f>'Raw FS'!K27</f>
        <v>73</v>
      </c>
      <c r="J29" s="130">
        <f>'Raw FS'!L27</f>
        <v>74</v>
      </c>
      <c r="K29" s="130">
        <f>'Raw FS'!M27</f>
        <v>94</v>
      </c>
      <c r="L29" s="130">
        <f>'Raw FS'!N27</f>
        <v>230</v>
      </c>
    </row>
    <row r="30" spans="1:12" x14ac:dyDescent="0.3">
      <c r="B30" s="72" t="str">
        <f>'Raw FS'!B28</f>
        <v>Vehicles</v>
      </c>
      <c r="C30" s="72"/>
      <c r="D30" s="72"/>
      <c r="E30" s="72"/>
      <c r="F30" s="72"/>
      <c r="G30" s="72"/>
      <c r="H30" s="130">
        <f>'Raw FS'!J28</f>
        <v>248</v>
      </c>
      <c r="I30" s="130">
        <f>'Raw FS'!K28</f>
        <v>351</v>
      </c>
      <c r="J30" s="130">
        <f>'Raw FS'!L28</f>
        <v>448</v>
      </c>
      <c r="K30" s="130">
        <f>'Raw FS'!M28</f>
        <v>568</v>
      </c>
      <c r="L30" s="130">
        <f>'Raw FS'!N28</f>
        <v>678</v>
      </c>
    </row>
    <row r="31" spans="1:12" x14ac:dyDescent="0.3">
      <c r="B31" s="72" t="str">
        <f>'Raw FS'!B29</f>
        <v>Intangible Assets</v>
      </c>
      <c r="C31" s="72"/>
      <c r="D31" s="72"/>
      <c r="E31" s="72"/>
      <c r="F31" s="72"/>
      <c r="G31" s="72"/>
      <c r="H31" s="130">
        <f>'Raw FS'!J29</f>
        <v>2744</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1254</v>
      </c>
      <c r="I32" s="130">
        <f>'Raw FS'!K30</f>
        <v>1660</v>
      </c>
      <c r="J32" s="130">
        <f>'Raw FS'!L30</f>
        <v>1783</v>
      </c>
      <c r="K32" s="130">
        <f>'Raw FS'!M30</f>
        <v>2002</v>
      </c>
      <c r="L32" s="130">
        <f>'Raw FS'!N30</f>
        <v>2246</v>
      </c>
    </row>
    <row r="33" spans="2:12" x14ac:dyDescent="0.3">
      <c r="B33" s="122" t="str">
        <f>'Raw FS'!B31</f>
        <v>Gross Block</v>
      </c>
      <c r="C33" s="122"/>
      <c r="D33" s="122"/>
      <c r="E33" s="122"/>
      <c r="F33" s="122"/>
      <c r="G33" s="122"/>
      <c r="H33" s="136">
        <f>'Raw FS'!J31</f>
        <v>32530</v>
      </c>
      <c r="I33" s="136">
        <f>'Raw FS'!K31</f>
        <v>56083</v>
      </c>
      <c r="J33" s="136">
        <f>'Raw FS'!L31</f>
        <v>60787</v>
      </c>
      <c r="K33" s="136">
        <f>'Raw FS'!M31</f>
        <v>71052</v>
      </c>
      <c r="L33" s="136">
        <f>'Raw FS'!N31</f>
        <v>78202</v>
      </c>
    </row>
    <row r="34" spans="2:12" ht="15" thickBot="1" x14ac:dyDescent="0.35">
      <c r="B34" t="str">
        <f>'Raw FS'!B32</f>
        <v>Accumulated Depreciation</v>
      </c>
      <c r="H34" s="106">
        <f>'Raw FS'!J32</f>
        <v>18783</v>
      </c>
      <c r="I34" s="106">
        <f>'Raw FS'!K32</f>
        <v>28141</v>
      </c>
      <c r="J34" s="106">
        <f>'Raw FS'!L32</f>
        <v>32922</v>
      </c>
      <c r="K34" s="106">
        <f>'Raw FS'!M32</f>
        <v>38070</v>
      </c>
      <c r="L34" s="106">
        <f>'Raw FS'!N32</f>
        <v>43679</v>
      </c>
    </row>
    <row r="35" spans="2:12" ht="15" thickBot="1" x14ac:dyDescent="0.35">
      <c r="B35" s="141" t="s">
        <v>277</v>
      </c>
      <c r="C35" s="141"/>
      <c r="D35" s="141"/>
      <c r="E35" s="141"/>
      <c r="F35" s="141"/>
      <c r="G35" s="141"/>
      <c r="H35" s="142">
        <f>'Raw FS'!J33</f>
        <v>13747</v>
      </c>
      <c r="I35" s="142">
        <f>'Raw FS'!K33</f>
        <v>27941</v>
      </c>
      <c r="J35" s="142">
        <f>'Raw FS'!L33</f>
        <v>27865</v>
      </c>
      <c r="K35" s="142">
        <f>'Raw FS'!M33</f>
        <v>32983</v>
      </c>
      <c r="L35" s="142">
        <f>'Raw FS'!N33</f>
        <v>34523</v>
      </c>
    </row>
    <row r="37" spans="2:12" x14ac:dyDescent="0.3">
      <c r="B37" s="145" t="s">
        <v>279</v>
      </c>
      <c r="C37" s="145"/>
      <c r="D37" s="145"/>
      <c r="E37" s="145"/>
      <c r="F37" s="145"/>
      <c r="G37" s="145"/>
      <c r="H37" s="146">
        <f>H35+H21</f>
        <v>7745</v>
      </c>
      <c r="I37" s="146">
        <f t="shared" ref="I37:L37" si="3">I35+I21</f>
        <v>19772</v>
      </c>
      <c r="J37" s="146">
        <f t="shared" si="3"/>
        <v>17896</v>
      </c>
      <c r="K37" s="146">
        <f t="shared" si="3"/>
        <v>21580</v>
      </c>
      <c r="L37" s="146">
        <f t="shared" si="3"/>
        <v>19001</v>
      </c>
    </row>
    <row r="38" spans="2:12" x14ac:dyDescent="0.3">
      <c r="B38" s="145" t="s">
        <v>106</v>
      </c>
      <c r="C38" s="145"/>
      <c r="D38" s="145"/>
      <c r="E38" s="145"/>
      <c r="F38" s="145"/>
      <c r="G38" s="145"/>
      <c r="H38" s="146">
        <f>'Raw FS'!Z11+'Raw FS'!Z9</f>
        <v>4824</v>
      </c>
      <c r="I38" s="146">
        <f>'Raw FS'!AA11+'Raw FS'!AA9</f>
        <v>10690</v>
      </c>
      <c r="J38" s="146">
        <f>'Raw FS'!AB11+'Raw FS'!AB9</f>
        <v>17618</v>
      </c>
      <c r="K38" s="146">
        <f>'Raw FS'!AC11+'Raw FS'!AC9</f>
        <v>19814</v>
      </c>
      <c r="L38" s="146">
        <f>'Raw FS'!AD11+'Raw FS'!AD9</f>
        <v>19357</v>
      </c>
    </row>
    <row r="39" spans="2:12" ht="7.8" customHeight="1" thickBot="1" x14ac:dyDescent="0.35"/>
    <row r="40" spans="2:12" ht="15" thickBot="1" x14ac:dyDescent="0.35">
      <c r="B40" s="141" t="s">
        <v>287</v>
      </c>
      <c r="C40" s="141"/>
      <c r="D40" s="141"/>
      <c r="E40" s="141"/>
      <c r="F40" s="141"/>
      <c r="G40" s="141"/>
      <c r="H40" s="144">
        <f>H38/H37</f>
        <v>0.62285345384118784</v>
      </c>
      <c r="I40" s="144">
        <f t="shared" ref="I40:L40" si="4">I38/I37</f>
        <v>0.54066356463686016</v>
      </c>
      <c r="J40" s="144">
        <f t="shared" si="4"/>
        <v>0.98446580241394721</v>
      </c>
      <c r="K40" s="144">
        <f t="shared" si="4"/>
        <v>0.91816496756255794</v>
      </c>
      <c r="L40" s="144">
        <f t="shared" si="4"/>
        <v>1.0187358560075785</v>
      </c>
    </row>
    <row r="42" spans="2:12" x14ac:dyDescent="0.3">
      <c r="B42" s="32" t="s">
        <v>288</v>
      </c>
      <c r="C42" s="32"/>
      <c r="D42" s="32"/>
      <c r="E42" s="32"/>
      <c r="F42" s="32"/>
      <c r="G42" s="32"/>
      <c r="H42" s="40">
        <f>'Raw FS'!J$3</f>
        <v>44621</v>
      </c>
      <c r="I42" s="40">
        <f>'Raw FS'!K$3</f>
        <v>44986</v>
      </c>
      <c r="J42" s="40">
        <f>'Raw FS'!L$3</f>
        <v>45352</v>
      </c>
      <c r="K42" s="40">
        <f>'Raw FS'!M$3</f>
        <v>45717</v>
      </c>
      <c r="L42" s="40">
        <f>'Raw FS'!N$3</f>
        <v>46082</v>
      </c>
    </row>
    <row r="44" spans="2:12" x14ac:dyDescent="0.3">
      <c r="B44" s="72" t="s">
        <v>289</v>
      </c>
      <c r="C44" s="72"/>
      <c r="D44" s="72"/>
      <c r="E44" s="72"/>
      <c r="F44" s="72"/>
      <c r="G44" s="72"/>
      <c r="H44" s="130">
        <f>-SUM('Raw FS'!Z27:Z28)</f>
        <v>3323</v>
      </c>
      <c r="I44" s="130">
        <f>-SUM('Raw FS'!AA27:AA28)</f>
        <v>7956</v>
      </c>
      <c r="J44" s="130">
        <f>-SUM('Raw FS'!AB27:AB28)</f>
        <v>9155</v>
      </c>
      <c r="K44" s="130">
        <f>-SUM('Raw FS'!AC27:AC28)</f>
        <v>10579</v>
      </c>
      <c r="L44" s="130">
        <f>-SUM('Raw FS'!AD27:AD28)</f>
        <v>10346</v>
      </c>
    </row>
    <row r="45" spans="2:12" x14ac:dyDescent="0.3">
      <c r="B45" s="72" t="s">
        <v>290</v>
      </c>
      <c r="C45" s="72"/>
      <c r="D45" s="72"/>
      <c r="E45" s="72"/>
      <c r="F45" s="72"/>
      <c r="G45" s="72"/>
      <c r="H45" s="132" t="s">
        <v>120</v>
      </c>
      <c r="I45" s="133">
        <f>I21-H21</f>
        <v>-2167</v>
      </c>
      <c r="J45" s="133">
        <f t="shared" ref="J45:L45" si="5">J21-I21</f>
        <v>-1800</v>
      </c>
      <c r="K45" s="133">
        <f t="shared" si="5"/>
        <v>-1434</v>
      </c>
      <c r="L45" s="133">
        <f t="shared" si="5"/>
        <v>-4119</v>
      </c>
    </row>
    <row r="47" spans="2:12" x14ac:dyDescent="0.3">
      <c r="B47" s="72" t="s">
        <v>106</v>
      </c>
      <c r="C47" s="72"/>
      <c r="D47" s="72"/>
      <c r="E47" s="72"/>
      <c r="F47" s="72"/>
      <c r="G47" s="72"/>
      <c r="H47" s="130">
        <f>H38</f>
        <v>4824</v>
      </c>
      <c r="I47" s="130">
        <f t="shared" ref="I47:L47" si="6">I38</f>
        <v>10690</v>
      </c>
      <c r="J47" s="130">
        <f t="shared" si="6"/>
        <v>17618</v>
      </c>
      <c r="K47" s="130">
        <f t="shared" si="6"/>
        <v>19814</v>
      </c>
      <c r="L47" s="130">
        <f t="shared" si="6"/>
        <v>19357</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3376.7999999999997</v>
      </c>
      <c r="I49" s="130">
        <f t="shared" ref="I49:L49" si="8">I47*(1-I48)</f>
        <v>7482.9999999999991</v>
      </c>
      <c r="J49" s="130">
        <f t="shared" si="8"/>
        <v>12332.599999999999</v>
      </c>
      <c r="K49" s="130">
        <f t="shared" si="8"/>
        <v>13869.8</v>
      </c>
      <c r="L49" s="130">
        <f t="shared" si="8"/>
        <v>13549.9</v>
      </c>
    </row>
    <row r="51" spans="2:12" x14ac:dyDescent="0.3">
      <c r="B51" t="s">
        <v>292</v>
      </c>
      <c r="H51" s="45" t="s">
        <v>120</v>
      </c>
      <c r="I51" s="106">
        <f>SUM(I44:I45)</f>
        <v>5789</v>
      </c>
      <c r="J51" s="106">
        <f t="shared" ref="J51:L51" si="9">SUM(J44:J45)</f>
        <v>7355</v>
      </c>
      <c r="K51" s="106">
        <f t="shared" si="9"/>
        <v>9145</v>
      </c>
      <c r="L51" s="106">
        <f t="shared" si="9"/>
        <v>6227</v>
      </c>
    </row>
    <row r="52" spans="2:12" ht="15" thickBot="1" x14ac:dyDescent="0.35">
      <c r="B52" s="127" t="s">
        <v>293</v>
      </c>
      <c r="C52" s="127"/>
      <c r="D52" s="127"/>
      <c r="E52" s="127"/>
      <c r="F52" s="127"/>
      <c r="G52" s="127"/>
      <c r="H52" s="147" t="s">
        <v>120</v>
      </c>
      <c r="I52" s="143">
        <f>I51/I49</f>
        <v>0.77362020579981305</v>
      </c>
      <c r="J52" s="143">
        <f t="shared" ref="J52:L52" si="10">J51/J49</f>
        <v>0.59638681218883294</v>
      </c>
      <c r="K52" s="143">
        <f t="shared" si="10"/>
        <v>0.65934620542473577</v>
      </c>
      <c r="L52" s="143">
        <f t="shared" si="10"/>
        <v>0.45956058716300491</v>
      </c>
    </row>
    <row r="54" spans="2:12" x14ac:dyDescent="0.3">
      <c r="J54" s="37" t="s">
        <v>294</v>
      </c>
      <c r="K54" s="37"/>
      <c r="L54" s="114">
        <f>AVERAGE(I52:L52)</f>
        <v>0.62222845264409665</v>
      </c>
    </row>
    <row r="55" spans="2:12" x14ac:dyDescent="0.3">
      <c r="J55" s="37" t="s">
        <v>295</v>
      </c>
      <c r="K55" s="37"/>
      <c r="L55" s="114">
        <f>MEDIAN(I52:L52)</f>
        <v>0.6278665088067843</v>
      </c>
    </row>
    <row r="57" spans="2:12" x14ac:dyDescent="0.3">
      <c r="B57" s="32" t="s">
        <v>296</v>
      </c>
      <c r="C57" s="32"/>
      <c r="D57" s="32"/>
      <c r="E57" s="32"/>
      <c r="F57" s="32"/>
      <c r="G57" s="32"/>
      <c r="H57" s="40">
        <f>'Raw FS'!J$3</f>
        <v>44621</v>
      </c>
      <c r="I57" s="40">
        <f>'Raw FS'!K$3</f>
        <v>44986</v>
      </c>
      <c r="J57" s="40">
        <f>'Raw FS'!L$3</f>
        <v>45352</v>
      </c>
      <c r="K57" s="40">
        <f>'Raw FS'!M$3</f>
        <v>45717</v>
      </c>
      <c r="L57" s="40">
        <f>'Raw FS'!N$3</f>
        <v>46082</v>
      </c>
    </row>
    <row r="59" spans="2:12" x14ac:dyDescent="0.3">
      <c r="B59" s="72" t="s">
        <v>287</v>
      </c>
      <c r="C59" s="72"/>
      <c r="D59" s="72"/>
      <c r="E59" s="72"/>
      <c r="F59" s="72"/>
      <c r="G59" s="72"/>
      <c r="H59" s="81">
        <f>H40</f>
        <v>0.62285345384118784</v>
      </c>
      <c r="I59" s="81">
        <f t="shared" ref="I59:L59" si="11">I40</f>
        <v>0.54066356463686016</v>
      </c>
      <c r="J59" s="81">
        <f t="shared" si="11"/>
        <v>0.98446580241394721</v>
      </c>
      <c r="K59" s="81">
        <f t="shared" si="11"/>
        <v>0.91816496756255794</v>
      </c>
      <c r="L59" s="81">
        <f t="shared" si="11"/>
        <v>1.0187358560075785</v>
      </c>
    </row>
    <row r="60" spans="2:12" x14ac:dyDescent="0.3">
      <c r="B60" s="72" t="s">
        <v>293</v>
      </c>
      <c r="C60" s="72"/>
      <c r="D60" s="72"/>
      <c r="E60" s="72"/>
      <c r="F60" s="72"/>
      <c r="G60" s="72"/>
      <c r="H60" s="82" t="s">
        <v>120</v>
      </c>
      <c r="I60" s="134">
        <f>I52</f>
        <v>0.77362020579981305</v>
      </c>
      <c r="J60" s="134">
        <f t="shared" ref="J60:L60" si="12">J52</f>
        <v>0.59638681218883294</v>
      </c>
      <c r="K60" s="134">
        <f t="shared" si="12"/>
        <v>0.65934620542473577</v>
      </c>
      <c r="L60" s="134">
        <f t="shared" si="12"/>
        <v>0.45956058716300491</v>
      </c>
    </row>
    <row r="61" spans="2:12" ht="4.2" customHeight="1" x14ac:dyDescent="0.3"/>
    <row r="62" spans="2:12" ht="15" thickBot="1" x14ac:dyDescent="0.35">
      <c r="B62" s="74" t="s">
        <v>297</v>
      </c>
      <c r="C62" s="74"/>
      <c r="D62" s="74"/>
      <c r="E62" s="74"/>
      <c r="F62" s="74"/>
      <c r="G62" s="74"/>
      <c r="H62" s="74"/>
      <c r="I62" s="135">
        <f>I59*I60</f>
        <v>0.41826825814282831</v>
      </c>
      <c r="J62" s="135">
        <f t="shared" ref="J62:L62" si="13">J59*J60</f>
        <v>0.58712242161057548</v>
      </c>
      <c r="K62" s="135">
        <f t="shared" si="13"/>
        <v>0.60538858731629819</v>
      </c>
      <c r="L62" s="135">
        <f t="shared" si="13"/>
        <v>0.46817084815084919</v>
      </c>
    </row>
    <row r="64" spans="2:12" x14ac:dyDescent="0.3">
      <c r="J64" s="37" t="s">
        <v>294</v>
      </c>
      <c r="K64" s="37"/>
      <c r="L64" s="114">
        <f>AVERAGE(I62:L62)</f>
        <v>0.51973752880513779</v>
      </c>
    </row>
    <row r="65" spans="10:12" x14ac:dyDescent="0.3">
      <c r="J65" s="37" t="s">
        <v>295</v>
      </c>
      <c r="K65" s="37"/>
      <c r="L65" s="114">
        <f>MEDIAN(I62:L62)</f>
        <v>0.52764663488071228</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19357</v>
      </c>
      <c r="I8" s="130">
        <f>H8*(1+$D$18)</f>
        <v>20363.564000000002</v>
      </c>
      <c r="J8" s="130">
        <f>I8*(1+$D$18)</f>
        <v>21422.469328000003</v>
      </c>
      <c r="K8" s="130">
        <f>J8*(1+$D$18)</f>
        <v>22536.437733056006</v>
      </c>
      <c r="L8" s="130">
        <f>K8*(1+$D$18)</f>
        <v>23708.33249517492</v>
      </c>
      <c r="M8" s="130">
        <f>L8*(1+$D$18)</f>
        <v>24941.165784924018</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13549.9</v>
      </c>
      <c r="I10" s="130">
        <f t="shared" ref="I10:M10" si="2">I8*(1-I9)</f>
        <v>14254.4948</v>
      </c>
      <c r="J10" s="130">
        <f t="shared" si="2"/>
        <v>14995.728529600001</v>
      </c>
      <c r="K10" s="130">
        <f t="shared" si="2"/>
        <v>15775.506413139203</v>
      </c>
      <c r="L10" s="130">
        <f t="shared" si="2"/>
        <v>16595.832746622444</v>
      </c>
      <c r="M10" s="130">
        <f t="shared" si="2"/>
        <v>17458.81604944681</v>
      </c>
    </row>
    <row r="11" spans="1:13" x14ac:dyDescent="0.3">
      <c r="B11" s="72" t="s">
        <v>303</v>
      </c>
      <c r="C11" s="72"/>
      <c r="D11" s="72"/>
      <c r="E11" s="72"/>
      <c r="F11" s="72"/>
      <c r="G11" s="72"/>
      <c r="H11" s="81">
        <f>'Intrinsic Valuation'!$L$55</f>
        <v>0.6278665088067843</v>
      </c>
      <c r="I11" s="81">
        <f>MIN(0.85, MAX(0.15, 'Intrinsic Valuation'!$L$55))</f>
        <v>0.6278665088067843</v>
      </c>
      <c r="J11" s="81">
        <f>$I$11+($M$11-$I$11)/4*1</f>
        <v>0.5539024406887566</v>
      </c>
      <c r="K11" s="81">
        <f>$I$11+($M$11-$I$11)/4*2</f>
        <v>0.47993837257072886</v>
      </c>
      <c r="L11" s="81">
        <f>$I$11+($M$11-$I$11)/4*3</f>
        <v>0.40597430445270111</v>
      </c>
      <c r="M11" s="81">
        <f>D21</f>
        <v>0.33201023633467341</v>
      </c>
    </row>
    <row r="12" spans="1:13" x14ac:dyDescent="0.3">
      <c r="B12" s="72" t="s">
        <v>304</v>
      </c>
      <c r="C12" s="72"/>
      <c r="D12" s="72"/>
      <c r="E12" s="72"/>
      <c r="F12" s="72"/>
      <c r="G12" s="72"/>
      <c r="H12" s="130">
        <f>H10*(1-H11)</f>
        <v>5042.3715923189529</v>
      </c>
      <c r="I12" s="130">
        <f>I10*(1-MIN(0.85, I11))</f>
        <v>5304.5749151195396</v>
      </c>
      <c r="J12" s="130">
        <f>J10*(1-MIN(0.85, J11))</f>
        <v>6689.5578971485411</v>
      </c>
      <c r="K12" s="130">
        <f>K10*(1-MIN(0.85, K11))</f>
        <v>8204.2355387380776</v>
      </c>
      <c r="L12" s="130">
        <f>L10*(1-MIN(0.85, L11))</f>
        <v>9858.3510904990362</v>
      </c>
      <c r="M12" s="130">
        <f>M10*(1-MIN(0.85, M11))</f>
        <v>11662.310406746385</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0.94470951991521901</v>
      </c>
      <c r="J14" s="72">
        <f t="shared" ref="J14:M14" si="4">1/(1+$D$20)^J13</f>
        <v>0.84313064625591194</v>
      </c>
      <c r="K14" s="72">
        <f t="shared" si="4"/>
        <v>0.75247393158450127</v>
      </c>
      <c r="L14" s="72">
        <f t="shared" si="4"/>
        <v>0.6715649825191804</v>
      </c>
      <c r="M14" s="72">
        <f t="shared" si="4"/>
        <v>0.5993556810616778</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5011.2824214168941</v>
      </c>
      <c r="J16" s="131">
        <f t="shared" ref="J16:M16" si="5">J12*J14</f>
        <v>5640.1712729891888</v>
      </c>
      <c r="K16" s="131">
        <f t="shared" si="5"/>
        <v>6173.4733714795302</v>
      </c>
      <c r="L16" s="131">
        <f t="shared" si="5"/>
        <v>6620.5233777589283</v>
      </c>
      <c r="M16" s="131">
        <f t="shared" si="5"/>
        <v>6989.8719965881719</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0.12047821308641564</v>
      </c>
    </row>
    <row r="21" spans="2:4" x14ac:dyDescent="0.3">
      <c r="B21" s="79" t="s">
        <v>307</v>
      </c>
      <c r="C21" s="79"/>
      <c r="D21" s="80">
        <f>D19/D20</f>
        <v>0.33201023633467341</v>
      </c>
    </row>
    <row r="23" spans="2:4" x14ac:dyDescent="0.3">
      <c r="B23" s="32" t="s">
        <v>308</v>
      </c>
      <c r="C23" s="32"/>
      <c r="D23" s="32"/>
    </row>
    <row r="25" spans="2:4" x14ac:dyDescent="0.3">
      <c r="B25" t="s">
        <v>309</v>
      </c>
      <c r="D25" s="106">
        <f>M12*(1+D19)</f>
        <v>12128.80282301624</v>
      </c>
    </row>
    <row r="26" spans="2:4" x14ac:dyDescent="0.3">
      <c r="B26" t="s">
        <v>238</v>
      </c>
      <c r="D26" s="46">
        <f>D20</f>
        <v>0.12047821308641564</v>
      </c>
    </row>
    <row r="27" spans="2:4" x14ac:dyDescent="0.3">
      <c r="B27" t="s">
        <v>306</v>
      </c>
      <c r="D27" s="46">
        <f>D19</f>
        <v>0.04</v>
      </c>
    </row>
    <row r="28" spans="2:4" x14ac:dyDescent="0.3">
      <c r="D28" s="46"/>
    </row>
    <row r="29" spans="2:4" ht="15" thickBot="1" x14ac:dyDescent="0.35">
      <c r="B29" s="127" t="s">
        <v>310</v>
      </c>
      <c r="C29" s="127"/>
      <c r="D29" s="128">
        <f>D25/(D26-D27)</f>
        <v>150709.14671021103</v>
      </c>
    </row>
    <row r="31" spans="2:4" x14ac:dyDescent="0.3">
      <c r="B31" s="32" t="s">
        <v>311</v>
      </c>
      <c r="C31" s="32"/>
      <c r="D31" s="32"/>
    </row>
    <row r="33" spans="2:4" x14ac:dyDescent="0.3">
      <c r="B33" t="s">
        <v>302</v>
      </c>
      <c r="D33" s="106">
        <f>SUM(I16:M16)</f>
        <v>30435.322440232711</v>
      </c>
    </row>
    <row r="34" spans="2:4" x14ac:dyDescent="0.3">
      <c r="B34" t="s">
        <v>310</v>
      </c>
      <c r="D34" s="106">
        <f>D29*M14</f>
        <v>90328.383268722857</v>
      </c>
    </row>
    <row r="35" spans="2:4" x14ac:dyDescent="0.3">
      <c r="B35" s="37" t="s">
        <v>314</v>
      </c>
      <c r="C35" s="37"/>
      <c r="D35" s="129">
        <f>SUM(D33:D34)</f>
        <v>120763.70570895556</v>
      </c>
    </row>
    <row r="37" spans="2:4" x14ac:dyDescent="0.3">
      <c r="B37" t="s">
        <v>312</v>
      </c>
      <c r="D37" s="106">
        <f>'Data Sheet'!K69</f>
        <v>1580</v>
      </c>
    </row>
    <row r="38" spans="2:4" x14ac:dyDescent="0.3">
      <c r="B38" t="s">
        <v>313</v>
      </c>
      <c r="D38" s="106">
        <f>'Data Sheet'!K59</f>
        <v>102</v>
      </c>
    </row>
    <row r="39" spans="2:4" x14ac:dyDescent="0.3">
      <c r="B39" s="37" t="s">
        <v>315</v>
      </c>
      <c r="C39" s="37"/>
      <c r="D39" s="129">
        <f>D35+D37-D38</f>
        <v>122241.70570895556</v>
      </c>
    </row>
    <row r="40" spans="2:4" x14ac:dyDescent="0.3">
      <c r="B40" t="s">
        <v>316</v>
      </c>
      <c r="D40">
        <f>'Data Sheet'!K70/10000000</f>
        <v>31.4</v>
      </c>
    </row>
    <row r="42" spans="2:4" ht="15" thickBot="1" x14ac:dyDescent="0.35">
      <c r="B42" s="127" t="s">
        <v>317</v>
      </c>
      <c r="C42" s="127"/>
      <c r="D42" s="128">
        <f>D39/D40</f>
        <v>3893.0479525145083</v>
      </c>
    </row>
    <row r="44" spans="2:4" x14ac:dyDescent="0.3">
      <c r="B44" t="s">
        <v>318</v>
      </c>
      <c r="D44" s="106">
        <v>12103</v>
      </c>
    </row>
    <row r="45" spans="2:4" x14ac:dyDescent="0.3">
      <c r="B45" t="s">
        <v>319</v>
      </c>
      <c r="D45" s="83">
        <f>D44/D42</f>
        <v>3.1088751404109236</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12103</v>
      </c>
      <c r="J6">
        <v>23346.400000000001</v>
      </c>
    </row>
    <row r="7" spans="2:24" x14ac:dyDescent="0.3">
      <c r="B7">
        <v>2024</v>
      </c>
      <c r="C7" s="46">
        <v>8.7499999999999994E-2</v>
      </c>
      <c r="G7" s="34">
        <v>46282</v>
      </c>
      <c r="H7">
        <v>12338</v>
      </c>
      <c r="J7">
        <v>23270.6</v>
      </c>
    </row>
    <row r="8" spans="2:24" x14ac:dyDescent="0.3">
      <c r="B8">
        <v>2023</v>
      </c>
      <c r="C8" s="46">
        <v>0.19420000000000001</v>
      </c>
      <c r="G8" s="34">
        <v>46281</v>
      </c>
      <c r="H8">
        <v>12166</v>
      </c>
      <c r="J8">
        <v>23217.599999999999</v>
      </c>
    </row>
    <row r="9" spans="2:24" x14ac:dyDescent="0.3">
      <c r="B9">
        <v>2022</v>
      </c>
      <c r="C9" s="46">
        <v>4.3200000000000002E-2</v>
      </c>
      <c r="G9" s="34">
        <v>46280</v>
      </c>
      <c r="H9">
        <v>12231</v>
      </c>
      <c r="J9">
        <v>23118.6</v>
      </c>
    </row>
    <row r="10" spans="2:24" x14ac:dyDescent="0.3">
      <c r="B10">
        <v>2021</v>
      </c>
      <c r="C10" s="46">
        <v>0.2412</v>
      </c>
      <c r="G10" s="34">
        <v>46276</v>
      </c>
      <c r="H10">
        <v>12400</v>
      </c>
      <c r="J10">
        <v>23398.1</v>
      </c>
    </row>
    <row r="11" spans="2:24" x14ac:dyDescent="0.3">
      <c r="B11">
        <v>2020</v>
      </c>
      <c r="C11" s="46">
        <v>0.14899999999999999</v>
      </c>
      <c r="G11" s="34">
        <v>46275</v>
      </c>
      <c r="H11">
        <v>12590</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12618</v>
      </c>
      <c r="J12">
        <v>23431.5</v>
      </c>
      <c r="N12">
        <v>1</v>
      </c>
      <c r="O12" t="s">
        <v>8612</v>
      </c>
      <c r="P12">
        <v>12103</v>
      </c>
      <c r="Q12">
        <v>31.44</v>
      </c>
      <c r="R12">
        <v>380521.44</v>
      </c>
      <c r="S12">
        <v>95130.36</v>
      </c>
      <c r="T12">
        <v>19026.07</v>
      </c>
      <c r="U12">
        <v>456625.73</v>
      </c>
      <c r="V12">
        <v>66052</v>
      </c>
      <c r="W12">
        <v>30.61</v>
      </c>
      <c r="X12">
        <v>14971</v>
      </c>
    </row>
    <row r="13" spans="2:24" x14ac:dyDescent="0.3">
      <c r="B13">
        <v>2018</v>
      </c>
      <c r="C13" s="46">
        <v>3.15E-2</v>
      </c>
      <c r="G13" s="34">
        <v>46273</v>
      </c>
      <c r="H13">
        <v>12641</v>
      </c>
      <c r="J13">
        <v>23635.1</v>
      </c>
      <c r="N13">
        <v>2</v>
      </c>
      <c r="O13" t="s">
        <v>8613</v>
      </c>
      <c r="P13">
        <v>3052</v>
      </c>
      <c r="Q13">
        <v>124.35</v>
      </c>
      <c r="R13">
        <v>379525</v>
      </c>
      <c r="S13">
        <v>94881.25</v>
      </c>
      <c r="T13">
        <v>18976.25</v>
      </c>
      <c r="U13">
        <v>455430</v>
      </c>
      <c r="V13">
        <v>76487.98</v>
      </c>
      <c r="W13">
        <v>12.44</v>
      </c>
      <c r="X13">
        <v>20183.53</v>
      </c>
    </row>
    <row r="14" spans="2:24" x14ac:dyDescent="0.3">
      <c r="B14">
        <v>2017</v>
      </c>
      <c r="C14" s="46">
        <v>0.28649999999999998</v>
      </c>
      <c r="G14" s="34">
        <v>46272</v>
      </c>
      <c r="H14">
        <v>12760</v>
      </c>
      <c r="J14">
        <v>23779.15</v>
      </c>
      <c r="N14">
        <v>3</v>
      </c>
      <c r="O14" t="s">
        <v>8614</v>
      </c>
      <c r="P14">
        <v>11414</v>
      </c>
      <c r="Q14">
        <v>27.48</v>
      </c>
      <c r="R14">
        <v>313661.09999999998</v>
      </c>
      <c r="S14">
        <v>78415.27</v>
      </c>
      <c r="T14">
        <v>15683.06</v>
      </c>
      <c r="U14">
        <v>376393.31</v>
      </c>
      <c r="V14">
        <v>4400.1899999999996</v>
      </c>
      <c r="W14">
        <v>20.53</v>
      </c>
      <c r="X14">
        <v>158.30000000000001</v>
      </c>
    </row>
    <row r="15" spans="2:24" x14ac:dyDescent="0.3">
      <c r="B15">
        <v>2016</v>
      </c>
      <c r="C15" s="46">
        <v>3.0099999999999998E-2</v>
      </c>
      <c r="G15" s="34">
        <v>46269</v>
      </c>
      <c r="H15">
        <v>12694</v>
      </c>
      <c r="J15">
        <v>23897.7</v>
      </c>
      <c r="N15">
        <v>4</v>
      </c>
      <c r="O15" t="s">
        <v>8615</v>
      </c>
      <c r="P15">
        <v>7516</v>
      </c>
      <c r="Q15">
        <v>27.45</v>
      </c>
      <c r="R15">
        <v>206330.52</v>
      </c>
      <c r="S15">
        <v>51582.63</v>
      </c>
      <c r="T15">
        <v>10316.530000000001</v>
      </c>
      <c r="U15">
        <v>247596.62</v>
      </c>
      <c r="V15">
        <v>2012.58</v>
      </c>
      <c r="W15">
        <v>12.74</v>
      </c>
      <c r="X15">
        <v>0.22</v>
      </c>
    </row>
    <row r="16" spans="2:24" x14ac:dyDescent="0.3">
      <c r="B16">
        <v>2015</v>
      </c>
      <c r="C16" s="46">
        <v>-4.0599999999999997E-2</v>
      </c>
      <c r="G16" s="34">
        <v>46268</v>
      </c>
      <c r="H16">
        <v>12857</v>
      </c>
      <c r="J16">
        <v>23873.45</v>
      </c>
      <c r="N16">
        <v>5</v>
      </c>
      <c r="O16" t="s">
        <v>8616</v>
      </c>
      <c r="P16">
        <v>4171.3</v>
      </c>
      <c r="Q16">
        <v>47.51</v>
      </c>
      <c r="R16">
        <v>198173.09</v>
      </c>
      <c r="S16">
        <v>49543.27</v>
      </c>
      <c r="T16">
        <v>9908.65</v>
      </c>
      <c r="U16">
        <v>237807.71</v>
      </c>
      <c r="V16">
        <v>238.77</v>
      </c>
      <c r="W16">
        <v>13.43</v>
      </c>
      <c r="X16">
        <v>8.51</v>
      </c>
    </row>
    <row r="17" spans="2:21" x14ac:dyDescent="0.3">
      <c r="B17">
        <v>2014</v>
      </c>
      <c r="C17" s="46">
        <v>0.31390000000000001</v>
      </c>
      <c r="G17" s="34">
        <v>46267</v>
      </c>
      <c r="H17">
        <v>12849</v>
      </c>
      <c r="J17">
        <v>23914.45</v>
      </c>
      <c r="N17">
        <v>6</v>
      </c>
      <c r="O17" t="s">
        <v>8617</v>
      </c>
      <c r="P17">
        <v>2208.8000000000002</v>
      </c>
      <c r="Q17">
        <v>81.25</v>
      </c>
      <c r="R17">
        <v>179474.08</v>
      </c>
      <c r="S17">
        <v>44868.52</v>
      </c>
      <c r="T17">
        <v>8973.7000000000007</v>
      </c>
      <c r="U17">
        <v>215368.9</v>
      </c>
    </row>
    <row r="18" spans="2:21" x14ac:dyDescent="0.3">
      <c r="B18">
        <v>2013</v>
      </c>
      <c r="C18" s="46">
        <v>6.7599999999999993E-2</v>
      </c>
      <c r="G18" s="34">
        <v>46266</v>
      </c>
      <c r="H18">
        <v>12950</v>
      </c>
      <c r="J18">
        <v>24055.8</v>
      </c>
      <c r="N18">
        <v>7</v>
      </c>
      <c r="O18" t="s">
        <v>8618</v>
      </c>
      <c r="P18">
        <v>162.57</v>
      </c>
      <c r="Q18">
        <v>1055.44</v>
      </c>
      <c r="R18">
        <v>171583.57</v>
      </c>
      <c r="S18">
        <v>42895.89</v>
      </c>
      <c r="T18">
        <v>8579.18</v>
      </c>
      <c r="U18">
        <v>205900.28</v>
      </c>
    </row>
    <row r="19" spans="2:21" x14ac:dyDescent="0.3">
      <c r="B19">
        <v>2012</v>
      </c>
      <c r="C19" s="46">
        <v>0.27700000000000002</v>
      </c>
      <c r="G19" s="34">
        <v>46265</v>
      </c>
      <c r="H19">
        <v>13547</v>
      </c>
      <c r="J19">
        <v>24080.400000000001</v>
      </c>
      <c r="N19">
        <v>8</v>
      </c>
      <c r="O19" t="s">
        <v>8619</v>
      </c>
      <c r="P19">
        <v>47000</v>
      </c>
      <c r="Q19">
        <v>2.95</v>
      </c>
      <c r="R19">
        <v>138631.67000000001</v>
      </c>
      <c r="S19">
        <v>34657.919999999998</v>
      </c>
      <c r="T19">
        <v>6931.58</v>
      </c>
      <c r="U19">
        <v>166358.01</v>
      </c>
    </row>
    <row r="20" spans="2:21" x14ac:dyDescent="0.3">
      <c r="B20">
        <v>2011</v>
      </c>
      <c r="C20" s="46">
        <v>-0.2462</v>
      </c>
      <c r="G20" s="34">
        <v>46262</v>
      </c>
      <c r="H20">
        <v>13376</v>
      </c>
      <c r="J20">
        <v>24175.65</v>
      </c>
      <c r="N20">
        <v>9</v>
      </c>
      <c r="O20" t="s">
        <v>8620</v>
      </c>
      <c r="P20">
        <v>303.8</v>
      </c>
      <c r="Q20">
        <v>368.29</v>
      </c>
      <c r="R20">
        <v>111886.25</v>
      </c>
      <c r="S20">
        <v>27971.56</v>
      </c>
      <c r="T20">
        <v>5594.31</v>
      </c>
      <c r="U20">
        <v>134263.5</v>
      </c>
    </row>
    <row r="21" spans="2:21" x14ac:dyDescent="0.3">
      <c r="B21">
        <v>2010</v>
      </c>
      <c r="C21" s="46">
        <v>0.17949999999999999</v>
      </c>
      <c r="G21" s="34">
        <v>46261</v>
      </c>
      <c r="H21">
        <v>13440</v>
      </c>
      <c r="J21">
        <v>24090.85</v>
      </c>
      <c r="N21">
        <v>10</v>
      </c>
      <c r="O21" t="s">
        <v>8621</v>
      </c>
      <c r="P21">
        <v>5285.5</v>
      </c>
      <c r="Q21">
        <v>20.010000000000002</v>
      </c>
      <c r="R21">
        <v>105784.63</v>
      </c>
      <c r="S21">
        <v>26446.16</v>
      </c>
      <c r="T21">
        <v>5289.23</v>
      </c>
      <c r="U21">
        <v>126941.56</v>
      </c>
    </row>
    <row r="22" spans="2:21" x14ac:dyDescent="0.3">
      <c r="B22">
        <v>2009</v>
      </c>
      <c r="C22" s="46">
        <v>0.75760000000000005</v>
      </c>
      <c r="G22" s="34">
        <v>46260</v>
      </c>
      <c r="H22">
        <v>13520</v>
      </c>
      <c r="J22">
        <v>24207.75</v>
      </c>
    </row>
    <row r="23" spans="2:21" x14ac:dyDescent="0.3">
      <c r="B23">
        <v>2008</v>
      </c>
      <c r="C23" s="46">
        <v>-0.51790000000000003</v>
      </c>
      <c r="G23" s="34">
        <v>46259</v>
      </c>
      <c r="H23">
        <v>13678</v>
      </c>
      <c r="J23">
        <v>24334.55</v>
      </c>
    </row>
    <row r="24" spans="2:21" x14ac:dyDescent="0.3">
      <c r="B24">
        <v>2007</v>
      </c>
      <c r="C24" s="46">
        <v>0.54769999999999996</v>
      </c>
      <c r="G24" s="34">
        <v>46258</v>
      </c>
      <c r="H24">
        <v>13620</v>
      </c>
      <c r="J24">
        <v>24219.05</v>
      </c>
      <c r="O24" t="s">
        <v>8613</v>
      </c>
      <c r="Q24" t="s">
        <v>214</v>
      </c>
      <c r="R24">
        <v>94881.2</v>
      </c>
      <c r="S24">
        <v>379525</v>
      </c>
      <c r="T24" s="46">
        <v>0.3</v>
      </c>
    </row>
    <row r="25" spans="2:21" x14ac:dyDescent="0.3">
      <c r="B25">
        <v>2006</v>
      </c>
      <c r="C25" s="46">
        <v>0.39829999999999999</v>
      </c>
      <c r="G25" s="34">
        <v>46255</v>
      </c>
      <c r="H25">
        <v>13565</v>
      </c>
      <c r="J25">
        <v>24252</v>
      </c>
      <c r="O25" t="s">
        <v>8611</v>
      </c>
      <c r="Q25" t="str">
        <f>Q24</f>
        <v>India</v>
      </c>
      <c r="R25">
        <v>102</v>
      </c>
      <c r="S25">
        <v>380521</v>
      </c>
      <c r="T25" s="46">
        <f>T24</f>
        <v>0.3</v>
      </c>
    </row>
    <row r="26" spans="2:21" x14ac:dyDescent="0.3">
      <c r="B26">
        <v>2005</v>
      </c>
      <c r="C26" s="46">
        <v>0.3634</v>
      </c>
      <c r="G26" s="34">
        <v>46254</v>
      </c>
      <c r="H26">
        <v>13809</v>
      </c>
      <c r="J26">
        <v>24231.85</v>
      </c>
      <c r="O26" t="s">
        <v>8614</v>
      </c>
      <c r="Q26" t="str">
        <f>Q25</f>
        <v>India</v>
      </c>
      <c r="R26">
        <v>78415.3</v>
      </c>
      <c r="S26">
        <v>313661.09999999998</v>
      </c>
      <c r="T26" s="46">
        <f>T25</f>
        <v>0.3</v>
      </c>
    </row>
    <row r="27" spans="2:21" x14ac:dyDescent="0.3">
      <c r="B27">
        <v>2004</v>
      </c>
      <c r="C27" s="46">
        <v>0.10680000000000001</v>
      </c>
      <c r="G27" s="34">
        <v>46253</v>
      </c>
      <c r="H27">
        <v>13690</v>
      </c>
      <c r="J27">
        <v>24078.3</v>
      </c>
      <c r="O27" t="s">
        <v>8615</v>
      </c>
      <c r="Q27" t="str">
        <f>Q26</f>
        <v>India</v>
      </c>
      <c r="R27">
        <v>51582.6</v>
      </c>
      <c r="S27">
        <v>206330.52</v>
      </c>
      <c r="T27" s="46">
        <f>T26</f>
        <v>0.3</v>
      </c>
    </row>
    <row r="28" spans="2:21" x14ac:dyDescent="0.3">
      <c r="B28">
        <v>2003</v>
      </c>
      <c r="C28" s="46">
        <v>0.71899999999999997</v>
      </c>
      <c r="G28" s="34">
        <v>46252</v>
      </c>
      <c r="H28">
        <v>13691</v>
      </c>
      <c r="J28">
        <v>24154.9</v>
      </c>
      <c r="O28" t="s">
        <v>8616</v>
      </c>
      <c r="Q28" t="str">
        <f>Q27</f>
        <v>India</v>
      </c>
      <c r="R28">
        <v>49543.3</v>
      </c>
      <c r="S28">
        <v>198173.09</v>
      </c>
      <c r="T28" s="46">
        <f>T27</f>
        <v>0.3</v>
      </c>
    </row>
    <row r="29" spans="2:21" x14ac:dyDescent="0.3">
      <c r="B29">
        <v>2002</v>
      </c>
      <c r="C29" s="46">
        <v>3.2500000000000001E-2</v>
      </c>
      <c r="G29" s="34">
        <v>46251</v>
      </c>
      <c r="H29">
        <v>13760</v>
      </c>
      <c r="J29">
        <v>24287.65</v>
      </c>
    </row>
    <row r="30" spans="2:21" x14ac:dyDescent="0.3">
      <c r="G30" s="34">
        <v>46248</v>
      </c>
      <c r="H30">
        <v>13834</v>
      </c>
      <c r="J30">
        <v>24366</v>
      </c>
    </row>
    <row r="31" spans="2:21" x14ac:dyDescent="0.3">
      <c r="G31" s="34">
        <v>46247</v>
      </c>
      <c r="H31">
        <v>13905</v>
      </c>
      <c r="J31">
        <v>24395.85</v>
      </c>
    </row>
    <row r="32" spans="2:21" x14ac:dyDescent="0.3">
      <c r="G32" s="34">
        <v>46246</v>
      </c>
      <c r="H32">
        <v>13875</v>
      </c>
      <c r="J32">
        <v>24435.95</v>
      </c>
    </row>
    <row r="33" spans="7:10" x14ac:dyDescent="0.3">
      <c r="G33" s="34">
        <v>46245</v>
      </c>
      <c r="H33">
        <v>13990</v>
      </c>
      <c r="J33">
        <v>24471.7</v>
      </c>
    </row>
    <row r="34" spans="7:10" x14ac:dyDescent="0.3">
      <c r="G34" s="34">
        <v>46244</v>
      </c>
      <c r="H34">
        <v>14097</v>
      </c>
      <c r="J34">
        <v>24583.8</v>
      </c>
    </row>
    <row r="35" spans="7:10" x14ac:dyDescent="0.3">
      <c r="G35" s="34">
        <v>46241</v>
      </c>
      <c r="H35">
        <v>14037</v>
      </c>
      <c r="J35">
        <v>24570.65</v>
      </c>
    </row>
    <row r="36" spans="7:10" x14ac:dyDescent="0.3">
      <c r="G36" s="34">
        <v>46240</v>
      </c>
      <c r="H36">
        <v>14080</v>
      </c>
      <c r="J36">
        <v>24636</v>
      </c>
    </row>
    <row r="37" spans="7:10" x14ac:dyDescent="0.3">
      <c r="G37" s="34">
        <v>46239</v>
      </c>
      <c r="H37">
        <v>14190</v>
      </c>
      <c r="J37">
        <v>24624.65</v>
      </c>
    </row>
    <row r="38" spans="7:10" x14ac:dyDescent="0.3">
      <c r="G38" s="34">
        <v>46238</v>
      </c>
      <c r="H38">
        <v>14168</v>
      </c>
      <c r="J38">
        <v>24614.9</v>
      </c>
    </row>
    <row r="39" spans="7:10" x14ac:dyDescent="0.3">
      <c r="G39" s="34">
        <v>46237</v>
      </c>
      <c r="H39">
        <v>14150</v>
      </c>
      <c r="J39">
        <v>24774.3</v>
      </c>
    </row>
    <row r="40" spans="7:10" x14ac:dyDescent="0.3">
      <c r="G40" s="34">
        <v>46234</v>
      </c>
      <c r="H40">
        <v>14234</v>
      </c>
      <c r="J40">
        <v>24383.599999999999</v>
      </c>
    </row>
    <row r="41" spans="7:10" x14ac:dyDescent="0.3">
      <c r="G41" s="34">
        <v>46233</v>
      </c>
      <c r="H41">
        <v>14188</v>
      </c>
      <c r="J41">
        <v>24317.15</v>
      </c>
    </row>
    <row r="42" spans="7:10" x14ac:dyDescent="0.3">
      <c r="G42" s="34">
        <v>46232</v>
      </c>
      <c r="H42">
        <v>13948</v>
      </c>
      <c r="J42">
        <v>24250.2</v>
      </c>
    </row>
    <row r="43" spans="7:10" x14ac:dyDescent="0.3">
      <c r="G43" s="34">
        <v>46231</v>
      </c>
      <c r="H43">
        <v>13802</v>
      </c>
      <c r="J43">
        <v>23985.35</v>
      </c>
    </row>
    <row r="44" spans="7:10" x14ac:dyDescent="0.3">
      <c r="G44" s="34">
        <v>46230</v>
      </c>
      <c r="H44">
        <v>13730</v>
      </c>
      <c r="J44">
        <v>23995.95</v>
      </c>
    </row>
    <row r="45" spans="7:10" x14ac:dyDescent="0.3">
      <c r="G45" s="34">
        <v>46227</v>
      </c>
      <c r="H45">
        <v>13442</v>
      </c>
      <c r="J45">
        <v>23767.45</v>
      </c>
    </row>
    <row r="46" spans="7:10" x14ac:dyDescent="0.3">
      <c r="G46" s="34">
        <v>46226</v>
      </c>
      <c r="H46">
        <v>13403</v>
      </c>
      <c r="J46">
        <v>23869.599999999999</v>
      </c>
    </row>
    <row r="47" spans="7:10" x14ac:dyDescent="0.3">
      <c r="G47" s="34">
        <v>46225</v>
      </c>
      <c r="H47">
        <v>13545</v>
      </c>
      <c r="J47">
        <v>23996.25</v>
      </c>
    </row>
    <row r="48" spans="7:10" x14ac:dyDescent="0.3">
      <c r="G48" s="34">
        <v>46224</v>
      </c>
      <c r="H48">
        <v>13597</v>
      </c>
      <c r="J48">
        <v>24187.7</v>
      </c>
    </row>
    <row r="49" spans="7:10" x14ac:dyDescent="0.3">
      <c r="G49" s="34">
        <v>46223</v>
      </c>
      <c r="H49">
        <v>13514</v>
      </c>
      <c r="J49">
        <v>24238.5</v>
      </c>
    </row>
    <row r="50" spans="7:10" x14ac:dyDescent="0.3">
      <c r="G50" s="34">
        <v>46220</v>
      </c>
      <c r="H50">
        <v>13803</v>
      </c>
      <c r="J50">
        <v>24334.3</v>
      </c>
    </row>
    <row r="51" spans="7:10" x14ac:dyDescent="0.3">
      <c r="G51" s="34">
        <v>46219</v>
      </c>
      <c r="H51">
        <v>13783</v>
      </c>
      <c r="J51">
        <v>24072.75</v>
      </c>
    </row>
    <row r="52" spans="7:10" x14ac:dyDescent="0.3">
      <c r="G52" s="34">
        <v>46218</v>
      </c>
      <c r="H52">
        <v>13583</v>
      </c>
      <c r="J52">
        <v>24078.5</v>
      </c>
    </row>
    <row r="53" spans="7:10" x14ac:dyDescent="0.3">
      <c r="G53" s="34">
        <v>46217</v>
      </c>
      <c r="H53">
        <v>13489</v>
      </c>
      <c r="J53">
        <v>24052.05</v>
      </c>
    </row>
    <row r="54" spans="7:10" x14ac:dyDescent="0.3">
      <c r="G54" s="34">
        <v>46216</v>
      </c>
      <c r="H54">
        <v>13695</v>
      </c>
      <c r="J54">
        <v>24211</v>
      </c>
    </row>
    <row r="55" spans="7:10" x14ac:dyDescent="0.3">
      <c r="G55" s="34">
        <v>46213</v>
      </c>
      <c r="H55">
        <v>13854</v>
      </c>
      <c r="J55">
        <v>24206.9</v>
      </c>
    </row>
    <row r="56" spans="7:10" x14ac:dyDescent="0.3">
      <c r="G56" s="34">
        <v>46212</v>
      </c>
      <c r="H56">
        <v>13728</v>
      </c>
      <c r="J56">
        <v>23962.799999999999</v>
      </c>
    </row>
    <row r="57" spans="7:10" x14ac:dyDescent="0.3">
      <c r="G57" s="34">
        <v>46211</v>
      </c>
      <c r="H57">
        <v>13951</v>
      </c>
      <c r="J57">
        <v>23882.05</v>
      </c>
    </row>
    <row r="58" spans="7:10" x14ac:dyDescent="0.3">
      <c r="G58" s="34">
        <v>46210</v>
      </c>
      <c r="H58">
        <v>14538</v>
      </c>
      <c r="J58">
        <v>24398.7</v>
      </c>
    </row>
    <row r="59" spans="7:10" x14ac:dyDescent="0.3">
      <c r="G59" s="34">
        <v>46209</v>
      </c>
      <c r="H59">
        <v>14456</v>
      </c>
      <c r="J59">
        <v>24430.35</v>
      </c>
    </row>
    <row r="60" spans="7:10" x14ac:dyDescent="0.3">
      <c r="G60" s="34">
        <v>46206</v>
      </c>
      <c r="H60">
        <v>14366</v>
      </c>
      <c r="J60">
        <v>24270.85</v>
      </c>
    </row>
    <row r="61" spans="7:10" x14ac:dyDescent="0.3">
      <c r="G61" s="34">
        <v>46205</v>
      </c>
      <c r="H61">
        <v>14348</v>
      </c>
      <c r="J61">
        <v>24175.7</v>
      </c>
    </row>
    <row r="62" spans="7:10" x14ac:dyDescent="0.3">
      <c r="G62" s="34">
        <v>46204</v>
      </c>
      <c r="H62">
        <v>14395</v>
      </c>
      <c r="J62">
        <v>24005.85</v>
      </c>
    </row>
    <row r="63" spans="7:10" x14ac:dyDescent="0.3">
      <c r="G63" s="34">
        <v>46203</v>
      </c>
      <c r="H63">
        <v>14115</v>
      </c>
      <c r="J63">
        <v>23865.75</v>
      </c>
    </row>
    <row r="64" spans="7:10" x14ac:dyDescent="0.3">
      <c r="G64" s="34">
        <v>46202</v>
      </c>
      <c r="H64">
        <v>13412</v>
      </c>
      <c r="J64">
        <v>23946.25</v>
      </c>
    </row>
    <row r="65" spans="7:10" x14ac:dyDescent="0.3">
      <c r="G65" s="34">
        <v>46198</v>
      </c>
      <c r="H65">
        <v>13745</v>
      </c>
      <c r="J65">
        <v>24056</v>
      </c>
    </row>
    <row r="66" spans="7:10" x14ac:dyDescent="0.3">
      <c r="G66" s="34">
        <v>46197</v>
      </c>
      <c r="H66">
        <v>13248</v>
      </c>
      <c r="J66">
        <v>24021.65</v>
      </c>
    </row>
    <row r="67" spans="7:10" x14ac:dyDescent="0.3">
      <c r="G67" s="34">
        <v>46196</v>
      </c>
      <c r="H67">
        <v>13451</v>
      </c>
      <c r="J67">
        <v>23824.1</v>
      </c>
    </row>
    <row r="68" spans="7:10" x14ac:dyDescent="0.3">
      <c r="G68" s="34">
        <v>46195</v>
      </c>
      <c r="H68">
        <v>13421</v>
      </c>
      <c r="J68">
        <v>24102.9</v>
      </c>
    </row>
    <row r="69" spans="7:10" x14ac:dyDescent="0.3">
      <c r="G69" s="34">
        <v>46192</v>
      </c>
      <c r="H69">
        <v>13395</v>
      </c>
      <c r="J69">
        <v>24013.1</v>
      </c>
    </row>
    <row r="70" spans="7:10" x14ac:dyDescent="0.3">
      <c r="G70" s="34">
        <v>46191</v>
      </c>
      <c r="H70">
        <v>13484</v>
      </c>
      <c r="J70">
        <v>24168</v>
      </c>
    </row>
    <row r="71" spans="7:10" x14ac:dyDescent="0.3">
      <c r="G71" s="34">
        <v>46190</v>
      </c>
      <c r="H71">
        <v>13630</v>
      </c>
      <c r="J71">
        <v>24085.7</v>
      </c>
    </row>
    <row r="72" spans="7:10" x14ac:dyDescent="0.3">
      <c r="G72" s="34">
        <v>46189</v>
      </c>
      <c r="H72">
        <v>13691</v>
      </c>
      <c r="J72">
        <v>23989.15</v>
      </c>
    </row>
    <row r="73" spans="7:10" x14ac:dyDescent="0.3">
      <c r="G73" s="34">
        <v>46188</v>
      </c>
      <c r="H73">
        <v>13805</v>
      </c>
      <c r="J73">
        <v>23853.9</v>
      </c>
    </row>
    <row r="74" spans="7:10" x14ac:dyDescent="0.3">
      <c r="G74" s="34">
        <v>46185</v>
      </c>
      <c r="H74">
        <v>13366</v>
      </c>
      <c r="J74">
        <v>23622.9</v>
      </c>
    </row>
    <row r="75" spans="7:10" x14ac:dyDescent="0.3">
      <c r="G75" s="34">
        <v>46184</v>
      </c>
      <c r="H75">
        <v>13098</v>
      </c>
      <c r="J75">
        <v>23161.599999999999</v>
      </c>
    </row>
    <row r="76" spans="7:10" x14ac:dyDescent="0.3">
      <c r="G76" s="34">
        <v>46183</v>
      </c>
      <c r="H76">
        <v>13073</v>
      </c>
      <c r="J76">
        <v>23214.95</v>
      </c>
    </row>
    <row r="77" spans="7:10" x14ac:dyDescent="0.3">
      <c r="G77" s="34">
        <v>46182</v>
      </c>
      <c r="H77">
        <v>13120</v>
      </c>
      <c r="J77">
        <v>23242.1</v>
      </c>
    </row>
    <row r="78" spans="7:10" x14ac:dyDescent="0.3">
      <c r="G78" s="34">
        <v>46181</v>
      </c>
      <c r="H78">
        <v>12912</v>
      </c>
      <c r="J78">
        <v>23123</v>
      </c>
    </row>
    <row r="79" spans="7:10" x14ac:dyDescent="0.3">
      <c r="G79" s="34">
        <v>46178</v>
      </c>
      <c r="H79">
        <v>13050</v>
      </c>
      <c r="J79">
        <v>23366.7</v>
      </c>
    </row>
    <row r="80" spans="7:10" x14ac:dyDescent="0.3">
      <c r="G80" s="34">
        <v>46177</v>
      </c>
      <c r="H80">
        <v>13064</v>
      </c>
      <c r="J80">
        <v>23416.55</v>
      </c>
    </row>
    <row r="81" spans="7:10" x14ac:dyDescent="0.3">
      <c r="G81" s="34">
        <v>46176</v>
      </c>
      <c r="H81">
        <v>13044</v>
      </c>
      <c r="J81">
        <v>23405.599999999999</v>
      </c>
    </row>
    <row r="82" spans="7:10" x14ac:dyDescent="0.3">
      <c r="G82" s="34">
        <v>46175</v>
      </c>
      <c r="H82">
        <v>13022</v>
      </c>
      <c r="J82">
        <v>23483.55</v>
      </c>
    </row>
    <row r="83" spans="7:10" x14ac:dyDescent="0.3">
      <c r="G83" s="34">
        <v>46174</v>
      </c>
      <c r="H83">
        <v>12946</v>
      </c>
      <c r="J83">
        <v>23382.6</v>
      </c>
    </row>
    <row r="84" spans="7:10" x14ac:dyDescent="0.3">
      <c r="G84" s="34">
        <v>46171</v>
      </c>
      <c r="H84">
        <v>13127</v>
      </c>
      <c r="J84">
        <v>23547.75</v>
      </c>
    </row>
    <row r="85" spans="7:10" x14ac:dyDescent="0.3">
      <c r="G85" s="34">
        <v>46169</v>
      </c>
      <c r="H85">
        <v>13364</v>
      </c>
      <c r="J85">
        <v>23907.15</v>
      </c>
    </row>
    <row r="86" spans="7:10" x14ac:dyDescent="0.3">
      <c r="G86" s="34">
        <v>46168</v>
      </c>
      <c r="H86">
        <v>13208</v>
      </c>
      <c r="J86">
        <v>23913.7</v>
      </c>
    </row>
    <row r="87" spans="7:10" x14ac:dyDescent="0.3">
      <c r="G87" s="34">
        <v>46167</v>
      </c>
      <c r="H87">
        <v>13170</v>
      </c>
      <c r="J87">
        <v>24031.7</v>
      </c>
    </row>
    <row r="88" spans="7:10" x14ac:dyDescent="0.3">
      <c r="G88" s="34">
        <v>46164</v>
      </c>
      <c r="H88">
        <v>12987</v>
      </c>
      <c r="J88">
        <v>23719.3</v>
      </c>
    </row>
    <row r="89" spans="7:10" x14ac:dyDescent="0.3">
      <c r="G89" s="34">
        <v>46163</v>
      </c>
      <c r="H89">
        <v>13010</v>
      </c>
      <c r="J89">
        <v>23654.7</v>
      </c>
    </row>
    <row r="90" spans="7:10" x14ac:dyDescent="0.3">
      <c r="G90" s="34">
        <v>46162</v>
      </c>
      <c r="H90">
        <v>13003</v>
      </c>
      <c r="J90">
        <v>23659</v>
      </c>
    </row>
    <row r="91" spans="7:10" x14ac:dyDescent="0.3">
      <c r="G91" s="34">
        <v>46161</v>
      </c>
      <c r="H91">
        <v>12956</v>
      </c>
      <c r="J91">
        <v>23618</v>
      </c>
    </row>
    <row r="92" spans="7:10" x14ac:dyDescent="0.3">
      <c r="G92" s="34">
        <v>46160</v>
      </c>
      <c r="H92">
        <v>13016</v>
      </c>
      <c r="J92">
        <v>23649.95</v>
      </c>
    </row>
    <row r="93" spans="7:10" x14ac:dyDescent="0.3">
      <c r="G93" s="34">
        <v>46157</v>
      </c>
      <c r="H93">
        <v>13221</v>
      </c>
      <c r="J93">
        <v>23643.5</v>
      </c>
    </row>
    <row r="94" spans="7:10" x14ac:dyDescent="0.3">
      <c r="G94" s="34">
        <v>46156</v>
      </c>
      <c r="H94">
        <v>13075</v>
      </c>
      <c r="J94">
        <v>23689.599999999999</v>
      </c>
    </row>
    <row r="95" spans="7:10" x14ac:dyDescent="0.3">
      <c r="G95" s="34">
        <v>46155</v>
      </c>
      <c r="H95">
        <v>13103</v>
      </c>
      <c r="J95">
        <v>23412.6</v>
      </c>
    </row>
    <row r="96" spans="7:10" x14ac:dyDescent="0.3">
      <c r="G96" s="34">
        <v>46154</v>
      </c>
      <c r="H96">
        <v>13172</v>
      </c>
      <c r="J96">
        <v>23379.55</v>
      </c>
    </row>
    <row r="97" spans="7:10" x14ac:dyDescent="0.3">
      <c r="G97" s="34">
        <v>46153</v>
      </c>
      <c r="H97">
        <v>13483</v>
      </c>
      <c r="J97">
        <v>23815.85</v>
      </c>
    </row>
    <row r="98" spans="7:10" x14ac:dyDescent="0.3">
      <c r="G98" s="34">
        <v>46150</v>
      </c>
      <c r="H98">
        <v>13726</v>
      </c>
      <c r="J98">
        <v>24176.15</v>
      </c>
    </row>
    <row r="99" spans="7:10" x14ac:dyDescent="0.3">
      <c r="G99" s="34">
        <v>46149</v>
      </c>
      <c r="H99">
        <v>13770</v>
      </c>
      <c r="J99">
        <v>24326.65</v>
      </c>
    </row>
    <row r="100" spans="7:10" x14ac:dyDescent="0.3">
      <c r="G100" s="34">
        <v>46148</v>
      </c>
      <c r="H100">
        <v>13722</v>
      </c>
      <c r="J100">
        <v>24330.95</v>
      </c>
    </row>
    <row r="101" spans="7:10" x14ac:dyDescent="0.3">
      <c r="G101" s="34">
        <v>46147</v>
      </c>
      <c r="H101">
        <v>13426</v>
      </c>
      <c r="J101">
        <v>24032.799999999999</v>
      </c>
    </row>
    <row r="102" spans="7:10" x14ac:dyDescent="0.3">
      <c r="G102" s="34">
        <v>46146</v>
      </c>
      <c r="H102">
        <v>13580</v>
      </c>
      <c r="J102">
        <v>24119.3</v>
      </c>
    </row>
    <row r="103" spans="7:10" x14ac:dyDescent="0.3">
      <c r="G103" s="34">
        <v>46142</v>
      </c>
      <c r="H103">
        <v>13314</v>
      </c>
      <c r="J103">
        <v>23997.55</v>
      </c>
    </row>
    <row r="104" spans="7:10" x14ac:dyDescent="0.3">
      <c r="G104" s="34">
        <v>46141</v>
      </c>
      <c r="H104">
        <v>13257</v>
      </c>
      <c r="J104">
        <v>24177.65</v>
      </c>
    </row>
    <row r="105" spans="7:10" x14ac:dyDescent="0.3">
      <c r="G105" s="34">
        <v>46140</v>
      </c>
      <c r="H105">
        <v>12892</v>
      </c>
      <c r="J105">
        <v>23995.7</v>
      </c>
    </row>
    <row r="106" spans="7:10" x14ac:dyDescent="0.3">
      <c r="G106" s="34">
        <v>46139</v>
      </c>
      <c r="H106">
        <v>13222</v>
      </c>
      <c r="J106">
        <v>24092.7</v>
      </c>
    </row>
    <row r="107" spans="7:10" x14ac:dyDescent="0.3">
      <c r="G107" s="34">
        <v>46136</v>
      </c>
      <c r="H107">
        <v>13048</v>
      </c>
      <c r="J107">
        <v>23897.95</v>
      </c>
    </row>
    <row r="108" spans="7:10" x14ac:dyDescent="0.3">
      <c r="G108" s="34">
        <v>46135</v>
      </c>
      <c r="H108">
        <v>13160</v>
      </c>
      <c r="J108">
        <v>24173.05</v>
      </c>
    </row>
    <row r="109" spans="7:10" x14ac:dyDescent="0.3">
      <c r="G109" s="34">
        <v>46134</v>
      </c>
      <c r="H109">
        <v>13337</v>
      </c>
      <c r="J109">
        <v>24378.1</v>
      </c>
    </row>
    <row r="110" spans="7:10" x14ac:dyDescent="0.3">
      <c r="G110" s="34">
        <v>46133</v>
      </c>
      <c r="H110">
        <v>13461</v>
      </c>
      <c r="J110">
        <v>24576.6</v>
      </c>
    </row>
    <row r="111" spans="7:10" x14ac:dyDescent="0.3">
      <c r="G111" s="34">
        <v>46132</v>
      </c>
      <c r="H111">
        <v>13450</v>
      </c>
      <c r="J111">
        <v>24364.85</v>
      </c>
    </row>
    <row r="112" spans="7:10" x14ac:dyDescent="0.3">
      <c r="G112" s="34">
        <v>46129</v>
      </c>
      <c r="H112">
        <v>13453</v>
      </c>
      <c r="J112">
        <v>24353.55</v>
      </c>
    </row>
    <row r="113" spans="7:10" x14ac:dyDescent="0.3">
      <c r="G113" s="34">
        <v>46128</v>
      </c>
      <c r="H113">
        <v>13335</v>
      </c>
      <c r="J113">
        <v>24196.75</v>
      </c>
    </row>
    <row r="114" spans="7:10" x14ac:dyDescent="0.3">
      <c r="G114" s="34">
        <v>46127</v>
      </c>
      <c r="H114">
        <v>13289</v>
      </c>
      <c r="J114">
        <v>24231.3</v>
      </c>
    </row>
    <row r="115" spans="7:10" x14ac:dyDescent="0.3">
      <c r="G115" s="34">
        <v>46125</v>
      </c>
      <c r="H115">
        <v>13076</v>
      </c>
      <c r="J115">
        <v>23842.65</v>
      </c>
    </row>
    <row r="116" spans="7:10" x14ac:dyDescent="0.3">
      <c r="G116" s="34">
        <v>46122</v>
      </c>
      <c r="H116">
        <v>13709</v>
      </c>
      <c r="J116">
        <v>24050.6</v>
      </c>
    </row>
    <row r="117" spans="7:10" x14ac:dyDescent="0.3">
      <c r="G117" s="34">
        <v>46121</v>
      </c>
      <c r="H117">
        <v>13589</v>
      </c>
      <c r="J117">
        <v>23775.1</v>
      </c>
    </row>
    <row r="118" spans="7:10" x14ac:dyDescent="0.3">
      <c r="G118" s="34">
        <v>46120</v>
      </c>
      <c r="H118">
        <v>13602</v>
      </c>
      <c r="J118">
        <v>23997.35</v>
      </c>
    </row>
    <row r="119" spans="7:10" x14ac:dyDescent="0.3">
      <c r="G119" s="34">
        <v>46119</v>
      </c>
      <c r="H119">
        <v>12798</v>
      </c>
      <c r="J119">
        <v>23123.65</v>
      </c>
    </row>
    <row r="120" spans="7:10" x14ac:dyDescent="0.3">
      <c r="G120" s="34">
        <v>46118</v>
      </c>
      <c r="H120">
        <v>12688</v>
      </c>
      <c r="J120">
        <v>22968.25</v>
      </c>
    </row>
    <row r="121" spans="7:10" x14ac:dyDescent="0.3">
      <c r="G121" s="34">
        <v>46114</v>
      </c>
      <c r="H121">
        <v>12631</v>
      </c>
      <c r="J121">
        <v>22713.1</v>
      </c>
    </row>
    <row r="122" spans="7:10" x14ac:dyDescent="0.3">
      <c r="G122" s="34">
        <v>46113</v>
      </c>
      <c r="H122">
        <v>12509</v>
      </c>
      <c r="J122">
        <v>22679.4</v>
      </c>
    </row>
    <row r="123" spans="7:10" x14ac:dyDescent="0.3">
      <c r="G123" s="34">
        <v>46111</v>
      </c>
      <c r="H123">
        <v>12306</v>
      </c>
      <c r="J123">
        <v>22331.4</v>
      </c>
    </row>
    <row r="124" spans="7:10" x14ac:dyDescent="0.3">
      <c r="G124" s="34">
        <v>46108</v>
      </c>
      <c r="H124">
        <v>12389</v>
      </c>
      <c r="J124">
        <v>22819.599999999999</v>
      </c>
    </row>
    <row r="125" spans="7:10" x14ac:dyDescent="0.3">
      <c r="G125" s="34">
        <v>46106</v>
      </c>
      <c r="H125">
        <v>12711</v>
      </c>
      <c r="J125">
        <v>23306.45</v>
      </c>
    </row>
    <row r="126" spans="7:10" x14ac:dyDescent="0.3">
      <c r="G126" s="34">
        <v>46105</v>
      </c>
      <c r="H126">
        <v>12464</v>
      </c>
      <c r="J126">
        <v>22912.400000000001</v>
      </c>
    </row>
    <row r="127" spans="7:10" x14ac:dyDescent="0.3">
      <c r="G127" s="34">
        <v>46104</v>
      </c>
      <c r="H127">
        <v>12355</v>
      </c>
      <c r="J127">
        <v>22512.65</v>
      </c>
    </row>
    <row r="128" spans="7:10" x14ac:dyDescent="0.3">
      <c r="G128" s="34">
        <v>46101</v>
      </c>
      <c r="H128">
        <v>12601</v>
      </c>
      <c r="J128">
        <v>23114.5</v>
      </c>
    </row>
    <row r="129" spans="7:10" x14ac:dyDescent="0.3">
      <c r="G129" s="34">
        <v>46100</v>
      </c>
      <c r="H129">
        <v>12599</v>
      </c>
      <c r="J129">
        <v>23002.15</v>
      </c>
    </row>
    <row r="130" spans="7:10" x14ac:dyDescent="0.3">
      <c r="G130" s="34">
        <v>46099</v>
      </c>
      <c r="H130">
        <v>13048</v>
      </c>
      <c r="J130">
        <v>23777.8</v>
      </c>
    </row>
    <row r="131" spans="7:10" x14ac:dyDescent="0.3">
      <c r="G131" s="34">
        <v>46098</v>
      </c>
      <c r="H131">
        <v>12972</v>
      </c>
      <c r="J131">
        <v>23581.15</v>
      </c>
    </row>
    <row r="132" spans="7:10" x14ac:dyDescent="0.3">
      <c r="G132" s="34">
        <v>46097</v>
      </c>
      <c r="H132">
        <v>12757</v>
      </c>
      <c r="J132">
        <v>23408.799999999999</v>
      </c>
    </row>
    <row r="133" spans="7:10" x14ac:dyDescent="0.3">
      <c r="G133" s="34">
        <v>46094</v>
      </c>
      <c r="H133">
        <v>12591</v>
      </c>
      <c r="J133">
        <v>23151.1</v>
      </c>
    </row>
    <row r="134" spans="7:10" x14ac:dyDescent="0.3">
      <c r="G134" s="34">
        <v>46093</v>
      </c>
      <c r="H134">
        <v>13011</v>
      </c>
      <c r="J134">
        <v>23639.15</v>
      </c>
    </row>
    <row r="135" spans="7:10" x14ac:dyDescent="0.3">
      <c r="G135" s="34">
        <v>46092</v>
      </c>
      <c r="H135">
        <v>13497</v>
      </c>
      <c r="J135">
        <v>23866.85</v>
      </c>
    </row>
    <row r="136" spans="7:10" x14ac:dyDescent="0.3">
      <c r="G136" s="34">
        <v>46091</v>
      </c>
      <c r="H136">
        <v>13867</v>
      </c>
      <c r="J136">
        <v>24261.599999999999</v>
      </c>
    </row>
    <row r="137" spans="7:10" x14ac:dyDescent="0.3">
      <c r="G137" s="34">
        <v>46090</v>
      </c>
      <c r="H137">
        <v>13508</v>
      </c>
      <c r="J137">
        <v>24028.05</v>
      </c>
    </row>
    <row r="138" spans="7:10" x14ac:dyDescent="0.3">
      <c r="G138" s="34">
        <v>46087</v>
      </c>
      <c r="H138">
        <v>14159</v>
      </c>
      <c r="J138">
        <v>24450.45</v>
      </c>
    </row>
    <row r="139" spans="7:10" x14ac:dyDescent="0.3">
      <c r="G139" s="34">
        <v>46086</v>
      </c>
      <c r="H139">
        <v>14415</v>
      </c>
      <c r="J139">
        <v>24765.9</v>
      </c>
    </row>
    <row r="140" spans="7:10" x14ac:dyDescent="0.3">
      <c r="G140" s="34">
        <v>46085</v>
      </c>
      <c r="H140">
        <v>14158</v>
      </c>
      <c r="J140">
        <v>24480.5</v>
      </c>
    </row>
    <row r="141" spans="7:10" x14ac:dyDescent="0.3">
      <c r="G141" s="34">
        <v>46083</v>
      </c>
      <c r="H141">
        <v>14388</v>
      </c>
      <c r="J141">
        <v>24865.7</v>
      </c>
    </row>
    <row r="142" spans="7:10" x14ac:dyDescent="0.3">
      <c r="G142" s="34">
        <v>46080</v>
      </c>
      <c r="H142">
        <v>14857</v>
      </c>
      <c r="J142">
        <v>25178.65</v>
      </c>
    </row>
    <row r="143" spans="7:10" x14ac:dyDescent="0.3">
      <c r="G143" s="34">
        <v>46079</v>
      </c>
      <c r="H143">
        <v>15213</v>
      </c>
      <c r="J143">
        <v>25496.55</v>
      </c>
    </row>
    <row r="144" spans="7:10" x14ac:dyDescent="0.3">
      <c r="G144" s="34">
        <v>46078</v>
      </c>
      <c r="H144">
        <v>15070</v>
      </c>
      <c r="J144">
        <v>25482.5</v>
      </c>
    </row>
    <row r="145" spans="7:10" x14ac:dyDescent="0.3">
      <c r="G145" s="34">
        <v>46077</v>
      </c>
      <c r="H145">
        <v>14926</v>
      </c>
      <c r="J145">
        <v>25424.65</v>
      </c>
    </row>
    <row r="146" spans="7:10" x14ac:dyDescent="0.3">
      <c r="G146" s="34">
        <v>46076</v>
      </c>
      <c r="H146">
        <v>15072</v>
      </c>
      <c r="J146">
        <v>25713</v>
      </c>
    </row>
    <row r="147" spans="7:10" x14ac:dyDescent="0.3">
      <c r="G147" s="34">
        <v>46073</v>
      </c>
      <c r="H147">
        <v>14977</v>
      </c>
      <c r="J147">
        <v>25571.25</v>
      </c>
    </row>
    <row r="148" spans="7:10" x14ac:dyDescent="0.3">
      <c r="G148" s="34">
        <v>46072</v>
      </c>
      <c r="H148">
        <v>14903</v>
      </c>
      <c r="J148">
        <v>25454.35</v>
      </c>
    </row>
    <row r="149" spans="7:10" x14ac:dyDescent="0.3">
      <c r="G149" s="34">
        <v>46071</v>
      </c>
      <c r="H149">
        <v>15164</v>
      </c>
      <c r="J149">
        <v>25819.35</v>
      </c>
    </row>
    <row r="150" spans="7:10" x14ac:dyDescent="0.3">
      <c r="G150" s="34">
        <v>46070</v>
      </c>
      <c r="H150">
        <v>15179</v>
      </c>
      <c r="J150">
        <v>25725.4</v>
      </c>
    </row>
    <row r="151" spans="7:10" x14ac:dyDescent="0.3">
      <c r="G151" s="34">
        <v>46069</v>
      </c>
      <c r="H151">
        <v>15051</v>
      </c>
      <c r="J151">
        <v>25682.75</v>
      </c>
    </row>
    <row r="152" spans="7:10" x14ac:dyDescent="0.3">
      <c r="G152" s="34">
        <v>46066</v>
      </c>
      <c r="H152">
        <v>15237</v>
      </c>
      <c r="J152">
        <v>25471.1</v>
      </c>
    </row>
    <row r="153" spans="7:10" x14ac:dyDescent="0.3">
      <c r="G153" s="34">
        <v>46065</v>
      </c>
      <c r="H153">
        <v>15326</v>
      </c>
      <c r="J153">
        <v>25807.200000000001</v>
      </c>
    </row>
    <row r="154" spans="7:10" x14ac:dyDescent="0.3">
      <c r="G154" s="34">
        <v>46064</v>
      </c>
      <c r="H154">
        <v>15412</v>
      </c>
      <c r="J154">
        <v>25953.85</v>
      </c>
    </row>
    <row r="155" spans="7:10" x14ac:dyDescent="0.3">
      <c r="G155" s="34">
        <v>46063</v>
      </c>
      <c r="H155">
        <v>15146</v>
      </c>
      <c r="J155">
        <v>25935.15</v>
      </c>
    </row>
    <row r="156" spans="7:10" x14ac:dyDescent="0.3">
      <c r="G156" s="34">
        <v>46062</v>
      </c>
      <c r="H156">
        <v>14978</v>
      </c>
      <c r="J156">
        <v>25867.3</v>
      </c>
    </row>
    <row r="157" spans="7:10" x14ac:dyDescent="0.3">
      <c r="G157" s="34">
        <v>46059</v>
      </c>
      <c r="H157">
        <v>14997</v>
      </c>
      <c r="J157">
        <v>25693.7</v>
      </c>
    </row>
    <row r="158" spans="7:10" x14ac:dyDescent="0.3">
      <c r="G158" s="34">
        <v>46058</v>
      </c>
      <c r="H158">
        <v>15059</v>
      </c>
      <c r="J158">
        <v>25642.799999999999</v>
      </c>
    </row>
    <row r="159" spans="7:10" x14ac:dyDescent="0.3">
      <c r="G159" s="34">
        <v>46057</v>
      </c>
      <c r="H159">
        <v>15071</v>
      </c>
      <c r="J159">
        <v>25776</v>
      </c>
    </row>
    <row r="160" spans="7:10" x14ac:dyDescent="0.3">
      <c r="G160" s="34">
        <v>46056</v>
      </c>
      <c r="H160">
        <v>14782</v>
      </c>
      <c r="J160">
        <v>25727.55</v>
      </c>
    </row>
    <row r="161" spans="7:10" x14ac:dyDescent="0.3">
      <c r="G161" s="34">
        <v>46055</v>
      </c>
      <c r="H161">
        <v>14384</v>
      </c>
      <c r="J161">
        <v>25088.400000000001</v>
      </c>
    </row>
    <row r="162" spans="7:10" x14ac:dyDescent="0.3">
      <c r="G162" s="34">
        <v>46054</v>
      </c>
      <c r="H162">
        <v>14199</v>
      </c>
      <c r="J162">
        <v>25320.65</v>
      </c>
    </row>
    <row r="163" spans="7:10" x14ac:dyDescent="0.3">
      <c r="G163" s="34">
        <v>46052</v>
      </c>
      <c r="H163">
        <v>14599</v>
      </c>
      <c r="J163">
        <v>25320.65</v>
      </c>
    </row>
    <row r="164" spans="7:10" x14ac:dyDescent="0.3">
      <c r="G164" s="34">
        <v>46051</v>
      </c>
      <c r="H164">
        <v>14502</v>
      </c>
      <c r="J164">
        <v>25418.9</v>
      </c>
    </row>
    <row r="165" spans="7:10" x14ac:dyDescent="0.3">
      <c r="G165" s="34">
        <v>46050</v>
      </c>
      <c r="H165">
        <v>14877</v>
      </c>
      <c r="J165">
        <v>25342.75</v>
      </c>
    </row>
    <row r="166" spans="7:10" x14ac:dyDescent="0.3">
      <c r="G166" s="34">
        <v>46049</v>
      </c>
      <c r="H166">
        <v>15245</v>
      </c>
      <c r="J166">
        <v>25175.4</v>
      </c>
    </row>
    <row r="167" spans="7:10" x14ac:dyDescent="0.3">
      <c r="G167" s="34">
        <v>46045</v>
      </c>
      <c r="H167">
        <v>15469</v>
      </c>
      <c r="J167">
        <v>25048.65</v>
      </c>
    </row>
    <row r="168" spans="7:10" x14ac:dyDescent="0.3">
      <c r="G168" s="34">
        <v>46044</v>
      </c>
      <c r="H168">
        <v>15765</v>
      </c>
      <c r="J168">
        <v>25289.9</v>
      </c>
    </row>
    <row r="169" spans="7:10" x14ac:dyDescent="0.3">
      <c r="G169" s="34">
        <v>46043</v>
      </c>
      <c r="H169">
        <v>15770</v>
      </c>
      <c r="J169">
        <v>25157.5</v>
      </c>
    </row>
    <row r="170" spans="7:10" x14ac:dyDescent="0.3">
      <c r="G170" s="34">
        <v>46042</v>
      </c>
      <c r="H170">
        <v>15879</v>
      </c>
      <c r="J170">
        <v>25232.5</v>
      </c>
    </row>
    <row r="171" spans="7:10" x14ac:dyDescent="0.3">
      <c r="G171" s="34">
        <v>46041</v>
      </c>
      <c r="H171">
        <v>16176</v>
      </c>
      <c r="J171">
        <v>25585.5</v>
      </c>
    </row>
    <row r="172" spans="7:10" x14ac:dyDescent="0.3">
      <c r="G172" s="34">
        <v>46038</v>
      </c>
      <c r="H172">
        <v>15859</v>
      </c>
      <c r="J172">
        <v>25694.35</v>
      </c>
    </row>
    <row r="173" spans="7:10" x14ac:dyDescent="0.3">
      <c r="G173" s="34">
        <v>46036</v>
      </c>
      <c r="H173">
        <v>16152</v>
      </c>
      <c r="J173">
        <v>25665.599999999999</v>
      </c>
    </row>
    <row r="174" spans="7:10" x14ac:dyDescent="0.3">
      <c r="G174" s="34">
        <v>46035</v>
      </c>
      <c r="H174">
        <v>16426</v>
      </c>
      <c r="J174">
        <v>25732.3</v>
      </c>
    </row>
    <row r="175" spans="7:10" x14ac:dyDescent="0.3">
      <c r="G175" s="34">
        <v>46034</v>
      </c>
      <c r="H175">
        <v>16582</v>
      </c>
      <c r="J175">
        <v>25790.25</v>
      </c>
    </row>
    <row r="176" spans="7:10" x14ac:dyDescent="0.3">
      <c r="G176" s="34">
        <v>46031</v>
      </c>
      <c r="H176">
        <v>16501</v>
      </c>
      <c r="J176">
        <v>25683.3</v>
      </c>
    </row>
    <row r="177" spans="7:10" x14ac:dyDescent="0.3">
      <c r="G177" s="34">
        <v>46030</v>
      </c>
      <c r="H177">
        <v>16664</v>
      </c>
      <c r="J177">
        <v>25876.85</v>
      </c>
    </row>
    <row r="178" spans="7:10" x14ac:dyDescent="0.3">
      <c r="G178" s="34">
        <v>46029</v>
      </c>
      <c r="H178">
        <v>16809</v>
      </c>
      <c r="J178">
        <v>26140.75</v>
      </c>
    </row>
    <row r="179" spans="7:10" x14ac:dyDescent="0.3">
      <c r="G179" s="34">
        <v>46028</v>
      </c>
      <c r="H179">
        <v>17292</v>
      </c>
      <c r="J179">
        <v>26178.7</v>
      </c>
    </row>
    <row r="180" spans="7:10" x14ac:dyDescent="0.3">
      <c r="G180" s="34">
        <v>46027</v>
      </c>
      <c r="H180">
        <v>17155</v>
      </c>
      <c r="J180">
        <v>26250.3</v>
      </c>
    </row>
    <row r="181" spans="7:10" x14ac:dyDescent="0.3">
      <c r="G181" s="34">
        <v>46024</v>
      </c>
      <c r="H181">
        <v>16960</v>
      </c>
      <c r="J181">
        <v>26328.55</v>
      </c>
    </row>
    <row r="182" spans="7:10" x14ac:dyDescent="0.3">
      <c r="G182" s="34">
        <v>46023</v>
      </c>
      <c r="H182">
        <v>16708</v>
      </c>
      <c r="J182">
        <v>26146.55</v>
      </c>
    </row>
    <row r="183" spans="7:10" x14ac:dyDescent="0.3">
      <c r="G183" s="34">
        <v>46022</v>
      </c>
      <c r="H183">
        <v>16697</v>
      </c>
      <c r="J183">
        <v>26129.599999999999</v>
      </c>
    </row>
    <row r="184" spans="7:10" x14ac:dyDescent="0.3">
      <c r="G184" s="34">
        <v>46021</v>
      </c>
      <c r="H184">
        <v>16647</v>
      </c>
      <c r="J184">
        <v>25938.85</v>
      </c>
    </row>
    <row r="185" spans="7:10" x14ac:dyDescent="0.3">
      <c r="G185" s="34">
        <v>46020</v>
      </c>
      <c r="H185">
        <v>16542</v>
      </c>
      <c r="J185">
        <v>25942.1</v>
      </c>
    </row>
    <row r="186" spans="7:10" x14ac:dyDescent="0.3">
      <c r="G186" s="34">
        <v>46017</v>
      </c>
      <c r="H186">
        <v>16596</v>
      </c>
      <c r="J186">
        <v>26042.3</v>
      </c>
    </row>
    <row r="187" spans="7:10" x14ac:dyDescent="0.3">
      <c r="G187" s="34">
        <v>46015</v>
      </c>
      <c r="H187">
        <v>16703</v>
      </c>
      <c r="J187">
        <v>26142.1</v>
      </c>
    </row>
    <row r="188" spans="7:10" x14ac:dyDescent="0.3">
      <c r="G188" s="34">
        <v>46014</v>
      </c>
      <c r="H188">
        <v>16585</v>
      </c>
      <c r="J188">
        <v>26177.15</v>
      </c>
    </row>
    <row r="189" spans="7:10" x14ac:dyDescent="0.3">
      <c r="G189" s="34">
        <v>46013</v>
      </c>
      <c r="H189">
        <v>16649</v>
      </c>
      <c r="J189">
        <v>26172.400000000001</v>
      </c>
    </row>
    <row r="190" spans="7:10" x14ac:dyDescent="0.3">
      <c r="G190" s="34">
        <v>46010</v>
      </c>
      <c r="H190">
        <v>16414</v>
      </c>
      <c r="J190">
        <v>25966.400000000001</v>
      </c>
    </row>
    <row r="191" spans="7:10" x14ac:dyDescent="0.3">
      <c r="G191" s="34">
        <v>46009</v>
      </c>
      <c r="H191">
        <v>16329</v>
      </c>
      <c r="J191">
        <v>25815.55</v>
      </c>
    </row>
    <row r="192" spans="7:10" x14ac:dyDescent="0.3">
      <c r="G192" s="34">
        <v>46008</v>
      </c>
      <c r="H192">
        <v>16398</v>
      </c>
      <c r="J192">
        <v>25818.55</v>
      </c>
    </row>
    <row r="193" spans="7:10" x14ac:dyDescent="0.3">
      <c r="G193" s="34">
        <v>46007</v>
      </c>
      <c r="H193">
        <v>16354</v>
      </c>
      <c r="J193">
        <v>25860.1</v>
      </c>
    </row>
    <row r="194" spans="7:10" x14ac:dyDescent="0.3">
      <c r="G194" s="34">
        <v>46006</v>
      </c>
      <c r="H194">
        <v>16415</v>
      </c>
      <c r="J194">
        <v>26027.3</v>
      </c>
    </row>
    <row r="195" spans="7:10" x14ac:dyDescent="0.3">
      <c r="G195" s="34">
        <v>46003</v>
      </c>
      <c r="H195">
        <v>16522</v>
      </c>
      <c r="J195">
        <v>26046.95</v>
      </c>
    </row>
    <row r="196" spans="7:10" x14ac:dyDescent="0.3">
      <c r="G196" s="34">
        <v>46002</v>
      </c>
      <c r="H196">
        <v>16248</v>
      </c>
      <c r="J196">
        <v>25898.55</v>
      </c>
    </row>
    <row r="197" spans="7:10" x14ac:dyDescent="0.3">
      <c r="G197" s="34">
        <v>46001</v>
      </c>
      <c r="H197">
        <v>16019</v>
      </c>
      <c r="J197">
        <v>25758</v>
      </c>
    </row>
    <row r="198" spans="7:10" x14ac:dyDescent="0.3">
      <c r="G198" s="34">
        <v>46000</v>
      </c>
      <c r="H198">
        <v>16020</v>
      </c>
      <c r="J198">
        <v>25839.65</v>
      </c>
    </row>
    <row r="199" spans="7:10" x14ac:dyDescent="0.3">
      <c r="G199" s="34">
        <v>45999</v>
      </c>
      <c r="H199">
        <v>16187</v>
      </c>
      <c r="J199">
        <v>25960.55</v>
      </c>
    </row>
    <row r="200" spans="7:10" x14ac:dyDescent="0.3">
      <c r="G200" s="34">
        <v>45996</v>
      </c>
      <c r="H200">
        <v>16282</v>
      </c>
      <c r="J200">
        <v>26186.45</v>
      </c>
    </row>
    <row r="201" spans="7:10" x14ac:dyDescent="0.3">
      <c r="G201" s="34">
        <v>45995</v>
      </c>
      <c r="H201">
        <v>15994</v>
      </c>
      <c r="J201">
        <v>26033.75</v>
      </c>
    </row>
    <row r="202" spans="7:10" x14ac:dyDescent="0.3">
      <c r="G202" s="34">
        <v>45994</v>
      </c>
      <c r="H202">
        <v>16082</v>
      </c>
      <c r="J202">
        <v>25986</v>
      </c>
    </row>
    <row r="203" spans="7:10" x14ac:dyDescent="0.3">
      <c r="G203" s="34">
        <v>45993</v>
      </c>
      <c r="H203">
        <v>16239</v>
      </c>
      <c r="J203">
        <v>26032.2</v>
      </c>
    </row>
    <row r="204" spans="7:10" x14ac:dyDescent="0.3">
      <c r="G204" s="34">
        <v>45992</v>
      </c>
      <c r="H204">
        <v>16097</v>
      </c>
      <c r="J204">
        <v>26175.75</v>
      </c>
    </row>
    <row r="205" spans="7:10" x14ac:dyDescent="0.3">
      <c r="G205" s="34">
        <v>45989</v>
      </c>
      <c r="H205">
        <v>15900</v>
      </c>
      <c r="J205">
        <v>26202.95</v>
      </c>
    </row>
    <row r="206" spans="7:10" x14ac:dyDescent="0.3">
      <c r="G206" s="34">
        <v>45988</v>
      </c>
      <c r="H206">
        <v>15903</v>
      </c>
      <c r="J206">
        <v>26215.55</v>
      </c>
    </row>
    <row r="207" spans="7:10" x14ac:dyDescent="0.3">
      <c r="G207" s="34">
        <v>45987</v>
      </c>
      <c r="H207">
        <v>16156</v>
      </c>
      <c r="J207">
        <v>26205.3</v>
      </c>
    </row>
    <row r="208" spans="7:10" x14ac:dyDescent="0.3">
      <c r="G208" s="34">
        <v>45986</v>
      </c>
      <c r="H208">
        <v>15889</v>
      </c>
      <c r="J208">
        <v>25884.799999999999</v>
      </c>
    </row>
    <row r="209" spans="7:10" x14ac:dyDescent="0.3">
      <c r="G209" s="34">
        <v>45985</v>
      </c>
      <c r="H209">
        <v>15958</v>
      </c>
      <c r="J209">
        <v>25959.5</v>
      </c>
    </row>
    <row r="210" spans="7:10" x14ac:dyDescent="0.3">
      <c r="G210" s="34">
        <v>45982</v>
      </c>
      <c r="H210">
        <v>15977</v>
      </c>
      <c r="J210">
        <v>26068.15</v>
      </c>
    </row>
    <row r="211" spans="7:10" x14ac:dyDescent="0.3">
      <c r="G211" s="34">
        <v>45981</v>
      </c>
      <c r="H211">
        <v>15801</v>
      </c>
      <c r="J211">
        <v>26192.15</v>
      </c>
    </row>
    <row r="212" spans="7:10" x14ac:dyDescent="0.3">
      <c r="G212" s="34">
        <v>45980</v>
      </c>
      <c r="H212">
        <v>15768</v>
      </c>
      <c r="J212">
        <v>26052.65</v>
      </c>
    </row>
    <row r="213" spans="7:10" x14ac:dyDescent="0.3">
      <c r="G213" s="34">
        <v>45979</v>
      </c>
      <c r="H213">
        <v>15930</v>
      </c>
      <c r="J213">
        <v>25910.05</v>
      </c>
    </row>
    <row r="214" spans="7:10" x14ac:dyDescent="0.3">
      <c r="G214" s="34">
        <v>45978</v>
      </c>
      <c r="H214">
        <v>15878</v>
      </c>
      <c r="J214">
        <v>26013.45</v>
      </c>
    </row>
    <row r="215" spans="7:10" x14ac:dyDescent="0.3">
      <c r="G215" s="34">
        <v>45975</v>
      </c>
      <c r="H215">
        <v>15684</v>
      </c>
      <c r="J215">
        <v>25910.05</v>
      </c>
    </row>
    <row r="216" spans="7:10" x14ac:dyDescent="0.3">
      <c r="G216" s="34">
        <v>45974</v>
      </c>
      <c r="H216">
        <v>15749</v>
      </c>
      <c r="J216">
        <v>25879.15</v>
      </c>
    </row>
    <row r="217" spans="7:10" x14ac:dyDescent="0.3">
      <c r="G217" s="34">
        <v>45973</v>
      </c>
      <c r="H217">
        <v>15696</v>
      </c>
      <c r="J217">
        <v>25875.8</v>
      </c>
    </row>
    <row r="218" spans="7:10" x14ac:dyDescent="0.3">
      <c r="G218" s="34">
        <v>45972</v>
      </c>
      <c r="H218">
        <v>15645</v>
      </c>
      <c r="J218">
        <v>25694.95</v>
      </c>
    </row>
    <row r="219" spans="7:10" x14ac:dyDescent="0.3">
      <c r="G219" s="34">
        <v>45971</v>
      </c>
      <c r="H219">
        <v>15583</v>
      </c>
      <c r="J219">
        <v>25574.35</v>
      </c>
    </row>
    <row r="220" spans="7:10" x14ac:dyDescent="0.3">
      <c r="G220" s="34">
        <v>45968</v>
      </c>
      <c r="H220">
        <v>15479</v>
      </c>
      <c r="J220">
        <v>25492.3</v>
      </c>
    </row>
    <row r="221" spans="7:10" x14ac:dyDescent="0.3">
      <c r="G221" s="34">
        <v>45967</v>
      </c>
      <c r="H221">
        <v>15452</v>
      </c>
      <c r="J221">
        <v>25509.7</v>
      </c>
    </row>
    <row r="222" spans="7:10" x14ac:dyDescent="0.3">
      <c r="G222" s="34">
        <v>45965</v>
      </c>
      <c r="H222">
        <v>15374</v>
      </c>
      <c r="J222">
        <v>25597.65</v>
      </c>
    </row>
    <row r="223" spans="7:10" x14ac:dyDescent="0.3">
      <c r="G223" s="34">
        <v>45964</v>
      </c>
      <c r="H223">
        <v>15651</v>
      </c>
      <c r="J223">
        <v>25763.35</v>
      </c>
    </row>
    <row r="224" spans="7:10" x14ac:dyDescent="0.3">
      <c r="G224" s="34">
        <v>45961</v>
      </c>
      <c r="H224">
        <v>16186</v>
      </c>
      <c r="J224">
        <v>25722.1</v>
      </c>
    </row>
    <row r="225" spans="7:10" x14ac:dyDescent="0.3">
      <c r="G225" s="34">
        <v>45960</v>
      </c>
      <c r="H225">
        <v>16206</v>
      </c>
      <c r="J225">
        <v>25877.85</v>
      </c>
    </row>
    <row r="226" spans="7:10" x14ac:dyDescent="0.3">
      <c r="G226" s="34">
        <v>45959</v>
      </c>
      <c r="H226">
        <v>16138</v>
      </c>
      <c r="J226">
        <v>26053.9</v>
      </c>
    </row>
    <row r="227" spans="7:10" x14ac:dyDescent="0.3">
      <c r="G227" s="34">
        <v>45958</v>
      </c>
      <c r="H227">
        <v>16311</v>
      </c>
      <c r="J227">
        <v>25936.2</v>
      </c>
    </row>
    <row r="228" spans="7:10" x14ac:dyDescent="0.3">
      <c r="G228" s="34">
        <v>45957</v>
      </c>
      <c r="H228">
        <v>16388</v>
      </c>
      <c r="J228">
        <v>25966.05</v>
      </c>
    </row>
    <row r="229" spans="7:10" x14ac:dyDescent="0.3">
      <c r="G229" s="34">
        <v>45954</v>
      </c>
      <c r="H229">
        <v>16274</v>
      </c>
      <c r="J229">
        <v>25795.15</v>
      </c>
    </row>
    <row r="230" spans="7:10" x14ac:dyDescent="0.3">
      <c r="G230" s="34">
        <v>45953</v>
      </c>
      <c r="H230">
        <v>16393</v>
      </c>
      <c r="J230">
        <v>25891.4</v>
      </c>
    </row>
    <row r="231" spans="7:10" x14ac:dyDescent="0.3">
      <c r="G231" s="34">
        <v>45951</v>
      </c>
      <c r="H231">
        <v>16396</v>
      </c>
      <c r="J231">
        <v>25868.6</v>
      </c>
    </row>
    <row r="232" spans="7:10" x14ac:dyDescent="0.3">
      <c r="G232" s="34">
        <v>45950</v>
      </c>
      <c r="H232">
        <v>16424</v>
      </c>
      <c r="J232">
        <v>25843.15</v>
      </c>
    </row>
    <row r="233" spans="7:10" x14ac:dyDescent="0.3">
      <c r="G233" s="34">
        <v>45947</v>
      </c>
      <c r="H233">
        <v>16401</v>
      </c>
      <c r="J233">
        <v>25709.85</v>
      </c>
    </row>
    <row r="234" spans="7:10" x14ac:dyDescent="0.3">
      <c r="G234" s="34">
        <v>45946</v>
      </c>
      <c r="H234">
        <v>16298</v>
      </c>
      <c r="J234">
        <v>25585.3</v>
      </c>
    </row>
    <row r="235" spans="7:10" x14ac:dyDescent="0.3">
      <c r="G235" s="34">
        <v>45945</v>
      </c>
      <c r="H235">
        <v>16212</v>
      </c>
      <c r="J235">
        <v>25323.55</v>
      </c>
    </row>
    <row r="236" spans="7:10" x14ac:dyDescent="0.3">
      <c r="G236" s="34">
        <v>45944</v>
      </c>
      <c r="H236">
        <v>16261</v>
      </c>
      <c r="J236">
        <v>25145.5</v>
      </c>
    </row>
    <row r="237" spans="7:10" x14ac:dyDescent="0.3">
      <c r="G237" s="34">
        <v>45943</v>
      </c>
      <c r="H237">
        <v>16323</v>
      </c>
      <c r="J237">
        <v>25227.35</v>
      </c>
    </row>
    <row r="238" spans="7:10" x14ac:dyDescent="0.3">
      <c r="G238" s="34">
        <v>45940</v>
      </c>
      <c r="H238">
        <v>16265</v>
      </c>
      <c r="J238">
        <v>25285.35</v>
      </c>
    </row>
    <row r="239" spans="7:10" x14ac:dyDescent="0.3">
      <c r="G239" s="34">
        <v>45939</v>
      </c>
      <c r="H239">
        <v>15985</v>
      </c>
      <c r="J239">
        <v>25181.8</v>
      </c>
    </row>
    <row r="240" spans="7:10" x14ac:dyDescent="0.3">
      <c r="G240" s="34">
        <v>45938</v>
      </c>
      <c r="H240">
        <v>16012</v>
      </c>
      <c r="J240">
        <v>25046.15</v>
      </c>
    </row>
    <row r="241" spans="7:10" x14ac:dyDescent="0.3">
      <c r="G241" s="34">
        <v>45937</v>
      </c>
      <c r="H241">
        <v>16108</v>
      </c>
      <c r="J241">
        <v>25108.3</v>
      </c>
    </row>
    <row r="242" spans="7:10" x14ac:dyDescent="0.3">
      <c r="G242" s="34">
        <v>45936</v>
      </c>
      <c r="H242">
        <v>15998</v>
      </c>
      <c r="J242">
        <v>25077.65</v>
      </c>
    </row>
    <row r="243" spans="7:10" x14ac:dyDescent="0.3">
      <c r="G243" s="34">
        <v>45933</v>
      </c>
      <c r="H243">
        <v>15806</v>
      </c>
      <c r="J243">
        <v>24894.25</v>
      </c>
    </row>
    <row r="244" spans="7:10" x14ac:dyDescent="0.3">
      <c r="G244" s="34">
        <v>45931</v>
      </c>
      <c r="H244">
        <v>15965</v>
      </c>
      <c r="J244">
        <v>24836.3</v>
      </c>
    </row>
    <row r="245" spans="7:10" x14ac:dyDescent="0.3">
      <c r="G245" s="34">
        <v>45930</v>
      </c>
      <c r="H245">
        <v>16029</v>
      </c>
      <c r="J245">
        <v>24611.1</v>
      </c>
    </row>
    <row r="246" spans="7:10" x14ac:dyDescent="0.3">
      <c r="G246" s="34">
        <v>45929</v>
      </c>
      <c r="H246">
        <v>15984</v>
      </c>
      <c r="J246">
        <v>24634.9</v>
      </c>
    </row>
    <row r="247" spans="7:10" x14ac:dyDescent="0.3">
      <c r="G247" s="34">
        <v>45926</v>
      </c>
      <c r="H247">
        <v>16286</v>
      </c>
      <c r="J247">
        <v>24654.7</v>
      </c>
    </row>
    <row r="248" spans="7:10" x14ac:dyDescent="0.3">
      <c r="G248" s="34">
        <v>45925</v>
      </c>
      <c r="H248">
        <v>16269</v>
      </c>
      <c r="J248">
        <v>24890.85</v>
      </c>
    </row>
    <row r="249" spans="7:10" x14ac:dyDescent="0.3">
      <c r="G249" s="171">
        <v>45924</v>
      </c>
      <c r="H249">
        <v>16249</v>
      </c>
      <c r="J249">
        <v>25056.9</v>
      </c>
    </row>
    <row r="250" spans="7:10" x14ac:dyDescent="0.3">
      <c r="G250" s="171">
        <v>45923</v>
      </c>
      <c r="H250">
        <v>16097</v>
      </c>
      <c r="J250">
        <v>25169.5</v>
      </c>
    </row>
    <row r="251" spans="7:10" x14ac:dyDescent="0.3">
      <c r="G251" s="171">
        <v>45922</v>
      </c>
      <c r="H251">
        <v>15816</v>
      </c>
      <c r="J251">
        <v>25202.35</v>
      </c>
    </row>
    <row r="252" spans="7:10" x14ac:dyDescent="0.3">
      <c r="G252" s="171">
        <v>45919</v>
      </c>
      <c r="H252">
        <v>15864</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c r="J10" s="32"/>
      <c r="K10" s="32" t="s">
        <v>330</v>
      </c>
      <c r="L10" s="32" t="s">
        <v>94</v>
      </c>
      <c r="M10" s="32" t="s">
        <v>331</v>
      </c>
      <c r="N10" s="32"/>
      <c r="O10" s="85" t="s">
        <v>327</v>
      </c>
      <c r="P10" s="85" t="s">
        <v>328</v>
      </c>
      <c r="Q10" s="32" t="s">
        <v>329</v>
      </c>
    </row>
    <row r="11" spans="1:17" ht="4.8" customHeight="1" x14ac:dyDescent="0.3"/>
    <row r="12" spans="1:17" x14ac:dyDescent="0.3">
      <c r="B12" s="150" t="str">
        <f>'Raw FS'!L57</f>
        <v>Maruti Suzuki</v>
      </c>
      <c r="C12" s="150"/>
      <c r="D12" s="155">
        <f>'Raw FS'!M57</f>
        <v>12103</v>
      </c>
      <c r="E12" s="155">
        <f>'Raw FS'!N57</f>
        <v>31.44</v>
      </c>
      <c r="F12" s="155">
        <f>D12*E12</f>
        <v>380518.32</v>
      </c>
      <c r="G12" s="155">
        <f>'Raw FS'!AS56</f>
        <v>-1478</v>
      </c>
      <c r="H12" s="155">
        <f>'Raw FS'!AT56</f>
        <v>379043.44</v>
      </c>
      <c r="I12" s="150"/>
      <c r="J12" s="150"/>
      <c r="K12" s="155">
        <f>'Raw FS'!AU56</f>
        <v>209879.2</v>
      </c>
      <c r="L12" s="155">
        <f>'Raw FS'!AV56</f>
        <v>20087.09273979862</v>
      </c>
      <c r="M12" s="155">
        <f>'Raw FS'!AW56</f>
        <v>13787.6</v>
      </c>
      <c r="N12" s="150"/>
      <c r="O12" s="151">
        <f>$H12/K12</f>
        <v>1.8060076463032066</v>
      </c>
      <c r="P12" s="151">
        <f>$H12/L12</f>
        <v>18.87</v>
      </c>
      <c r="Q12" s="151">
        <f>F12/M12</f>
        <v>27.598590037424934</v>
      </c>
    </row>
    <row r="13" spans="1:17" x14ac:dyDescent="0.3">
      <c r="B13" s="150" t="str">
        <f>'Raw FS'!L58</f>
        <v>M &amp; M</v>
      </c>
      <c r="C13" s="150"/>
      <c r="D13" s="155">
        <f>'Raw FS'!M58</f>
        <v>3052</v>
      </c>
      <c r="E13" s="155">
        <f>'Raw FS'!N58</f>
        <v>124.35</v>
      </c>
      <c r="F13" s="155">
        <f t="shared" ref="F13:F21" si="0">D13*E13</f>
        <v>379516.2</v>
      </c>
      <c r="G13" s="155">
        <f>'Raw FS'!AS57</f>
        <v>75905</v>
      </c>
      <c r="H13" s="155">
        <f>'Raw FS'!AT57</f>
        <v>455430</v>
      </c>
      <c r="I13" s="150"/>
      <c r="J13" s="150"/>
      <c r="K13" s="155">
        <f>'Raw FS'!AU57</f>
        <v>232750.28</v>
      </c>
      <c r="L13" s="155">
        <f>'Raw FS'!AV57</f>
        <v>30160.927152317883</v>
      </c>
      <c r="M13" s="155">
        <f>'Raw FS'!AW57</f>
        <v>23990.240000000002</v>
      </c>
      <c r="N13" s="150"/>
      <c r="O13" s="151">
        <f t="shared" ref="O13:O20" si="1">$H13/K13</f>
        <v>1.9567323399138339</v>
      </c>
      <c r="P13" s="151">
        <f t="shared" ref="P13:P20" si="2">$H13/L13</f>
        <v>15.1</v>
      </c>
      <c r="Q13" s="151">
        <f t="shared" ref="Q13:Q21" si="3">F13/M13</f>
        <v>15.819608307378333</v>
      </c>
    </row>
    <row r="14" spans="1:17" x14ac:dyDescent="0.3">
      <c r="B14" s="150" t="str">
        <f>'Raw FS'!L59</f>
        <v>Bajaj Auto</v>
      </c>
      <c r="C14" s="150"/>
      <c r="D14" s="155">
        <f>'Raw FS'!M59</f>
        <v>11414</v>
      </c>
      <c r="E14" s="155">
        <f>'Raw FS'!N59</f>
        <v>27.48</v>
      </c>
      <c r="F14" s="155">
        <f t="shared" si="0"/>
        <v>313656.72000000003</v>
      </c>
      <c r="G14" s="155">
        <f>'Raw FS'!AS58</f>
        <v>62732.210000000006</v>
      </c>
      <c r="H14" s="155">
        <f>'Raw FS'!AT58</f>
        <v>376393.31</v>
      </c>
      <c r="I14" s="150"/>
      <c r="J14" s="150"/>
      <c r="K14" s="155">
        <f>'Raw FS'!AU58</f>
        <v>86755.32</v>
      </c>
      <c r="L14" s="155">
        <f>'Raw FS'!AV58</f>
        <v>13328.375</v>
      </c>
      <c r="M14" s="155">
        <f>'Raw FS'!AW58</f>
        <v>12755</v>
      </c>
      <c r="N14" s="150"/>
      <c r="O14" s="151">
        <f t="shared" si="1"/>
        <v>4.338561715869413</v>
      </c>
      <c r="P14" s="151">
        <f t="shared" si="2"/>
        <v>28.24</v>
      </c>
      <c r="Q14" s="151">
        <f t="shared" si="3"/>
        <v>24.590883575068602</v>
      </c>
    </row>
    <row r="15" spans="1:17" x14ac:dyDescent="0.3">
      <c r="B15" s="150" t="str">
        <f>'Raw FS'!L60</f>
        <v>Eicher Motors</v>
      </c>
      <c r="C15" s="150"/>
      <c r="D15" s="155">
        <f>'Raw FS'!M60</f>
        <v>7516</v>
      </c>
      <c r="E15" s="155">
        <f>'Raw FS'!N60</f>
        <v>27.45</v>
      </c>
      <c r="F15" s="155">
        <f t="shared" si="0"/>
        <v>206314.19999999998</v>
      </c>
      <c r="G15" s="155">
        <f>'Raw FS'!AS59</f>
        <v>41266.1</v>
      </c>
      <c r="H15" s="155">
        <f>'Raw FS'!AT59</f>
        <v>247596.62</v>
      </c>
      <c r="I15" s="150"/>
      <c r="J15" s="150"/>
      <c r="K15" s="155">
        <f>'Raw FS'!AU59</f>
        <v>26529.68</v>
      </c>
      <c r="L15" s="155">
        <f>'Raw FS'!AV59</f>
        <v>8109.9449721585324</v>
      </c>
      <c r="M15" s="155">
        <f>'Raw FS'!AW59</f>
        <v>5850.04</v>
      </c>
      <c r="N15" s="150"/>
      <c r="O15" s="151">
        <f t="shared" si="1"/>
        <v>9.3328159254088252</v>
      </c>
      <c r="P15" s="151">
        <f t="shared" si="2"/>
        <v>30.53</v>
      </c>
      <c r="Q15" s="151">
        <f t="shared" si="3"/>
        <v>35.267143472523259</v>
      </c>
    </row>
    <row r="16" spans="1:17" x14ac:dyDescent="0.3">
      <c r="B16" s="150" t="str">
        <f>'Raw FS'!L61</f>
        <v>TVS Motor Co.</v>
      </c>
      <c r="C16" s="150"/>
      <c r="D16" s="155">
        <f>'Raw FS'!M61</f>
        <v>4171.3</v>
      </c>
      <c r="E16" s="155">
        <f>'Raw FS'!N61</f>
        <v>47.51</v>
      </c>
      <c r="F16" s="155">
        <f t="shared" si="0"/>
        <v>198178.46299999999</v>
      </c>
      <c r="G16" s="155">
        <f>'Raw FS'!AS60</f>
        <v>39634.619999999995</v>
      </c>
      <c r="H16" s="155">
        <f>'Raw FS'!AT60</f>
        <v>237807.71</v>
      </c>
      <c r="I16" s="150"/>
      <c r="J16" s="150"/>
      <c r="K16" s="155">
        <f>'Raw FS'!AU60</f>
        <v>65182.080000000002</v>
      </c>
      <c r="L16" s="155">
        <f>'Raw FS'!AV60</f>
        <v>13690.714450201496</v>
      </c>
      <c r="M16" s="155">
        <f>'Raw FS'!AW60</f>
        <v>4230.4399999999996</v>
      </c>
      <c r="N16" s="150"/>
      <c r="O16" s="151">
        <f t="shared" si="1"/>
        <v>3.6483602548430487</v>
      </c>
      <c r="P16" s="151">
        <f t="shared" si="2"/>
        <v>17.37</v>
      </c>
      <c r="Q16" s="151">
        <f t="shared" si="3"/>
        <v>46.845827620767579</v>
      </c>
    </row>
    <row r="17" spans="2:17" x14ac:dyDescent="0.3">
      <c r="B17" s="150" t="str">
        <f>'Raw FS'!L62</f>
        <v>Hyundai Motor I</v>
      </c>
      <c r="C17" s="150"/>
      <c r="D17" s="155">
        <f>'Raw FS'!M62</f>
        <v>2208.8000000000002</v>
      </c>
      <c r="E17" s="155">
        <f>'Raw FS'!N62</f>
        <v>81.25</v>
      </c>
      <c r="F17" s="155">
        <f t="shared" si="0"/>
        <v>179465.00000000003</v>
      </c>
      <c r="G17" s="155">
        <f>'Raw FS'!AS61</f>
        <v>35894.819999999992</v>
      </c>
      <c r="H17" s="155">
        <f>'Raw FS'!AT61</f>
        <v>215368.89999999997</v>
      </c>
      <c r="I17" s="150"/>
      <c r="J17" s="150"/>
      <c r="K17" s="155">
        <f>'Raw FS'!AU61</f>
        <v>65338.52</v>
      </c>
      <c r="L17" s="155">
        <f>'Raw FS'!AV61</f>
        <v>5608.5651041666661</v>
      </c>
      <c r="M17" s="155">
        <f>'Raw FS'!AW61</f>
        <v>3554.48</v>
      </c>
      <c r="N17" s="150"/>
      <c r="O17" s="151">
        <f t="shared" si="1"/>
        <v>3.2962010770981647</v>
      </c>
      <c r="P17" s="151">
        <f t="shared" si="2"/>
        <v>38.4</v>
      </c>
      <c r="Q17" s="151">
        <f t="shared" si="3"/>
        <v>50.489804415835799</v>
      </c>
    </row>
    <row r="18" spans="2:17" x14ac:dyDescent="0.3">
      <c r="B18" s="150" t="str">
        <f>'Raw FS'!L63</f>
        <v>Samvardh. Mothe.</v>
      </c>
      <c r="C18" s="150"/>
      <c r="D18" s="155">
        <f>'Raw FS'!M63</f>
        <v>162.57</v>
      </c>
      <c r="E18" s="155">
        <f>'Raw FS'!N63</f>
        <v>1055.44</v>
      </c>
      <c r="F18" s="155">
        <f t="shared" si="0"/>
        <v>171582.88080000001</v>
      </c>
      <c r="G18" s="155">
        <f>'Raw FS'!AS62</f>
        <v>34316.71</v>
      </c>
      <c r="H18" s="155">
        <f>'Raw FS'!AT62</f>
        <v>205900.28</v>
      </c>
      <c r="I18" s="150"/>
      <c r="J18" s="150"/>
      <c r="K18" s="155">
        <f>'Raw FS'!AU62</f>
        <v>140975.07999999999</v>
      </c>
      <c r="L18" s="155">
        <f>'Raw FS'!AV62</f>
        <v>15331.368577810872</v>
      </c>
      <c r="M18" s="155">
        <f>'Raw FS'!AW62</f>
        <v>4302.6400000000003</v>
      </c>
      <c r="N18" s="150"/>
      <c r="O18" s="151">
        <f t="shared" si="1"/>
        <v>1.4605438067493917</v>
      </c>
      <c r="P18" s="151">
        <f t="shared" si="2"/>
        <v>13.43</v>
      </c>
      <c r="Q18" s="151">
        <f t="shared" si="3"/>
        <v>39.878511983340459</v>
      </c>
    </row>
    <row r="19" spans="2:17" x14ac:dyDescent="0.3">
      <c r="B19" s="150" t="str">
        <f>'Raw FS'!L64</f>
        <v>Bosch</v>
      </c>
      <c r="C19" s="150"/>
      <c r="D19" s="155">
        <f>'Raw FS'!M64</f>
        <v>47000</v>
      </c>
      <c r="E19" s="155">
        <f>'Raw FS'!N64</f>
        <v>2.95</v>
      </c>
      <c r="F19" s="155">
        <f t="shared" si="0"/>
        <v>138650</v>
      </c>
      <c r="G19" s="155">
        <f>'Raw FS'!AS63</f>
        <v>27726.339999999997</v>
      </c>
      <c r="H19" s="155">
        <f>'Raw FS'!AT63</f>
        <v>166358.01</v>
      </c>
      <c r="I19" s="150"/>
      <c r="J19" s="150"/>
      <c r="K19" s="155">
        <f>'Raw FS'!AU63</f>
        <v>23367.599999999999</v>
      </c>
      <c r="L19" s="155">
        <f>'Raw FS'!AV63</f>
        <v>7723.2130919220062</v>
      </c>
      <c r="M19" s="155">
        <f>'Raw FS'!AW63</f>
        <v>2824.4</v>
      </c>
      <c r="N19" s="150"/>
      <c r="O19" s="151">
        <f t="shared" si="1"/>
        <v>7.119173984491348</v>
      </c>
      <c r="P19" s="151">
        <f t="shared" si="2"/>
        <v>21.54</v>
      </c>
      <c r="Q19" s="151">
        <f t="shared" si="3"/>
        <v>49.090072227729785</v>
      </c>
    </row>
    <row r="20" spans="2:17" x14ac:dyDescent="0.3">
      <c r="B20" s="150" t="str">
        <f>'Raw FS'!L65</f>
        <v>Tata Motors PVeh</v>
      </c>
      <c r="C20" s="150"/>
      <c r="D20" s="155">
        <f>'Raw FS'!M65</f>
        <v>303.8</v>
      </c>
      <c r="E20" s="155">
        <f>'Raw FS'!N65</f>
        <v>368.29</v>
      </c>
      <c r="F20" s="155">
        <f t="shared" si="0"/>
        <v>111886.50200000001</v>
      </c>
      <c r="G20" s="155">
        <f>'Raw FS'!AS64</f>
        <v>22377.25</v>
      </c>
      <c r="H20" s="155">
        <f>'Raw FS'!AT64</f>
        <v>134263.5</v>
      </c>
      <c r="I20" s="150"/>
      <c r="J20" s="150"/>
      <c r="K20" s="155">
        <f>'Raw FS'!AU64</f>
        <v>383196</v>
      </c>
      <c r="L20" s="155">
        <f>'Raw FS'!AV64</f>
        <v>49180.769230769234</v>
      </c>
      <c r="M20" s="155">
        <f>'Raw FS'!AW64</f>
        <v>3436</v>
      </c>
      <c r="N20" s="150"/>
      <c r="O20" s="151">
        <f t="shared" si="1"/>
        <v>0.35037813547114272</v>
      </c>
      <c r="P20" s="151">
        <f t="shared" si="2"/>
        <v>2.73</v>
      </c>
      <c r="Q20" s="151">
        <f t="shared" si="3"/>
        <v>32.563009895227012</v>
      </c>
    </row>
    <row r="21" spans="2:17" x14ac:dyDescent="0.3">
      <c r="B21" s="150" t="str">
        <f>'Raw FS'!L66</f>
        <v>Hero Motocorp</v>
      </c>
      <c r="C21" s="150"/>
      <c r="D21" s="155">
        <f>'Raw FS'!M66</f>
        <v>5285.5</v>
      </c>
      <c r="E21" s="155">
        <f>'Raw FS'!N66</f>
        <v>20.010000000000002</v>
      </c>
      <c r="F21" s="155">
        <f t="shared" si="0"/>
        <v>105762.85500000001</v>
      </c>
      <c r="G21" s="155">
        <f>'Raw FS'!AS65</f>
        <v>21156.93</v>
      </c>
      <c r="H21" s="155">
        <f>'Raw FS'!AT65</f>
        <v>126941.56</v>
      </c>
      <c r="I21" s="150"/>
      <c r="J21" s="150"/>
      <c r="K21" s="155">
        <f>'Raw FS'!AU65</f>
        <v>52505.4</v>
      </c>
      <c r="L21" s="155">
        <f>'Raw FS'!AV65</f>
        <v>3604.2464508801818</v>
      </c>
      <c r="M21" s="155">
        <f>'Raw FS'!AW65</f>
        <v>5671.72</v>
      </c>
      <c r="N21" s="150"/>
      <c r="O21" s="151">
        <f>$H21/K21</f>
        <v>2.4176857999367685</v>
      </c>
      <c r="P21" s="151">
        <f>$H21/L21</f>
        <v>35.22</v>
      </c>
      <c r="Q21" s="151">
        <f t="shared" si="3"/>
        <v>18.647404138427145</v>
      </c>
    </row>
    <row r="22" spans="2:17" ht="6.6" customHeight="1" x14ac:dyDescent="0.3"/>
    <row r="23" spans="2:17" x14ac:dyDescent="0.3">
      <c r="B23" s="79" t="s">
        <v>337</v>
      </c>
      <c r="C23" s="79"/>
      <c r="D23" s="79"/>
      <c r="E23" s="79"/>
      <c r="F23" s="79"/>
      <c r="G23" s="79"/>
      <c r="H23" s="79"/>
      <c r="I23" s="79"/>
      <c r="J23" s="79"/>
      <c r="K23" s="79"/>
      <c r="L23" s="79"/>
      <c r="M23" s="79"/>
      <c r="N23" s="79"/>
      <c r="O23" s="86">
        <f>MAX(O13:O21)</f>
        <v>9.3328159254088252</v>
      </c>
      <c r="P23" s="86">
        <f>MAX(P13:P21)</f>
        <v>38.4</v>
      </c>
      <c r="Q23" s="86">
        <f>MAX(Q13:Q21)</f>
        <v>50.489804415835799</v>
      </c>
    </row>
    <row r="24" spans="2:17" x14ac:dyDescent="0.3">
      <c r="B24" s="79" t="s">
        <v>338</v>
      </c>
      <c r="C24" s="79"/>
      <c r="D24" s="79"/>
      <c r="E24" s="79"/>
      <c r="F24" s="79"/>
      <c r="G24" s="79"/>
      <c r="H24" s="79"/>
      <c r="I24" s="79"/>
      <c r="J24" s="79"/>
      <c r="K24" s="79"/>
      <c r="L24" s="79"/>
      <c r="M24" s="79"/>
      <c r="N24" s="79"/>
      <c r="O24" s="87">
        <f>QUARTILE(O13:O21,1)</f>
        <v>1.9567323399138339</v>
      </c>
      <c r="P24" s="87">
        <f>QUARTILE(P13:P21,1)</f>
        <v>15.1</v>
      </c>
      <c r="Q24" s="87">
        <f>QUARTILE(Q13:Q21,1)</f>
        <v>24.590883575068602</v>
      </c>
    </row>
    <row r="25" spans="2:17" x14ac:dyDescent="0.3">
      <c r="B25" s="152" t="s">
        <v>160</v>
      </c>
      <c r="C25" s="152"/>
      <c r="D25" s="152"/>
      <c r="E25" s="152"/>
      <c r="F25" s="152"/>
      <c r="G25" s="152"/>
      <c r="H25" s="152"/>
      <c r="I25" s="152"/>
      <c r="J25" s="152"/>
      <c r="K25" s="152"/>
      <c r="L25" s="152"/>
      <c r="M25" s="152"/>
      <c r="N25" s="152"/>
      <c r="O25" s="153">
        <f>MEDIAN(O13:O21)</f>
        <v>3.2962010770981647</v>
      </c>
      <c r="P25" s="153">
        <f>MEDIAN(P13:P21)</f>
        <v>21.54</v>
      </c>
      <c r="Q25" s="153">
        <f>MEDIAN(Q13:Q21)</f>
        <v>35.267143472523259</v>
      </c>
    </row>
    <row r="26" spans="2:17" x14ac:dyDescent="0.3">
      <c r="B26" s="152" t="s">
        <v>339</v>
      </c>
      <c r="C26" s="152"/>
      <c r="D26" s="152"/>
      <c r="E26" s="152"/>
      <c r="F26" s="152"/>
      <c r="G26" s="152"/>
      <c r="H26" s="152"/>
      <c r="I26" s="152"/>
      <c r="J26" s="152"/>
      <c r="K26" s="152"/>
      <c r="L26" s="152"/>
      <c r="M26" s="152"/>
      <c r="N26" s="152"/>
      <c r="O26" s="153">
        <f>AVERAGE(O13:O21)</f>
        <v>3.7689392266424369</v>
      </c>
      <c r="P26" s="153">
        <f>AVERAGE(P13:P21)</f>
        <v>22.506666666666668</v>
      </c>
      <c r="Q26" s="153">
        <f>AVERAGE(Q13:Q21)</f>
        <v>34.79914062625533</v>
      </c>
    </row>
    <row r="27" spans="2:17" x14ac:dyDescent="0.3">
      <c r="B27" s="79" t="s">
        <v>340</v>
      </c>
      <c r="C27" s="79"/>
      <c r="D27" s="79"/>
      <c r="E27" s="79"/>
      <c r="F27" s="79"/>
      <c r="G27" s="79"/>
      <c r="H27" s="79"/>
      <c r="I27" s="79"/>
      <c r="J27" s="79"/>
      <c r="K27" s="79"/>
      <c r="L27" s="79"/>
      <c r="M27" s="79"/>
      <c r="N27" s="79"/>
      <c r="O27" s="87">
        <f>QUARTILE(O13:O21,3)</f>
        <v>4.338561715869413</v>
      </c>
      <c r="P27" s="87">
        <f>QUARTILE(P13:P21,3)</f>
        <v>30.53</v>
      </c>
      <c r="Q27" s="87">
        <f>QUARTILE(Q13:Q21,3)</f>
        <v>46.845827620767579</v>
      </c>
    </row>
    <row r="28" spans="2:17" x14ac:dyDescent="0.3">
      <c r="B28" s="79" t="s">
        <v>8602</v>
      </c>
      <c r="C28" s="79"/>
      <c r="D28" s="79"/>
      <c r="E28" s="79"/>
      <c r="F28" s="79"/>
      <c r="G28" s="79"/>
      <c r="H28" s="79"/>
      <c r="I28" s="79"/>
      <c r="J28" s="79"/>
      <c r="K28" s="79"/>
      <c r="L28" s="79"/>
      <c r="M28" s="79"/>
      <c r="N28" s="79"/>
      <c r="O28" s="86">
        <f>MIN(O13:O21)</f>
        <v>0.35037813547114272</v>
      </c>
      <c r="P28" s="86">
        <f>MIN(P13:P21)</f>
        <v>2.73</v>
      </c>
      <c r="Q28" s="86">
        <f>MIN(Q13:Q21)</f>
        <v>15.819608307378333</v>
      </c>
    </row>
    <row r="30" spans="2:17" x14ac:dyDescent="0.3">
      <c r="B30" s="32" t="s">
        <v>8623</v>
      </c>
      <c r="C30" s="32"/>
      <c r="D30" s="32"/>
      <c r="E30" s="32"/>
      <c r="F30" s="32"/>
      <c r="G30" s="32"/>
      <c r="H30" s="32"/>
      <c r="I30" s="32"/>
      <c r="J30" s="32"/>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f>K12*O26</f>
        <v>791021.94973633334</v>
      </c>
      <c r="P32" s="155">
        <f>L12*P26</f>
        <v>452093.50059706764</v>
      </c>
      <c r="Q32" s="155">
        <f>M12*Q26</f>
        <v>479796.63129855797</v>
      </c>
    </row>
    <row r="33" spans="2:17" x14ac:dyDescent="0.3">
      <c r="B33" s="150" t="s">
        <v>343</v>
      </c>
      <c r="C33" s="150"/>
      <c r="D33" s="150"/>
      <c r="E33" s="150"/>
      <c r="F33" s="150"/>
      <c r="G33" s="150"/>
      <c r="H33" s="150"/>
      <c r="I33" s="150"/>
      <c r="J33" s="150"/>
      <c r="K33" s="150"/>
      <c r="L33" s="150"/>
      <c r="M33" s="150"/>
      <c r="N33" s="150"/>
      <c r="O33" s="155">
        <f>$G$12</f>
        <v>-1478</v>
      </c>
      <c r="P33" s="155">
        <f>$G$12</f>
        <v>-1478</v>
      </c>
      <c r="Q33" s="155">
        <f>$G$12</f>
        <v>-1478</v>
      </c>
    </row>
    <row r="34" spans="2:17" x14ac:dyDescent="0.3">
      <c r="B34" s="150" t="s">
        <v>342</v>
      </c>
      <c r="C34" s="150"/>
      <c r="D34" s="150"/>
      <c r="E34" s="150"/>
      <c r="F34" s="150"/>
      <c r="G34" s="150"/>
      <c r="H34" s="150"/>
      <c r="I34" s="150"/>
      <c r="J34" s="150"/>
      <c r="K34" s="150"/>
      <c r="L34" s="150"/>
      <c r="M34" s="150"/>
      <c r="N34" s="150"/>
      <c r="O34" s="155">
        <f>O32-O33</f>
        <v>792499.94973633334</v>
      </c>
      <c r="P34" s="155">
        <f>P32-P33</f>
        <v>453571.50059706764</v>
      </c>
      <c r="Q34" s="155">
        <f>Q32</f>
        <v>479796.63129855797</v>
      </c>
    </row>
    <row r="35" spans="2:17" x14ac:dyDescent="0.3">
      <c r="B35" s="150" t="s">
        <v>324</v>
      </c>
      <c r="C35" s="150"/>
      <c r="D35" s="150"/>
      <c r="E35" s="150"/>
      <c r="F35" s="150"/>
      <c r="G35" s="150"/>
      <c r="H35" s="150"/>
      <c r="I35" s="150"/>
      <c r="J35" s="150"/>
      <c r="K35" s="150"/>
      <c r="L35" s="150"/>
      <c r="M35" s="150"/>
      <c r="N35" s="150"/>
      <c r="O35" s="155">
        <f>$E$12</f>
        <v>31.44</v>
      </c>
      <c r="P35" s="155">
        <f>$E$12</f>
        <v>31.44</v>
      </c>
      <c r="Q35" s="155">
        <f>$E$12</f>
        <v>31.44</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f>O34/O35</f>
        <v>25206.741403827396</v>
      </c>
      <c r="P37" s="157">
        <f>P34/P35</f>
        <v>14426.574446471617</v>
      </c>
      <c r="Q37" s="157">
        <f>Q34/Q35</f>
        <v>15260.707102371436</v>
      </c>
    </row>
    <row r="38" spans="2:17" x14ac:dyDescent="0.3">
      <c r="B38" s="52" t="s">
        <v>345</v>
      </c>
    </row>
    <row r="39" spans="2:17" x14ac:dyDescent="0.3">
      <c r="O39" t="str">
        <f>IF(O37&gt;$D$12,"Overvalued","Undervalued")</f>
        <v>Overvalued</v>
      </c>
      <c r="P39" t="str">
        <f>IF(P37&gt;$D$12,"Overvalued","Undervalued")</f>
        <v>Overvalued</v>
      </c>
      <c r="Q39" t="str">
        <f>IF(Q37&gt;$D$12,"Overvalued","Undervalued")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Maruti Suzuki India Ltd</v>
      </c>
      <c r="C2" s="93"/>
      <c r="D2" s="93"/>
      <c r="E2" s="93"/>
      <c r="F2" s="93"/>
      <c r="G2" s="93"/>
      <c r="H2" s="93"/>
      <c r="I2" s="93"/>
    </row>
    <row r="3" spans="1:9" x14ac:dyDescent="0.3">
      <c r="A3" s="93"/>
      <c r="B3" s="93" t="str">
        <f>CONCATENATE("(",VLOOKUP(B2,'List of Stocks'!B2:E5442,3,FALSE)," | ","BSE Code: ",VLOOKUP('Dupont Analysis'!B2,'List of Stocks'!B2:E5442,2,FALSE))</f>
        <v>(MARUTI | BSE Code: 532500</v>
      </c>
      <c r="C3" s="93"/>
      <c r="D3" s="93"/>
      <c r="E3" s="93"/>
      <c r="F3" s="93"/>
      <c r="H3" s="93"/>
      <c r="I3" s="93"/>
    </row>
    <row r="4" spans="1:9" ht="21" x14ac:dyDescent="0.4">
      <c r="A4" s="93"/>
      <c r="B4" s="98" t="str">
        <f>CONCATENATE(" ","INR "&amp;'Data Sheet'!B8)</f>
        <v xml:space="preserve"> INR 12103</v>
      </c>
      <c r="C4" s="93"/>
      <c r="D4" s="93"/>
      <c r="E4" s="93"/>
      <c r="F4" s="93"/>
      <c r="H4" s="93"/>
      <c r="I4" s="93"/>
    </row>
    <row r="5" spans="1:9" x14ac:dyDescent="0.3">
      <c r="B5" s="58" t="s">
        <v>8624</v>
      </c>
      <c r="C5" s="58"/>
      <c r="D5" s="58"/>
      <c r="E5" s="58"/>
      <c r="F5" s="58"/>
      <c r="G5" s="58"/>
      <c r="H5" s="58"/>
      <c r="I5" s="58"/>
    </row>
    <row r="6" spans="1:9" x14ac:dyDescent="0.3">
      <c r="B6" s="37" t="s">
        <v>8582</v>
      </c>
    </row>
    <row r="7" spans="1:9" ht="4.2" customHeight="1" x14ac:dyDescent="0.3">
      <c r="B7" s="37"/>
    </row>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8626</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8627</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8628</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8629</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8630</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8631</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8264</v>
      </c>
      <c r="F60" s="106">
        <f t="shared" ref="F60:I60" si="0">F66</f>
        <v>13488</v>
      </c>
      <c r="G60" s="106">
        <f t="shared" si="0"/>
        <v>14500</v>
      </c>
      <c r="H60" s="106">
        <f t="shared" si="0"/>
        <v>14680</v>
      </c>
      <c r="I60" s="106">
        <f t="shared" si="0"/>
        <v>14334</v>
      </c>
    </row>
    <row r="61" spans="2:9" x14ac:dyDescent="0.3">
      <c r="B61" t="s">
        <v>346</v>
      </c>
      <c r="E61" s="106">
        <f>E75</f>
        <v>53917</v>
      </c>
      <c r="F61" s="106">
        <f t="shared" ref="F61:I61" si="1">F75</f>
        <v>64966.5</v>
      </c>
      <c r="G61" s="106">
        <f t="shared" si="1"/>
        <v>80118</v>
      </c>
      <c r="H61" s="106">
        <f t="shared" si="1"/>
        <v>90938</v>
      </c>
      <c r="I61" s="106">
        <f t="shared" si="1"/>
        <v>101698</v>
      </c>
    </row>
    <row r="62" spans="2:9" x14ac:dyDescent="0.3">
      <c r="B62" s="89" t="s">
        <v>59</v>
      </c>
      <c r="C62" s="89"/>
      <c r="D62" s="89"/>
      <c r="E62" s="90">
        <f>E60/E61</f>
        <v>0.15327262273494446</v>
      </c>
      <c r="F62" s="90">
        <f t="shared" ref="F62:I62" si="2">F60/F61</f>
        <v>0.20761469372676689</v>
      </c>
      <c r="G62" s="90">
        <f t="shared" si="2"/>
        <v>0.18098305000124815</v>
      </c>
      <c r="H62" s="90">
        <f t="shared" si="2"/>
        <v>0.16142866568431238</v>
      </c>
      <c r="I62" s="90">
        <f t="shared" si="2"/>
        <v>0.14094672461601998</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8264</v>
      </c>
      <c r="F66" s="106">
        <f>'Data Sheet'!H30</f>
        <v>13488</v>
      </c>
      <c r="G66" s="106">
        <f>'Data Sheet'!I30</f>
        <v>14500</v>
      </c>
      <c r="H66" s="106">
        <f>'Data Sheet'!J30</f>
        <v>14680</v>
      </c>
      <c r="I66" s="106">
        <f>'Data Sheet'!K30</f>
        <v>14334</v>
      </c>
    </row>
    <row r="67" spans="2:9" x14ac:dyDescent="0.3">
      <c r="B67" t="s">
        <v>330</v>
      </c>
      <c r="E67" s="106">
        <f>'Data Sheet'!G17</f>
        <v>118410</v>
      </c>
      <c r="F67" s="106">
        <f>'Data Sheet'!H17</f>
        <v>141858</v>
      </c>
      <c r="G67" s="106">
        <f>'Data Sheet'!I17</f>
        <v>152913</v>
      </c>
      <c r="H67" s="106">
        <f>'Data Sheet'!J17</f>
        <v>183316</v>
      </c>
      <c r="I67" s="106">
        <f>'Data Sheet'!K17</f>
        <v>197181</v>
      </c>
    </row>
    <row r="68" spans="2:9" x14ac:dyDescent="0.3">
      <c r="B68" s="89" t="s">
        <v>348</v>
      </c>
      <c r="C68" s="89"/>
      <c r="D68" s="89"/>
      <c r="E68" s="90">
        <f>E66/E67</f>
        <v>6.9791402753145854E-2</v>
      </c>
      <c r="F68" s="90">
        <f t="shared" ref="F68:I68" si="3">F66/F67</f>
        <v>9.5080996489447192E-2</v>
      </c>
      <c r="G68" s="90">
        <f t="shared" si="3"/>
        <v>9.4825162020233722E-2</v>
      </c>
      <c r="H68" s="90">
        <f t="shared" si="3"/>
        <v>8.0080298500949179E-2</v>
      </c>
      <c r="I68" s="90">
        <f t="shared" si="3"/>
        <v>7.2694630821428033E-2</v>
      </c>
    </row>
    <row r="70" spans="2:9" x14ac:dyDescent="0.3">
      <c r="B70" t="s">
        <v>330</v>
      </c>
      <c r="E70" s="106">
        <f>E67</f>
        <v>118410</v>
      </c>
      <c r="F70" s="106">
        <f t="shared" ref="F70:I70" si="4">F67</f>
        <v>141858</v>
      </c>
      <c r="G70" s="106">
        <f t="shared" si="4"/>
        <v>152913</v>
      </c>
      <c r="H70" s="106">
        <f t="shared" si="4"/>
        <v>183316</v>
      </c>
      <c r="I70" s="106">
        <f t="shared" si="4"/>
        <v>197181</v>
      </c>
    </row>
    <row r="71" spans="2:9" x14ac:dyDescent="0.3">
      <c r="B71" t="s">
        <v>349</v>
      </c>
      <c r="E71" s="106">
        <f>SUM('Data Sheet'!F66:G66)/2</f>
        <v>73016</v>
      </c>
      <c r="F71" s="106">
        <f>SUM('Data Sheet'!G66:H66)/2</f>
        <v>87381</v>
      </c>
      <c r="G71" s="106">
        <f>SUM('Data Sheet'!H66:I66)/2</f>
        <v>107705</v>
      </c>
      <c r="H71" s="106">
        <f>SUM('Data Sheet'!I66:J66)/2</f>
        <v>123160</v>
      </c>
      <c r="I71" s="106">
        <f>SUM('Data Sheet'!J66:K66)/2</f>
        <v>139948</v>
      </c>
    </row>
    <row r="72" spans="2:9" x14ac:dyDescent="0.3">
      <c r="B72" s="89" t="s">
        <v>350</v>
      </c>
      <c r="C72" s="89"/>
      <c r="D72" s="89"/>
      <c r="E72" s="154">
        <f>E70/E71</f>
        <v>1.6216993535663415</v>
      </c>
      <c r="F72" s="154">
        <f t="shared" ref="F72:I72" si="5">F70/F71</f>
        <v>1.6234421670614894</v>
      </c>
      <c r="G72" s="154">
        <f t="shared" si="5"/>
        <v>1.4197391021772434</v>
      </c>
      <c r="H72" s="154">
        <f t="shared" si="5"/>
        <v>1.4884378044819746</v>
      </c>
      <c r="I72" s="154">
        <f t="shared" si="5"/>
        <v>1.4089590419298597</v>
      </c>
    </row>
    <row r="74" spans="2:9" x14ac:dyDescent="0.3">
      <c r="B74" t="s">
        <v>349</v>
      </c>
      <c r="E74" s="106">
        <f>E71</f>
        <v>73016</v>
      </c>
      <c r="F74" s="106">
        <f t="shared" ref="F74:I74" si="6">F71</f>
        <v>87381</v>
      </c>
      <c r="G74" s="106">
        <f t="shared" si="6"/>
        <v>107705</v>
      </c>
      <c r="H74" s="106">
        <f t="shared" si="6"/>
        <v>123160</v>
      </c>
      <c r="I74" s="106">
        <f t="shared" si="6"/>
        <v>139948</v>
      </c>
    </row>
    <row r="75" spans="2:9" x14ac:dyDescent="0.3">
      <c r="B75" t="s">
        <v>346</v>
      </c>
      <c r="E75" s="106">
        <f>(SUM('Data Sheet'!F57:F58)+SUM('Data Sheet'!G57:G58))/2</f>
        <v>53917</v>
      </c>
      <c r="F75" s="106">
        <f>(SUM('Data Sheet'!G57:G58)+SUM('Data Sheet'!H57:H58))/2</f>
        <v>64966.5</v>
      </c>
      <c r="G75" s="106">
        <f>(SUM('Data Sheet'!H57:H58)+SUM('Data Sheet'!I57:I58))/2</f>
        <v>80118</v>
      </c>
      <c r="H75" s="106">
        <f>(SUM('Data Sheet'!I57:I58)+SUM('Data Sheet'!J57:J58))/2</f>
        <v>90938</v>
      </c>
      <c r="I75" s="106">
        <f>(SUM('Data Sheet'!J57:J58)+SUM('Data Sheet'!K57:K58))/2</f>
        <v>101698</v>
      </c>
    </row>
    <row r="76" spans="2:9" x14ac:dyDescent="0.3">
      <c r="B76" s="89" t="s">
        <v>351</v>
      </c>
      <c r="C76" s="89"/>
      <c r="D76" s="89"/>
      <c r="E76" s="100">
        <f>E74/E75</f>
        <v>1.3542296492757386</v>
      </c>
      <c r="F76" s="100">
        <f t="shared" ref="F76:I76" si="7">F74/F75</f>
        <v>1.3450162776200041</v>
      </c>
      <c r="G76" s="100">
        <f t="shared" si="7"/>
        <v>1.3443296138196161</v>
      </c>
      <c r="H76" s="100">
        <f t="shared" si="7"/>
        <v>1.3543293232751985</v>
      </c>
      <c r="I76" s="100">
        <f t="shared" si="7"/>
        <v>1.3761135912210662</v>
      </c>
    </row>
    <row r="78" spans="2:9" x14ac:dyDescent="0.3">
      <c r="B78" s="89" t="s">
        <v>352</v>
      </c>
      <c r="C78" s="89"/>
      <c r="D78" s="89"/>
      <c r="E78" s="90">
        <f>E68*E72*E76</f>
        <v>0.15327262273494446</v>
      </c>
      <c r="F78" s="90">
        <f t="shared" ref="F78:I78" si="8">F68*F72*F76</f>
        <v>0.20761469372676686</v>
      </c>
      <c r="G78" s="90">
        <f t="shared" si="8"/>
        <v>0.18098305000124815</v>
      </c>
      <c r="H78" s="90">
        <f t="shared" si="8"/>
        <v>0.16142866568431238</v>
      </c>
      <c r="I78" s="90">
        <f t="shared" si="8"/>
        <v>0.14094672461601998</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8264</v>
      </c>
      <c r="F82" s="106">
        <f t="shared" ref="F82:I82" si="9">F66</f>
        <v>13488</v>
      </c>
      <c r="G82" s="106">
        <f t="shared" si="9"/>
        <v>14500</v>
      </c>
      <c r="H82" s="106">
        <f t="shared" si="9"/>
        <v>14680</v>
      </c>
      <c r="I82" s="106">
        <f t="shared" si="9"/>
        <v>14334</v>
      </c>
    </row>
    <row r="83" spans="2:9" x14ac:dyDescent="0.3">
      <c r="B83" t="s">
        <v>349</v>
      </c>
      <c r="E83" s="106">
        <f>E74</f>
        <v>73016</v>
      </c>
      <c r="F83" s="106">
        <f t="shared" ref="F83:I83" si="10">F74</f>
        <v>87381</v>
      </c>
      <c r="G83" s="106">
        <f t="shared" si="10"/>
        <v>107705</v>
      </c>
      <c r="H83" s="106">
        <f t="shared" si="10"/>
        <v>123160</v>
      </c>
      <c r="I83" s="106">
        <f t="shared" si="10"/>
        <v>139948</v>
      </c>
    </row>
    <row r="84" spans="2:9" x14ac:dyDescent="0.3">
      <c r="B84" s="89" t="s">
        <v>353</v>
      </c>
      <c r="C84" s="89"/>
      <c r="D84" s="89"/>
      <c r="E84" s="90">
        <f>E82/E83</f>
        <v>0.11318067272926483</v>
      </c>
      <c r="F84" s="90">
        <f t="shared" ref="F84:I84" si="11">F82/F83</f>
        <v>0.154358498987194</v>
      </c>
      <c r="G84" s="90">
        <f t="shared" si="11"/>
        <v>0.13462699039041828</v>
      </c>
      <c r="H84" s="90">
        <f t="shared" si="11"/>
        <v>0.11919454368301396</v>
      </c>
      <c r="I84" s="90">
        <f t="shared" si="11"/>
        <v>0.10242375739560408</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8264</v>
      </c>
      <c r="F88" s="106">
        <f t="shared" ref="F88:I88" si="12">F66</f>
        <v>13488</v>
      </c>
      <c r="G88" s="106">
        <f t="shared" si="12"/>
        <v>14500</v>
      </c>
      <c r="H88" s="106">
        <f t="shared" si="12"/>
        <v>14680</v>
      </c>
      <c r="I88" s="106">
        <f t="shared" si="12"/>
        <v>14334</v>
      </c>
    </row>
    <row r="89" spans="2:9" x14ac:dyDescent="0.3">
      <c r="B89" t="s">
        <v>330</v>
      </c>
      <c r="E89" s="106">
        <f>E67</f>
        <v>118410</v>
      </c>
      <c r="F89" s="106">
        <f t="shared" ref="F89:I89" si="13">F67</f>
        <v>141858</v>
      </c>
      <c r="G89" s="106">
        <f t="shared" si="13"/>
        <v>152913</v>
      </c>
      <c r="H89" s="106">
        <f t="shared" si="13"/>
        <v>183316</v>
      </c>
      <c r="I89" s="106">
        <f t="shared" si="13"/>
        <v>197181</v>
      </c>
    </row>
    <row r="90" spans="2:9" x14ac:dyDescent="0.3">
      <c r="B90" s="89" t="s">
        <v>348</v>
      </c>
      <c r="C90" s="89"/>
      <c r="D90" s="89"/>
      <c r="E90" s="91">
        <f>E68</f>
        <v>6.9791402753145854E-2</v>
      </c>
      <c r="F90" s="91">
        <f t="shared" ref="F90:I90" si="14">F68</f>
        <v>9.5080996489447192E-2</v>
      </c>
      <c r="G90" s="91">
        <f t="shared" si="14"/>
        <v>9.4825162020233722E-2</v>
      </c>
      <c r="H90" s="91">
        <f t="shared" si="14"/>
        <v>8.0080298500949179E-2</v>
      </c>
      <c r="I90" s="91">
        <f t="shared" si="14"/>
        <v>7.2694630821428033E-2</v>
      </c>
    </row>
    <row r="92" spans="2:9" x14ac:dyDescent="0.3">
      <c r="B92" t="s">
        <v>330</v>
      </c>
      <c r="E92" s="106">
        <f>E67</f>
        <v>118410</v>
      </c>
      <c r="F92" s="106">
        <f t="shared" ref="F92:I92" si="15">F67</f>
        <v>141858</v>
      </c>
      <c r="G92" s="106">
        <f t="shared" si="15"/>
        <v>152913</v>
      </c>
      <c r="H92" s="106">
        <f t="shared" si="15"/>
        <v>183316</v>
      </c>
      <c r="I92" s="106">
        <f t="shared" si="15"/>
        <v>197181</v>
      </c>
    </row>
    <row r="93" spans="2:9" x14ac:dyDescent="0.3">
      <c r="B93" t="s">
        <v>349</v>
      </c>
      <c r="E93" s="106">
        <f>E71</f>
        <v>73016</v>
      </c>
      <c r="F93" s="106">
        <f t="shared" ref="F93:I93" si="16">F71</f>
        <v>87381</v>
      </c>
      <c r="G93" s="106">
        <f t="shared" si="16"/>
        <v>107705</v>
      </c>
      <c r="H93" s="106">
        <f t="shared" si="16"/>
        <v>123160</v>
      </c>
      <c r="I93" s="106">
        <f t="shared" si="16"/>
        <v>139948</v>
      </c>
    </row>
    <row r="94" spans="2:9" x14ac:dyDescent="0.3">
      <c r="B94" s="89" t="s">
        <v>350</v>
      </c>
      <c r="C94" s="89"/>
      <c r="D94" s="89"/>
      <c r="E94" s="90">
        <f>E72</f>
        <v>1.6216993535663415</v>
      </c>
      <c r="F94" s="90">
        <f t="shared" ref="F94:I94" si="17">F72</f>
        <v>1.6234421670614894</v>
      </c>
      <c r="G94" s="90">
        <f t="shared" si="17"/>
        <v>1.4197391021772434</v>
      </c>
      <c r="H94" s="90">
        <f t="shared" si="17"/>
        <v>1.4884378044819746</v>
      </c>
      <c r="I94" s="90">
        <f t="shared" si="17"/>
        <v>1.4089590419298597</v>
      </c>
    </row>
    <row r="96" spans="2:9" x14ac:dyDescent="0.3">
      <c r="B96" s="89" t="s">
        <v>355</v>
      </c>
      <c r="C96" s="89"/>
      <c r="D96" s="89"/>
      <c r="E96" s="90">
        <f>E90*E94</f>
        <v>0.11318067272926483</v>
      </c>
      <c r="F96" s="90">
        <f t="shared" ref="F96:I96" si="18">F90*F94</f>
        <v>0.154358498987194</v>
      </c>
      <c r="G96" s="90">
        <f t="shared" si="18"/>
        <v>0.13462699039041826</v>
      </c>
      <c r="H96" s="90">
        <f t="shared" si="18"/>
        <v>0.11919454368301396</v>
      </c>
      <c r="I96" s="90">
        <f t="shared" si="18"/>
        <v>0.10242375739560408</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Maruti Suzuki India Ltd</v>
      </c>
      <c r="C2" s="93"/>
      <c r="D2" s="93"/>
      <c r="E2" s="93"/>
      <c r="F2" s="93"/>
      <c r="G2" s="93"/>
      <c r="H2" s="93"/>
      <c r="I2" s="93"/>
    </row>
    <row r="3" spans="1:9" x14ac:dyDescent="0.3">
      <c r="A3" s="93"/>
      <c r="B3" s="93" t="str">
        <f>CONCATENATE("(",VLOOKUP(B2,'List of Stocks'!B2:E5442,3,FALSE)," | ","BSE Code: ",VLOOKUP('Altman''s Z Score'!B2,'List of Stocks'!B2:E5442,2,FALSE))</f>
        <v>(MARUTI | BSE Code: 532500</v>
      </c>
      <c r="C3" s="93"/>
      <c r="D3" s="93"/>
      <c r="E3" s="93"/>
      <c r="F3" s="93"/>
      <c r="G3" s="93"/>
      <c r="H3" s="93"/>
      <c r="I3" s="93"/>
    </row>
    <row r="4" spans="1:9" ht="21" x14ac:dyDescent="0.4">
      <c r="A4" s="93"/>
      <c r="B4" s="98" t="str">
        <f>CONCATENATE(" ","INR "&amp;'Data Sheet'!B8)</f>
        <v xml:space="preserve"> INR 12103</v>
      </c>
      <c r="C4" s="93"/>
      <c r="D4" s="93"/>
      <c r="E4" s="93"/>
      <c r="F4" s="93"/>
      <c r="H4" s="93"/>
      <c r="I4" s="93"/>
    </row>
    <row r="5" spans="1:9" x14ac:dyDescent="0.3">
      <c r="B5" s="58" t="s">
        <v>8624</v>
      </c>
      <c r="C5" s="58"/>
      <c r="D5" s="58"/>
      <c r="E5" s="58"/>
      <c r="F5" s="58"/>
      <c r="G5" s="58"/>
      <c r="H5" s="58"/>
      <c r="I5" s="58"/>
    </row>
    <row r="6" spans="1:9" x14ac:dyDescent="0.3">
      <c r="B6" s="37" t="s">
        <v>8582</v>
      </c>
    </row>
    <row r="7" spans="1:9" ht="6.6" customHeight="1" x14ac:dyDescent="0.3"/>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8626</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8627</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8628</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8629</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8630</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8631</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-2959</v>
      </c>
      <c r="F59" s="106">
        <f>'Data Sheet'!H65-'Data Sheet'!H60</f>
        <v>-5421</v>
      </c>
      <c r="G59" s="106">
        <f>'Data Sheet'!I65-'Data Sheet'!I60</f>
        <v>-7142</v>
      </c>
      <c r="H59" s="106">
        <f>'Data Sheet'!J65-'Data Sheet'!J60</f>
        <v>-10850</v>
      </c>
      <c r="I59" s="106">
        <f>'Data Sheet'!K65-'Data Sheet'!K60</f>
        <v>-13942</v>
      </c>
    </row>
    <row r="60" spans="2:9" x14ac:dyDescent="0.3">
      <c r="B60" t="s">
        <v>96</v>
      </c>
      <c r="E60" s="106">
        <f>'Data Sheet'!G66</f>
        <v>74656</v>
      </c>
      <c r="F60" s="106">
        <f>'Data Sheet'!H66</f>
        <v>100106</v>
      </c>
      <c r="G60" s="106">
        <f>'Data Sheet'!I66</f>
        <v>115304</v>
      </c>
      <c r="H60" s="106">
        <f>'Data Sheet'!J66</f>
        <v>131016</v>
      </c>
      <c r="I60" s="106">
        <f>'Data Sheet'!K66</f>
        <v>148880</v>
      </c>
    </row>
    <row r="61" spans="2:9" x14ac:dyDescent="0.3">
      <c r="B61" s="89" t="s">
        <v>8588</v>
      </c>
      <c r="C61" s="89"/>
      <c r="D61" s="89"/>
      <c r="E61" s="90">
        <f>E59/E60</f>
        <v>-3.9635126446635235E-2</v>
      </c>
      <c r="F61" s="90">
        <f t="shared" ref="F61:I61" si="0">F59/F60</f>
        <v>-5.4152598245859392E-2</v>
      </c>
      <c r="G61" s="90">
        <f t="shared" si="0"/>
        <v>-6.1940609172275028E-2</v>
      </c>
      <c r="H61" s="90">
        <f t="shared" si="0"/>
        <v>-8.2814312755693967E-2</v>
      </c>
      <c r="I61" s="90">
        <f t="shared" si="0"/>
        <v>-9.3645889306824284E-2</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55182</v>
      </c>
      <c r="F65" s="106">
        <f>'Data Sheet'!H58</f>
        <v>74443</v>
      </c>
      <c r="G65" s="106">
        <f>'Data Sheet'!I58</f>
        <v>85479</v>
      </c>
      <c r="H65" s="106">
        <f>'Data Sheet'!J58</f>
        <v>96083</v>
      </c>
      <c r="I65" s="106">
        <f>'Data Sheet'!K58</f>
        <v>106999</v>
      </c>
    </row>
    <row r="66" spans="2:9" x14ac:dyDescent="0.3">
      <c r="B66" t="s">
        <v>96</v>
      </c>
      <c r="E66" s="106">
        <f>E60</f>
        <v>74656</v>
      </c>
      <c r="F66" s="106">
        <f t="shared" ref="F66:I66" si="1">F60</f>
        <v>100106</v>
      </c>
      <c r="G66" s="106">
        <f t="shared" si="1"/>
        <v>115304</v>
      </c>
      <c r="H66" s="106">
        <f t="shared" si="1"/>
        <v>131016</v>
      </c>
      <c r="I66" s="106">
        <f t="shared" si="1"/>
        <v>148880</v>
      </c>
    </row>
    <row r="67" spans="2:9" x14ac:dyDescent="0.3">
      <c r="B67" s="89" t="s">
        <v>8589</v>
      </c>
      <c r="C67" s="89"/>
      <c r="D67" s="89"/>
      <c r="E67" s="90">
        <f>E65/E66</f>
        <v>0.73915023574796401</v>
      </c>
      <c r="F67" s="90">
        <f t="shared" ref="F67:I67" si="2">F65/F66</f>
        <v>0.74364173975585879</v>
      </c>
      <c r="G67" s="90">
        <f t="shared" si="2"/>
        <v>0.74133594671477143</v>
      </c>
      <c r="H67" s="90">
        <f t="shared" si="2"/>
        <v>0.73336844354887953</v>
      </c>
      <c r="I67" s="90">
        <f t="shared" si="2"/>
        <v>0.71869290703922617</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4824</v>
      </c>
      <c r="F71" s="106">
        <f>'Intrinsic Valuation'!I47</f>
        <v>10690</v>
      </c>
      <c r="G71" s="106">
        <f>'Intrinsic Valuation'!J47</f>
        <v>17618</v>
      </c>
      <c r="H71" s="106">
        <f>'Intrinsic Valuation'!K47</f>
        <v>19814</v>
      </c>
      <c r="I71" s="106">
        <f>'Intrinsic Valuation'!L47</f>
        <v>19357</v>
      </c>
    </row>
    <row r="72" spans="2:9" x14ac:dyDescent="0.3">
      <c r="B72" t="s">
        <v>96</v>
      </c>
      <c r="E72" s="106">
        <f>E66</f>
        <v>74656</v>
      </c>
      <c r="F72" s="106">
        <f t="shared" ref="F72:I72" si="3">F66</f>
        <v>100106</v>
      </c>
      <c r="G72" s="106">
        <f t="shared" si="3"/>
        <v>115304</v>
      </c>
      <c r="H72" s="106">
        <f t="shared" si="3"/>
        <v>131016</v>
      </c>
      <c r="I72" s="106">
        <f t="shared" si="3"/>
        <v>148880</v>
      </c>
    </row>
    <row r="73" spans="2:9" x14ac:dyDescent="0.3">
      <c r="B73" s="89" t="s">
        <v>8590</v>
      </c>
      <c r="C73" s="89"/>
      <c r="D73" s="89"/>
      <c r="E73" s="90">
        <f>E71/E72</f>
        <v>6.4616373767681104E-2</v>
      </c>
      <c r="F73" s="90">
        <f t="shared" ref="F73:I73" si="4">F71/F72</f>
        <v>0.10678680598565521</v>
      </c>
      <c r="G73" s="90">
        <f t="shared" si="4"/>
        <v>0.15279608686602372</v>
      </c>
      <c r="H73" s="90">
        <f t="shared" si="4"/>
        <v>0.15123343713744886</v>
      </c>
      <c r="I73" s="90">
        <f t="shared" si="4"/>
        <v>0.13001746372917786</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219013.40599999999</v>
      </c>
      <c r="F77" s="106">
        <f>'Data Sheet'!H90*'Data Sheet'!H93</f>
        <v>259929.77499999999</v>
      </c>
      <c r="G77" s="106">
        <f>'Data Sheet'!I90*'Data Sheet'!I93</f>
        <v>349560.78399999999</v>
      </c>
      <c r="H77" s="106">
        <f>'Data Sheet'!J90*'Data Sheet'!J93</f>
        <v>361003.587</v>
      </c>
      <c r="I77" s="106">
        <f>'Data Sheet'!K90*'Data Sheet'!K93</f>
        <v>448978.54</v>
      </c>
    </row>
    <row r="78" spans="2:9" x14ac:dyDescent="0.3">
      <c r="B78" t="s">
        <v>8593</v>
      </c>
      <c r="E78" s="106">
        <f>SUM('Data Sheet'!G59:G60)</f>
        <v>19322</v>
      </c>
      <c r="F78" s="106">
        <f>SUM('Data Sheet'!H59:H60)</f>
        <v>25506</v>
      </c>
      <c r="G78" s="106">
        <f>SUM('Data Sheet'!I59:I60)</f>
        <v>29669</v>
      </c>
      <c r="H78" s="106">
        <f>SUM('Data Sheet'!J59:J60)</f>
        <v>34776</v>
      </c>
      <c r="I78" s="106">
        <f>SUM('Data Sheet'!K59:K60)</f>
        <v>41724</v>
      </c>
    </row>
    <row r="79" spans="2:9" x14ac:dyDescent="0.3">
      <c r="B79" s="89" t="s">
        <v>8591</v>
      </c>
      <c r="C79" s="89"/>
      <c r="D79" s="89"/>
      <c r="E79" s="90">
        <f>E77/E78</f>
        <v>11.334924231446019</v>
      </c>
      <c r="F79" s="90">
        <f t="shared" ref="F79:I79" si="5">F77/F78</f>
        <v>10.190926644711048</v>
      </c>
      <c r="G79" s="90">
        <f t="shared" si="5"/>
        <v>11.782021099464087</v>
      </c>
      <c r="H79" s="90">
        <f t="shared" si="5"/>
        <v>10.380825483091787</v>
      </c>
      <c r="I79" s="90">
        <f t="shared" si="5"/>
        <v>10.760678266705014</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118410</v>
      </c>
      <c r="F83" s="106">
        <f>'Data Sheet'!H17</f>
        <v>141858</v>
      </c>
      <c r="G83" s="106">
        <f>'Data Sheet'!I17</f>
        <v>152913</v>
      </c>
      <c r="H83" s="106">
        <f>'Data Sheet'!J17</f>
        <v>183316</v>
      </c>
      <c r="I83" s="106">
        <f>'Data Sheet'!K17</f>
        <v>197181</v>
      </c>
    </row>
    <row r="84" spans="2:9" x14ac:dyDescent="0.3">
      <c r="B84" t="s">
        <v>96</v>
      </c>
      <c r="E84" s="106">
        <f>E72</f>
        <v>74656</v>
      </c>
      <c r="F84" s="106">
        <f t="shared" ref="F84:I84" si="6">F72</f>
        <v>100106</v>
      </c>
      <c r="G84" s="106">
        <f t="shared" si="6"/>
        <v>115304</v>
      </c>
      <c r="H84" s="106">
        <f t="shared" si="6"/>
        <v>131016</v>
      </c>
      <c r="I84" s="106">
        <f t="shared" si="6"/>
        <v>148880</v>
      </c>
    </row>
    <row r="85" spans="2:9" x14ac:dyDescent="0.3">
      <c r="B85" s="89" t="s">
        <v>8595</v>
      </c>
      <c r="C85" s="89"/>
      <c r="D85" s="89"/>
      <c r="E85" s="91">
        <f>E83/E84</f>
        <v>1.5860747963994857</v>
      </c>
      <c r="F85" s="91">
        <f t="shared" ref="F85:I85" si="7">F83/F84</f>
        <v>1.4170778974287255</v>
      </c>
      <c r="G85" s="91">
        <f t="shared" si="7"/>
        <v>1.3261725525567196</v>
      </c>
      <c r="H85" s="91">
        <f t="shared" si="7"/>
        <v>1.3991878854491056</v>
      </c>
      <c r="I85" s="91">
        <f t="shared" si="7"/>
        <v>1.3244290703922623</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9.5875115470116317</v>
      </c>
      <c r="F89" s="76">
        <f t="shared" ref="F89:I89" si="8">(1.2*F61)+(1.4*F67)+(3.3*F73)+(0.6*F79)+(F85*1)</f>
        <v>8.8601456617711865</v>
      </c>
      <c r="G89" s="76">
        <f t="shared" si="8"/>
        <v>9.8631538932870004</v>
      </c>
      <c r="H89" s="76">
        <f t="shared" si="8"/>
        <v>9.054092163519357</v>
      </c>
      <c r="I89" s="76">
        <f t="shared" si="8"/>
        <v>9.1036886634082848</v>
      </c>
    </row>
    <row r="90" spans="2:9" x14ac:dyDescent="0.3">
      <c r="B90" t="s">
        <v>8598</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50801</v>
      </c>
      <c r="T4" s="48">
        <v>57589</v>
      </c>
      <c r="U4" s="48">
        <v>68085</v>
      </c>
      <c r="V4" s="48">
        <v>79809</v>
      </c>
      <c r="W4" s="48">
        <v>86068</v>
      </c>
      <c r="X4" s="48">
        <v>75660</v>
      </c>
      <c r="Y4" s="48">
        <v>70372</v>
      </c>
      <c r="Z4" s="48">
        <v>88330</v>
      </c>
      <c r="AA4" s="48">
        <v>118410</v>
      </c>
      <c r="AB4" s="48">
        <v>141858</v>
      </c>
      <c r="AC4" s="48">
        <v>152913</v>
      </c>
      <c r="AD4" s="48">
        <v>183316</v>
      </c>
      <c r="AE4" s="48">
        <v>197181</v>
      </c>
    </row>
    <row r="5" spans="2:31" x14ac:dyDescent="0.3">
      <c r="B5" s="35" t="s">
        <v>242</v>
      </c>
      <c r="C5" s="108">
        <v>151</v>
      </c>
      <c r="D5" s="47">
        <v>151</v>
      </c>
      <c r="E5" s="47">
        <v>151</v>
      </c>
      <c r="F5" s="47">
        <v>151</v>
      </c>
      <c r="G5" s="47">
        <v>151</v>
      </c>
      <c r="H5" s="47">
        <v>151</v>
      </c>
      <c r="I5" s="47">
        <v>151</v>
      </c>
      <c r="J5" s="47">
        <v>151</v>
      </c>
      <c r="K5" s="47">
        <v>157</v>
      </c>
      <c r="L5" s="47">
        <v>157</v>
      </c>
      <c r="M5" s="47">
        <v>157</v>
      </c>
      <c r="N5" s="47">
        <v>157</v>
      </c>
      <c r="R5" t="s">
        <v>282</v>
      </c>
      <c r="S5" s="48">
        <v>43909</v>
      </c>
      <c r="T5" s="48">
        <v>48565</v>
      </c>
      <c r="U5" s="48">
        <v>57664</v>
      </c>
      <c r="V5" s="48">
        <v>67692</v>
      </c>
      <c r="W5" s="48">
        <v>75012</v>
      </c>
      <c r="X5" s="48">
        <v>68305</v>
      </c>
      <c r="Y5" s="48">
        <v>64961</v>
      </c>
      <c r="Z5" s="48">
        <v>82578</v>
      </c>
      <c r="AA5" s="48">
        <v>105288</v>
      </c>
      <c r="AB5" s="48">
        <v>123232</v>
      </c>
      <c r="AC5" s="48">
        <v>132689</v>
      </c>
      <c r="AD5" s="48">
        <v>161786</v>
      </c>
      <c r="AE5" s="48">
        <v>176050</v>
      </c>
    </row>
    <row r="6" spans="2:31" x14ac:dyDescent="0.3">
      <c r="B6" t="s">
        <v>25</v>
      </c>
      <c r="C6" s="48">
        <v>24167</v>
      </c>
      <c r="D6" s="48">
        <v>30465</v>
      </c>
      <c r="E6" s="48">
        <v>36924</v>
      </c>
      <c r="F6" s="48">
        <v>42408</v>
      </c>
      <c r="G6" s="48">
        <v>46941</v>
      </c>
      <c r="H6" s="48">
        <v>49262</v>
      </c>
      <c r="I6" s="48">
        <v>52350</v>
      </c>
      <c r="J6" s="48">
        <v>55182</v>
      </c>
      <c r="K6" s="48">
        <v>74443</v>
      </c>
      <c r="L6" s="48">
        <v>85479</v>
      </c>
      <c r="M6" s="48">
        <v>96083</v>
      </c>
      <c r="N6" s="48">
        <v>106999</v>
      </c>
      <c r="O6" s="48"/>
      <c r="R6" t="s">
        <v>8</v>
      </c>
      <c r="S6" s="48">
        <v>6892</v>
      </c>
      <c r="T6" s="48">
        <v>9024</v>
      </c>
      <c r="U6" s="48">
        <v>10421</v>
      </c>
      <c r="V6" s="48">
        <v>12118</v>
      </c>
      <c r="W6" s="48">
        <v>11056</v>
      </c>
      <c r="X6" s="48">
        <v>7355</v>
      </c>
      <c r="Y6" s="48">
        <v>5411</v>
      </c>
      <c r="Z6" s="48">
        <v>5752</v>
      </c>
      <c r="AA6" s="48">
        <v>13122</v>
      </c>
      <c r="AB6" s="48">
        <v>18626</v>
      </c>
      <c r="AC6" s="48">
        <v>20224</v>
      </c>
      <c r="AD6" s="48">
        <v>21530</v>
      </c>
      <c r="AE6" s="48">
        <v>21131</v>
      </c>
    </row>
    <row r="7" spans="2:31" x14ac:dyDescent="0.3">
      <c r="B7" s="48" t="s">
        <v>243</v>
      </c>
      <c r="C7" s="48">
        <v>666</v>
      </c>
      <c r="D7" s="48">
        <v>231</v>
      </c>
      <c r="E7" s="48">
        <v>484</v>
      </c>
      <c r="F7" s="48">
        <v>121</v>
      </c>
      <c r="G7" s="48">
        <v>160</v>
      </c>
      <c r="H7" s="48">
        <v>184</v>
      </c>
      <c r="I7" s="48">
        <v>541</v>
      </c>
      <c r="J7" s="48">
        <v>426</v>
      </c>
      <c r="K7" s="48">
        <v>1248</v>
      </c>
      <c r="L7" s="48">
        <v>119</v>
      </c>
      <c r="M7" s="48">
        <v>87</v>
      </c>
      <c r="N7" s="48">
        <v>102</v>
      </c>
      <c r="O7" s="48"/>
      <c r="R7" t="s">
        <v>283</v>
      </c>
      <c r="S7" s="75">
        <v>14</v>
      </c>
      <c r="T7" s="75">
        <v>16</v>
      </c>
      <c r="U7" s="75">
        <v>15</v>
      </c>
      <c r="V7" s="75">
        <v>15</v>
      </c>
      <c r="W7" s="75">
        <v>13</v>
      </c>
      <c r="X7" s="75">
        <v>10</v>
      </c>
      <c r="Y7" s="75">
        <v>8</v>
      </c>
      <c r="Z7" s="75">
        <v>7</v>
      </c>
      <c r="AA7" s="75">
        <v>11</v>
      </c>
      <c r="AB7" s="75">
        <v>13</v>
      </c>
      <c r="AC7" s="75">
        <v>13</v>
      </c>
      <c r="AD7" s="75">
        <v>12</v>
      </c>
      <c r="AE7" s="75">
        <v>11</v>
      </c>
    </row>
    <row r="8" spans="2:31" x14ac:dyDescent="0.3">
      <c r="B8" s="48" t="s">
        <v>244</v>
      </c>
      <c r="C8" s="48">
        <v>278</v>
      </c>
      <c r="D8" s="48">
        <v>0</v>
      </c>
      <c r="E8" s="48">
        <v>0</v>
      </c>
      <c r="F8" s="48">
        <v>10</v>
      </c>
      <c r="G8" s="48">
        <v>8</v>
      </c>
      <c r="H8" s="48">
        <v>5</v>
      </c>
      <c r="I8" s="48">
        <v>3</v>
      </c>
      <c r="J8" s="48">
        <v>0</v>
      </c>
      <c r="K8" s="48">
        <v>0</v>
      </c>
      <c r="L8" s="48">
        <v>0</v>
      </c>
      <c r="M8" s="48">
        <v>0</v>
      </c>
      <c r="N8" s="48">
        <v>0</v>
      </c>
      <c r="R8" t="s">
        <v>284</v>
      </c>
      <c r="S8" s="48">
        <v>817</v>
      </c>
      <c r="T8" s="48">
        <v>1464</v>
      </c>
      <c r="U8" s="48">
        <v>2399</v>
      </c>
      <c r="V8" s="48">
        <v>2155</v>
      </c>
      <c r="W8" s="48">
        <v>2664</v>
      </c>
      <c r="X8" s="48">
        <v>3410</v>
      </c>
      <c r="Y8" s="48">
        <v>3046</v>
      </c>
      <c r="Z8" s="48">
        <v>1861</v>
      </c>
      <c r="AA8" s="48">
        <v>2415</v>
      </c>
      <c r="AB8" s="48">
        <v>4248</v>
      </c>
      <c r="AC8" s="48">
        <v>5199</v>
      </c>
      <c r="AD8" s="48">
        <v>4569</v>
      </c>
      <c r="AE8" s="48">
        <v>4707</v>
      </c>
    </row>
    <row r="9" spans="2:31" x14ac:dyDescent="0.3">
      <c r="B9" t="s">
        <v>245</v>
      </c>
      <c r="C9">
        <v>52</v>
      </c>
      <c r="D9">
        <v>77</v>
      </c>
      <c r="E9">
        <v>484</v>
      </c>
      <c r="F9">
        <v>111</v>
      </c>
      <c r="G9">
        <v>150</v>
      </c>
      <c r="H9">
        <v>106</v>
      </c>
      <c r="I9">
        <v>489</v>
      </c>
      <c r="J9">
        <v>382</v>
      </c>
      <c r="K9">
        <v>1216</v>
      </c>
      <c r="L9">
        <v>33</v>
      </c>
      <c r="M9">
        <v>0</v>
      </c>
      <c r="N9" s="48">
        <v>0</v>
      </c>
      <c r="R9" t="s">
        <v>11</v>
      </c>
      <c r="S9">
        <v>218</v>
      </c>
      <c r="T9">
        <v>82</v>
      </c>
      <c r="U9">
        <v>89</v>
      </c>
      <c r="V9">
        <v>346</v>
      </c>
      <c r="W9">
        <v>76</v>
      </c>
      <c r="X9">
        <v>134</v>
      </c>
      <c r="Y9">
        <v>102</v>
      </c>
      <c r="Z9">
        <v>127</v>
      </c>
      <c r="AA9">
        <v>252</v>
      </c>
      <c r="AB9">
        <v>194</v>
      </c>
      <c r="AC9">
        <v>194</v>
      </c>
      <c r="AD9">
        <v>239</v>
      </c>
      <c r="AE9">
        <v>255</v>
      </c>
    </row>
    <row r="10" spans="2:31" x14ac:dyDescent="0.3">
      <c r="B10" t="s">
        <v>246</v>
      </c>
      <c r="C10">
        <v>0</v>
      </c>
      <c r="D10">
        <v>0</v>
      </c>
      <c r="E10">
        <v>0</v>
      </c>
      <c r="F10">
        <v>0</v>
      </c>
      <c r="G10">
        <v>0</v>
      </c>
      <c r="H10">
        <v>70</v>
      </c>
      <c r="I10">
        <v>47</v>
      </c>
      <c r="J10">
        <v>41</v>
      </c>
      <c r="K10">
        <v>32</v>
      </c>
      <c r="L10">
        <v>86</v>
      </c>
      <c r="M10">
        <v>87</v>
      </c>
      <c r="N10">
        <v>102</v>
      </c>
      <c r="O10" s="48"/>
      <c r="R10" t="s">
        <v>10</v>
      </c>
      <c r="S10" s="48">
        <v>2515</v>
      </c>
      <c r="T10" s="48">
        <v>2822</v>
      </c>
      <c r="U10" s="48">
        <v>2604</v>
      </c>
      <c r="V10" s="48">
        <v>2760</v>
      </c>
      <c r="W10" s="48">
        <v>3021</v>
      </c>
      <c r="X10" s="48">
        <v>3528</v>
      </c>
      <c r="Y10" s="48">
        <v>3034</v>
      </c>
      <c r="Z10" s="48">
        <v>2789</v>
      </c>
      <c r="AA10" s="48">
        <v>4846</v>
      </c>
      <c r="AB10" s="48">
        <v>5256</v>
      </c>
      <c r="AC10" s="48">
        <v>5608</v>
      </c>
      <c r="AD10" s="48">
        <v>6742</v>
      </c>
      <c r="AE10" s="48">
        <v>6966</v>
      </c>
    </row>
    <row r="11" spans="2:31" x14ac:dyDescent="0.3">
      <c r="B11" s="48" t="s">
        <v>8601</v>
      </c>
      <c r="C11" s="48">
        <v>335</v>
      </c>
      <c r="D11" s="48">
        <v>154</v>
      </c>
      <c r="E11" s="48">
        <v>0</v>
      </c>
      <c r="F11" s="48">
        <v>0</v>
      </c>
      <c r="G11" s="48">
        <v>2</v>
      </c>
      <c r="H11" s="48">
        <v>2</v>
      </c>
      <c r="I11" s="48">
        <v>3</v>
      </c>
      <c r="J11" s="48">
        <v>3</v>
      </c>
      <c r="K11" s="48">
        <v>0</v>
      </c>
      <c r="L11" s="48">
        <v>0</v>
      </c>
      <c r="M11" s="48">
        <v>0</v>
      </c>
      <c r="N11" s="48">
        <v>0</v>
      </c>
      <c r="O11" s="48"/>
      <c r="R11" t="s">
        <v>12</v>
      </c>
      <c r="S11" s="48">
        <v>4976</v>
      </c>
      <c r="T11" s="48">
        <v>7585</v>
      </c>
      <c r="U11" s="48">
        <v>10127</v>
      </c>
      <c r="V11" s="48">
        <v>11167</v>
      </c>
      <c r="W11" s="48">
        <v>10624</v>
      </c>
      <c r="X11" s="48">
        <v>7103</v>
      </c>
      <c r="Y11" s="48">
        <v>5321</v>
      </c>
      <c r="Z11" s="48">
        <v>4697</v>
      </c>
      <c r="AA11" s="48">
        <v>10438</v>
      </c>
      <c r="AB11" s="48">
        <v>17424</v>
      </c>
      <c r="AC11" s="48">
        <v>19620</v>
      </c>
      <c r="AD11" s="48">
        <v>19118</v>
      </c>
      <c r="AE11" s="48">
        <v>18616</v>
      </c>
    </row>
    <row r="12" spans="2:31" x14ac:dyDescent="0.3">
      <c r="B12" s="48" t="s">
        <v>247</v>
      </c>
      <c r="C12" s="48">
        <v>9492</v>
      </c>
      <c r="D12" s="48">
        <v>11879</v>
      </c>
      <c r="E12" s="48">
        <v>14402</v>
      </c>
      <c r="F12" s="48">
        <v>17568</v>
      </c>
      <c r="G12" s="48">
        <v>16717</v>
      </c>
      <c r="H12" s="48">
        <v>14031</v>
      </c>
      <c r="I12" s="48">
        <v>18335</v>
      </c>
      <c r="J12" s="48">
        <v>18896</v>
      </c>
      <c r="K12" s="48">
        <v>24258</v>
      </c>
      <c r="L12" s="48">
        <v>29550</v>
      </c>
      <c r="M12" s="48">
        <v>34689</v>
      </c>
      <c r="N12" s="48">
        <v>41622</v>
      </c>
      <c r="R12" t="s">
        <v>285</v>
      </c>
      <c r="S12" s="75">
        <v>24</v>
      </c>
      <c r="T12" s="75">
        <v>28</v>
      </c>
      <c r="U12" s="75">
        <v>26</v>
      </c>
      <c r="V12" s="75">
        <v>29</v>
      </c>
      <c r="W12" s="75">
        <v>28</v>
      </c>
      <c r="X12" s="75">
        <v>20</v>
      </c>
      <c r="Y12" s="75">
        <v>18</v>
      </c>
      <c r="Z12" s="75">
        <v>17</v>
      </c>
      <c r="AA12" s="75">
        <v>21</v>
      </c>
      <c r="AB12" s="75">
        <v>23</v>
      </c>
      <c r="AC12" s="75">
        <v>26</v>
      </c>
      <c r="AD12" s="75">
        <v>23</v>
      </c>
      <c r="AE12">
        <v>0</v>
      </c>
    </row>
    <row r="13" spans="2:31" x14ac:dyDescent="0.3">
      <c r="B13" t="s">
        <v>248</v>
      </c>
      <c r="C13">
        <v>13</v>
      </c>
      <c r="D13">
        <v>14</v>
      </c>
      <c r="E13">
        <v>15</v>
      </c>
      <c r="F13">
        <v>16</v>
      </c>
      <c r="G13">
        <v>18</v>
      </c>
      <c r="H13">
        <v>19</v>
      </c>
      <c r="I13">
        <v>0</v>
      </c>
      <c r="J13">
        <v>0</v>
      </c>
      <c r="K13">
        <v>0</v>
      </c>
      <c r="L13">
        <v>0</v>
      </c>
      <c r="M13">
        <v>0</v>
      </c>
      <c r="N13">
        <v>0</v>
      </c>
      <c r="O13" s="48"/>
      <c r="R13" t="s">
        <v>286</v>
      </c>
      <c r="S13" s="48">
        <v>3809</v>
      </c>
      <c r="T13" s="48">
        <v>5497</v>
      </c>
      <c r="U13" s="48">
        <v>7511</v>
      </c>
      <c r="V13" s="48">
        <v>7881</v>
      </c>
      <c r="W13" s="48">
        <v>7651</v>
      </c>
      <c r="X13" s="48">
        <v>5678</v>
      </c>
      <c r="Y13" s="48">
        <v>4389</v>
      </c>
      <c r="Z13" s="48">
        <v>3880</v>
      </c>
      <c r="AA13" s="48">
        <v>8264</v>
      </c>
      <c r="AB13" s="48">
        <v>13488</v>
      </c>
      <c r="AC13" s="48">
        <v>14500</v>
      </c>
      <c r="AD13" s="48">
        <v>14680</v>
      </c>
      <c r="AE13" s="48">
        <v>14334</v>
      </c>
    </row>
    <row r="14" spans="2:31" x14ac:dyDescent="0.3">
      <c r="B14" s="48" t="s">
        <v>249</v>
      </c>
      <c r="C14" s="48">
        <v>5514</v>
      </c>
      <c r="D14" s="48">
        <v>7409</v>
      </c>
      <c r="E14" s="48">
        <v>8369</v>
      </c>
      <c r="F14" s="48">
        <v>10499</v>
      </c>
      <c r="G14" s="48">
        <v>9638</v>
      </c>
      <c r="H14" s="48">
        <v>7499</v>
      </c>
      <c r="I14" s="48">
        <v>10168</v>
      </c>
      <c r="J14" s="48">
        <v>9765</v>
      </c>
      <c r="K14" s="48">
        <v>13676</v>
      </c>
      <c r="L14" s="48">
        <v>16988</v>
      </c>
      <c r="M14" s="48">
        <v>16922</v>
      </c>
      <c r="N14" s="48">
        <v>22134</v>
      </c>
      <c r="S14">
        <v>126.04</v>
      </c>
      <c r="T14">
        <v>181.98</v>
      </c>
      <c r="U14">
        <v>248.61</v>
      </c>
      <c r="V14">
        <v>260.86</v>
      </c>
      <c r="W14">
        <v>253.21</v>
      </c>
      <c r="X14">
        <v>187.9</v>
      </c>
      <c r="Y14">
        <v>145.30000000000001</v>
      </c>
      <c r="Z14">
        <v>128.43</v>
      </c>
      <c r="AA14">
        <v>273.56</v>
      </c>
      <c r="AB14">
        <v>429.01</v>
      </c>
      <c r="AC14">
        <v>461.2</v>
      </c>
      <c r="AD14">
        <v>466.9</v>
      </c>
      <c r="AE14">
        <v>455.91</v>
      </c>
    </row>
    <row r="15" spans="2:31" x14ac:dyDescent="0.3">
      <c r="B15" t="s">
        <v>250</v>
      </c>
      <c r="C15">
        <v>428</v>
      </c>
      <c r="D15">
        <v>506</v>
      </c>
      <c r="E15">
        <v>941</v>
      </c>
      <c r="F15">
        <v>1152</v>
      </c>
      <c r="G15">
        <v>418</v>
      </c>
      <c r="H15">
        <v>468</v>
      </c>
      <c r="I15">
        <v>1019</v>
      </c>
      <c r="J15" s="48">
        <v>1124</v>
      </c>
      <c r="K15" s="48">
        <v>1463</v>
      </c>
      <c r="L15">
        <v>1464</v>
      </c>
      <c r="M15" s="48">
        <v>1136</v>
      </c>
      <c r="N15" s="48">
        <v>2250</v>
      </c>
      <c r="O15" s="48"/>
      <c r="S15">
        <v>20</v>
      </c>
      <c r="T15">
        <v>19</v>
      </c>
      <c r="U15">
        <v>30</v>
      </c>
      <c r="V15">
        <v>31</v>
      </c>
      <c r="W15">
        <v>32</v>
      </c>
      <c r="X15">
        <v>32</v>
      </c>
      <c r="Y15">
        <v>31</v>
      </c>
      <c r="Z15">
        <v>47</v>
      </c>
      <c r="AA15">
        <v>34</v>
      </c>
      <c r="AB15">
        <v>29</v>
      </c>
      <c r="AC15">
        <v>29</v>
      </c>
      <c r="AD15">
        <v>30</v>
      </c>
      <c r="AE15">
        <v>0</v>
      </c>
    </row>
    <row r="16" spans="2:31" x14ac:dyDescent="0.3">
      <c r="B16" s="48" t="s">
        <v>251</v>
      </c>
      <c r="C16" s="48">
        <v>3538</v>
      </c>
      <c r="D16" s="48">
        <v>3950</v>
      </c>
      <c r="E16" s="48">
        <v>5076</v>
      </c>
      <c r="F16" s="48">
        <v>5900</v>
      </c>
      <c r="G16" s="48">
        <v>6644</v>
      </c>
      <c r="H16" s="48">
        <v>6045</v>
      </c>
      <c r="I16" s="48">
        <v>7148</v>
      </c>
      <c r="J16" s="48">
        <v>8007</v>
      </c>
      <c r="K16" s="48">
        <v>9120</v>
      </c>
      <c r="L16" s="48">
        <v>11098</v>
      </c>
      <c r="M16" s="48">
        <v>16631</v>
      </c>
      <c r="N16" s="48">
        <v>17238</v>
      </c>
      <c r="O16" s="48"/>
    </row>
    <row r="17" spans="2:30" x14ac:dyDescent="0.3">
      <c r="C17" s="48"/>
      <c r="D17" s="48"/>
      <c r="E17" s="48"/>
      <c r="F17" s="48"/>
      <c r="G17" s="48"/>
      <c r="H17" s="48"/>
      <c r="I17" s="48"/>
      <c r="J17" s="48"/>
      <c r="K17" s="48"/>
      <c r="L17" s="48"/>
      <c r="M17" s="48"/>
      <c r="N17" s="48"/>
      <c r="O17" s="73"/>
    </row>
    <row r="18" spans="2:30" x14ac:dyDescent="0.3">
      <c r="B18" s="57" t="s">
        <v>95</v>
      </c>
      <c r="C18" s="71">
        <v>34477</v>
      </c>
      <c r="D18" s="71">
        <v>42726</v>
      </c>
      <c r="E18" s="71">
        <v>51960</v>
      </c>
      <c r="F18" s="71">
        <v>60248</v>
      </c>
      <c r="G18" s="71">
        <v>63969</v>
      </c>
      <c r="H18" s="71">
        <v>63628</v>
      </c>
      <c r="I18" s="71">
        <v>71376</v>
      </c>
      <c r="J18" s="71">
        <v>74656</v>
      </c>
      <c r="K18" s="71">
        <v>100106</v>
      </c>
      <c r="L18" s="71">
        <v>115304</v>
      </c>
      <c r="M18" s="71">
        <v>131016</v>
      </c>
      <c r="N18" s="71">
        <v>148880</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6449</v>
      </c>
      <c r="T19" s="48">
        <v>8482</v>
      </c>
      <c r="U19" s="48">
        <v>10282</v>
      </c>
      <c r="V19" s="48">
        <v>11788</v>
      </c>
      <c r="W19" s="48">
        <v>6601</v>
      </c>
      <c r="X19" s="48">
        <v>3496</v>
      </c>
      <c r="Y19" s="48">
        <v>8856</v>
      </c>
      <c r="Z19" s="48">
        <v>1840</v>
      </c>
      <c r="AA19" s="48">
        <v>10815</v>
      </c>
      <c r="AB19" s="48">
        <v>16801</v>
      </c>
      <c r="AC19" s="48">
        <v>16180</v>
      </c>
      <c r="AD19" s="48">
        <v>19100</v>
      </c>
    </row>
    <row r="20" spans="2:30" x14ac:dyDescent="0.3">
      <c r="C20" s="48"/>
      <c r="D20" s="48"/>
      <c r="E20" s="48"/>
      <c r="F20" s="48"/>
      <c r="G20" s="48"/>
      <c r="H20" s="48"/>
      <c r="I20" s="48"/>
      <c r="J20" s="48"/>
      <c r="K20" s="48"/>
      <c r="L20" s="48"/>
      <c r="M20" s="48"/>
      <c r="N20" s="48"/>
      <c r="O20" s="48"/>
      <c r="R20" t="s">
        <v>130</v>
      </c>
      <c r="S20" s="48">
        <v>6779</v>
      </c>
      <c r="T20" s="48">
        <v>8935</v>
      </c>
      <c r="U20" s="48">
        <v>10413</v>
      </c>
      <c r="V20" s="48">
        <v>12036</v>
      </c>
      <c r="W20" s="48">
        <v>11060</v>
      </c>
      <c r="X20" s="48">
        <v>7503</v>
      </c>
      <c r="Y20" s="48">
        <v>5531</v>
      </c>
      <c r="Z20" s="48">
        <v>5832</v>
      </c>
      <c r="AA20" s="48">
        <v>13176</v>
      </c>
      <c r="AB20" s="48">
        <v>18676</v>
      </c>
      <c r="AC20" s="48">
        <v>20322</v>
      </c>
      <c r="AD20" s="48">
        <v>21802</v>
      </c>
    </row>
    <row r="21" spans="2:30" x14ac:dyDescent="0.3">
      <c r="B21" s="73" t="s">
        <v>252</v>
      </c>
      <c r="C21" s="73">
        <v>12490</v>
      </c>
      <c r="D21" s="73">
        <v>12530</v>
      </c>
      <c r="E21" s="73">
        <v>13311</v>
      </c>
      <c r="F21" s="73">
        <v>13389</v>
      </c>
      <c r="G21" s="73">
        <v>15437</v>
      </c>
      <c r="H21" s="73">
        <v>15744</v>
      </c>
      <c r="I21" s="73">
        <v>14989</v>
      </c>
      <c r="J21" s="73">
        <v>13747</v>
      </c>
      <c r="K21" s="73">
        <v>27941</v>
      </c>
      <c r="L21" s="73">
        <v>27865</v>
      </c>
      <c r="M21" s="73">
        <v>32983</v>
      </c>
      <c r="N21" s="73">
        <v>34523</v>
      </c>
      <c r="R21" t="s">
        <v>78</v>
      </c>
      <c r="S21">
        <v>345</v>
      </c>
      <c r="T21">
        <v>-204</v>
      </c>
      <c r="U21">
        <v>122</v>
      </c>
      <c r="V21">
        <v>-262</v>
      </c>
      <c r="W21">
        <v>-851</v>
      </c>
      <c r="X21" s="48">
        <v>340</v>
      </c>
      <c r="Y21">
        <v>696</v>
      </c>
      <c r="Z21">
        <v>-764</v>
      </c>
      <c r="AA21">
        <v>-1270</v>
      </c>
      <c r="AB21">
        <v>-1316</v>
      </c>
      <c r="AC21" s="48">
        <v>-1969</v>
      </c>
      <c r="AD21">
        <v>1236</v>
      </c>
    </row>
    <row r="22" spans="2:30" x14ac:dyDescent="0.3">
      <c r="B22" s="48" t="s">
        <v>253</v>
      </c>
      <c r="C22" s="48">
        <v>2100</v>
      </c>
      <c r="D22" s="48">
        <v>1902</v>
      </c>
      <c r="E22" s="48">
        <v>1963</v>
      </c>
      <c r="F22" s="48">
        <v>3212</v>
      </c>
      <c r="G22" s="48">
        <v>3914</v>
      </c>
      <c r="H22" s="48">
        <v>4569</v>
      </c>
      <c r="I22" s="48">
        <v>4566</v>
      </c>
      <c r="J22" s="48">
        <v>4592</v>
      </c>
      <c r="K22" s="48">
        <v>6830</v>
      </c>
      <c r="L22" s="48">
        <v>6896</v>
      </c>
      <c r="M22" s="48">
        <v>6921</v>
      </c>
      <c r="N22" s="48">
        <v>6968</v>
      </c>
      <c r="O22" s="48"/>
      <c r="R22" t="s">
        <v>45</v>
      </c>
      <c r="S22">
        <v>-982</v>
      </c>
      <c r="T22">
        <v>-450</v>
      </c>
      <c r="U22">
        <v>-131</v>
      </c>
      <c r="V22">
        <v>104</v>
      </c>
      <c r="W22">
        <v>-162</v>
      </c>
      <c r="X22">
        <v>109</v>
      </c>
      <c r="Y22" s="48">
        <v>165</v>
      </c>
      <c r="Z22">
        <v>-483</v>
      </c>
      <c r="AA22" s="48">
        <v>-1050</v>
      </c>
      <c r="AB22" s="48">
        <v>125</v>
      </c>
      <c r="AC22" s="48">
        <v>-1595</v>
      </c>
      <c r="AD22" s="48">
        <v>-4407</v>
      </c>
    </row>
    <row r="23" spans="2:30" x14ac:dyDescent="0.3">
      <c r="B23" s="48" t="s">
        <v>254</v>
      </c>
      <c r="C23" s="48">
        <v>1882</v>
      </c>
      <c r="D23" s="48">
        <v>1513</v>
      </c>
      <c r="E23" s="48">
        <v>1835</v>
      </c>
      <c r="F23" s="48">
        <v>1983</v>
      </c>
      <c r="G23" s="48">
        <v>2333</v>
      </c>
      <c r="H23" s="48">
        <v>2697</v>
      </c>
      <c r="I23" s="48">
        <v>2831</v>
      </c>
      <c r="J23" s="48">
        <v>2955</v>
      </c>
      <c r="K23" s="48">
        <v>5218</v>
      </c>
      <c r="L23" s="48">
        <v>5604</v>
      </c>
      <c r="M23" s="48">
        <v>8158</v>
      </c>
      <c r="N23" s="48">
        <v>9192</v>
      </c>
      <c r="O23" s="48"/>
      <c r="R23" t="s">
        <v>131</v>
      </c>
      <c r="S23">
        <v>712</v>
      </c>
      <c r="T23">
        <v>1789</v>
      </c>
      <c r="U23">
        <v>979</v>
      </c>
      <c r="V23" s="48">
        <v>2128</v>
      </c>
      <c r="W23">
        <v>-858</v>
      </c>
      <c r="X23">
        <v>-2155</v>
      </c>
      <c r="Y23" s="48">
        <v>2680</v>
      </c>
      <c r="Z23" s="48">
        <v>-396</v>
      </c>
      <c r="AA23" s="48">
        <v>2491</v>
      </c>
      <c r="AB23">
        <v>3321</v>
      </c>
      <c r="AC23" s="48">
        <v>2606</v>
      </c>
      <c r="AD23">
        <v>5194</v>
      </c>
    </row>
    <row r="24" spans="2:30" x14ac:dyDescent="0.3">
      <c r="B24" s="48" t="s">
        <v>255</v>
      </c>
      <c r="C24" s="48">
        <v>21802</v>
      </c>
      <c r="D24" s="48">
        <v>11163</v>
      </c>
      <c r="E24" s="48">
        <v>13888</v>
      </c>
      <c r="F24" s="48">
        <v>15082</v>
      </c>
      <c r="G24" s="48">
        <v>18550</v>
      </c>
      <c r="H24" s="48">
        <v>20775</v>
      </c>
      <c r="I24" s="48">
        <v>22262</v>
      </c>
      <c r="J24" s="48">
        <v>22712</v>
      </c>
      <c r="K24" s="48">
        <v>40872</v>
      </c>
      <c r="L24" s="48">
        <v>44745</v>
      </c>
      <c r="M24" s="48">
        <v>51915</v>
      </c>
      <c r="N24" s="48">
        <v>57284</v>
      </c>
      <c r="R24" t="s">
        <v>132</v>
      </c>
      <c r="S24">
        <v>745</v>
      </c>
      <c r="T24">
        <v>1460</v>
      </c>
      <c r="U24">
        <v>2192</v>
      </c>
      <c r="V24" s="48">
        <v>2808</v>
      </c>
      <c r="W24">
        <v>-1315</v>
      </c>
      <c r="X24">
        <v>-2570</v>
      </c>
      <c r="Y24">
        <v>4336</v>
      </c>
      <c r="Z24">
        <v>-2813</v>
      </c>
      <c r="AA24">
        <v>-97</v>
      </c>
      <c r="AB24" s="48">
        <v>1722</v>
      </c>
      <c r="AC24" s="48">
        <v>-335</v>
      </c>
      <c r="AD24" s="48">
        <v>1635</v>
      </c>
    </row>
    <row r="25" spans="2:30" x14ac:dyDescent="0.3">
      <c r="B25" t="s">
        <v>256</v>
      </c>
      <c r="C25">
        <v>46</v>
      </c>
      <c r="D25">
        <v>27</v>
      </c>
      <c r="E25">
        <v>32</v>
      </c>
      <c r="F25">
        <v>32</v>
      </c>
      <c r="G25">
        <v>34</v>
      </c>
      <c r="H25">
        <v>40</v>
      </c>
      <c r="I25">
        <v>41</v>
      </c>
      <c r="J25">
        <v>44</v>
      </c>
      <c r="K25">
        <v>44</v>
      </c>
      <c r="L25">
        <v>53</v>
      </c>
      <c r="M25">
        <v>63</v>
      </c>
      <c r="N25">
        <v>75</v>
      </c>
      <c r="R25" t="s">
        <v>133</v>
      </c>
      <c r="S25" s="48">
        <v>-1075</v>
      </c>
      <c r="T25" s="48">
        <v>-1912</v>
      </c>
      <c r="U25" s="48">
        <v>-2323</v>
      </c>
      <c r="V25" s="48">
        <v>-3056</v>
      </c>
      <c r="W25" s="48">
        <v>-3144</v>
      </c>
      <c r="X25" s="48">
        <v>-1438</v>
      </c>
      <c r="Y25" s="48">
        <v>-1011</v>
      </c>
      <c r="Z25" s="48">
        <v>-1178</v>
      </c>
      <c r="AA25" s="48">
        <v>-2265</v>
      </c>
      <c r="AB25" s="48">
        <v>-3597</v>
      </c>
      <c r="AC25" s="48">
        <v>-3807</v>
      </c>
      <c r="AD25" s="48">
        <v>-4337</v>
      </c>
    </row>
    <row r="26" spans="2:30" x14ac:dyDescent="0.3">
      <c r="B26" s="48" t="s">
        <v>257</v>
      </c>
      <c r="C26" s="48">
        <v>144</v>
      </c>
      <c r="D26" s="48">
        <v>109</v>
      </c>
      <c r="E26" s="48">
        <v>140</v>
      </c>
      <c r="F26" s="48">
        <v>206</v>
      </c>
      <c r="G26" s="48">
        <v>270</v>
      </c>
      <c r="H26" s="48">
        <v>347</v>
      </c>
      <c r="I26" s="48">
        <v>403</v>
      </c>
      <c r="J26" s="48">
        <v>445</v>
      </c>
      <c r="K26" s="48">
        <v>569</v>
      </c>
      <c r="L26" s="48">
        <v>636</v>
      </c>
      <c r="M26" s="48">
        <v>698</v>
      </c>
      <c r="N26" s="48">
        <v>751</v>
      </c>
      <c r="R26" t="s">
        <v>134</v>
      </c>
      <c r="S26" s="48">
        <v>-4491</v>
      </c>
      <c r="T26" s="48">
        <v>-7230</v>
      </c>
      <c r="U26" s="48">
        <v>-9173</v>
      </c>
      <c r="V26" s="48">
        <v>-8302</v>
      </c>
      <c r="W26" s="48">
        <v>-3540</v>
      </c>
      <c r="X26" s="48">
        <v>-557</v>
      </c>
      <c r="Y26" s="48">
        <v>-7291</v>
      </c>
      <c r="Z26" s="48">
        <v>-239</v>
      </c>
      <c r="AA26" s="48">
        <v>-8820</v>
      </c>
      <c r="AB26" s="48">
        <v>-11865</v>
      </c>
      <c r="AC26">
        <v>-14500</v>
      </c>
      <c r="AD26" s="48">
        <v>-14734</v>
      </c>
    </row>
    <row r="27" spans="2:30" x14ac:dyDescent="0.3">
      <c r="B27" s="48" t="s">
        <v>258</v>
      </c>
      <c r="C27" s="48">
        <v>0</v>
      </c>
      <c r="D27" s="48">
        <v>0</v>
      </c>
      <c r="E27" s="48">
        <v>0</v>
      </c>
      <c r="F27" s="48">
        <v>0</v>
      </c>
      <c r="G27" s="48">
        <v>0</v>
      </c>
      <c r="H27" s="48">
        <v>0</v>
      </c>
      <c r="I27" s="48">
        <v>0</v>
      </c>
      <c r="J27" s="48">
        <v>0</v>
      </c>
      <c r="K27" s="48">
        <v>73</v>
      </c>
      <c r="L27" s="48">
        <v>74</v>
      </c>
      <c r="M27" s="48">
        <v>94</v>
      </c>
      <c r="N27" s="48">
        <v>230</v>
      </c>
      <c r="R27" t="s">
        <v>135</v>
      </c>
      <c r="S27" s="48">
        <v>-3058</v>
      </c>
      <c r="T27" s="48">
        <v>-2469</v>
      </c>
      <c r="U27" s="48">
        <v>-3391</v>
      </c>
      <c r="V27" s="48">
        <v>-3912</v>
      </c>
      <c r="W27" s="48">
        <v>-4872</v>
      </c>
      <c r="X27" s="48">
        <v>-3437</v>
      </c>
      <c r="Y27" s="48">
        <v>-2370</v>
      </c>
      <c r="Z27" s="48">
        <v>-3459</v>
      </c>
      <c r="AA27" s="48">
        <v>-8065</v>
      </c>
      <c r="AB27" s="48">
        <v>-9200</v>
      </c>
      <c r="AC27" s="48">
        <v>-10621</v>
      </c>
      <c r="AD27" s="48">
        <v>-10398</v>
      </c>
    </row>
    <row r="28" spans="2:30" x14ac:dyDescent="0.3">
      <c r="B28" t="s">
        <v>259</v>
      </c>
      <c r="C28">
        <v>108</v>
      </c>
      <c r="D28">
        <v>104</v>
      </c>
      <c r="E28">
        <v>130</v>
      </c>
      <c r="F28">
        <v>162</v>
      </c>
      <c r="G28">
        <v>184</v>
      </c>
      <c r="H28">
        <v>206</v>
      </c>
      <c r="I28">
        <v>174</v>
      </c>
      <c r="J28">
        <v>248</v>
      </c>
      <c r="K28">
        <v>351</v>
      </c>
      <c r="L28">
        <v>448</v>
      </c>
      <c r="M28">
        <v>568</v>
      </c>
      <c r="N28">
        <v>678</v>
      </c>
      <c r="O28" s="48"/>
      <c r="R28" t="s">
        <v>136</v>
      </c>
      <c r="S28" s="48">
        <v>16</v>
      </c>
      <c r="T28" s="48">
        <v>12</v>
      </c>
      <c r="U28" s="48">
        <v>16</v>
      </c>
      <c r="V28" s="48">
        <v>26</v>
      </c>
      <c r="W28" s="48">
        <v>170</v>
      </c>
      <c r="X28" s="48">
        <v>37</v>
      </c>
      <c r="Y28" s="48">
        <v>42</v>
      </c>
      <c r="Z28" s="48">
        <v>136</v>
      </c>
      <c r="AA28" s="48">
        <v>109</v>
      </c>
      <c r="AB28">
        <v>45</v>
      </c>
      <c r="AC28" s="48">
        <v>42</v>
      </c>
      <c r="AD28" s="48">
        <v>52</v>
      </c>
    </row>
    <row r="29" spans="2:30" x14ac:dyDescent="0.3">
      <c r="B29" t="s">
        <v>260</v>
      </c>
      <c r="C29">
        <v>678</v>
      </c>
      <c r="D29">
        <v>563</v>
      </c>
      <c r="E29">
        <v>563</v>
      </c>
      <c r="F29">
        <v>570</v>
      </c>
      <c r="G29">
        <v>684</v>
      </c>
      <c r="H29">
        <v>684</v>
      </c>
      <c r="I29" s="48">
        <v>2734</v>
      </c>
      <c r="J29" s="48">
        <v>2744</v>
      </c>
      <c r="K29" s="48">
        <v>3490</v>
      </c>
      <c r="L29" s="48">
        <v>3505</v>
      </c>
      <c r="M29" s="48">
        <v>3622</v>
      </c>
      <c r="N29" s="48">
        <v>4248</v>
      </c>
      <c r="R29" t="s">
        <v>137</v>
      </c>
      <c r="S29" s="48">
        <v>-17354</v>
      </c>
      <c r="T29" s="48">
        <v>-12044</v>
      </c>
      <c r="U29" s="48">
        <v>-17716</v>
      </c>
      <c r="V29" s="48">
        <v>-47069</v>
      </c>
      <c r="W29" s="48">
        <v>-52957</v>
      </c>
      <c r="X29" s="48">
        <v>-44205</v>
      </c>
      <c r="Y29" s="48">
        <v>-44869</v>
      </c>
      <c r="Z29" s="48">
        <v>-60525</v>
      </c>
      <c r="AA29" s="48">
        <v>-66597</v>
      </c>
      <c r="AB29" s="48">
        <v>-65736</v>
      </c>
      <c r="AC29" s="48">
        <v>-73882</v>
      </c>
      <c r="AD29" s="48">
        <v>-108034</v>
      </c>
    </row>
    <row r="30" spans="2:30" x14ac:dyDescent="0.3">
      <c r="B30" t="s">
        <v>261</v>
      </c>
      <c r="C30">
        <v>674</v>
      </c>
      <c r="D30">
        <v>468</v>
      </c>
      <c r="E30">
        <v>589</v>
      </c>
      <c r="F30">
        <v>640</v>
      </c>
      <c r="G30">
        <v>907</v>
      </c>
      <c r="H30">
        <v>937</v>
      </c>
      <c r="I30">
        <v>967</v>
      </c>
      <c r="J30">
        <v>1254</v>
      </c>
      <c r="K30">
        <v>1660</v>
      </c>
      <c r="L30">
        <v>1783</v>
      </c>
      <c r="M30">
        <v>2002</v>
      </c>
      <c r="N30" s="48">
        <v>2246</v>
      </c>
      <c r="O30" s="48"/>
      <c r="R30" t="s">
        <v>138</v>
      </c>
      <c r="S30" s="48">
        <v>15270</v>
      </c>
      <c r="T30" s="48">
        <v>7378</v>
      </c>
      <c r="U30" s="48">
        <v>11839</v>
      </c>
      <c r="V30" s="48">
        <v>42564</v>
      </c>
      <c r="W30" s="48">
        <v>53986</v>
      </c>
      <c r="X30" s="48">
        <v>46969</v>
      </c>
      <c r="Y30" s="48">
        <v>42920</v>
      </c>
      <c r="Z30" s="48">
        <v>63579</v>
      </c>
      <c r="AA30" s="48">
        <v>61605</v>
      </c>
      <c r="AB30" s="48">
        <v>61933</v>
      </c>
      <c r="AC30" s="48">
        <v>69795</v>
      </c>
      <c r="AD30" s="48">
        <v>101969</v>
      </c>
    </row>
    <row r="31" spans="2:30" x14ac:dyDescent="0.3">
      <c r="B31" t="s">
        <v>262</v>
      </c>
      <c r="C31" s="48">
        <v>26902</v>
      </c>
      <c r="D31" s="48">
        <v>15343</v>
      </c>
      <c r="E31" s="48">
        <v>18680</v>
      </c>
      <c r="F31" s="48">
        <v>21458</v>
      </c>
      <c r="G31" s="48">
        <v>26365</v>
      </c>
      <c r="H31" s="48">
        <v>29768</v>
      </c>
      <c r="I31" s="48">
        <v>31496</v>
      </c>
      <c r="J31" s="48">
        <v>32530</v>
      </c>
      <c r="K31" s="48">
        <v>56083</v>
      </c>
      <c r="L31" s="48">
        <v>60787</v>
      </c>
      <c r="M31" s="48">
        <v>71052</v>
      </c>
      <c r="N31" s="48">
        <v>78202</v>
      </c>
      <c r="O31" s="73"/>
      <c r="R31" t="s">
        <v>139</v>
      </c>
      <c r="S31">
        <v>152</v>
      </c>
      <c r="T31">
        <v>67</v>
      </c>
      <c r="U31" s="48">
        <v>36</v>
      </c>
      <c r="V31" s="48">
        <v>68</v>
      </c>
      <c r="W31" s="48">
        <v>124</v>
      </c>
      <c r="X31" s="48">
        <v>96</v>
      </c>
      <c r="Y31" s="48">
        <v>67</v>
      </c>
      <c r="Z31" s="48">
        <v>174</v>
      </c>
      <c r="AA31" s="48">
        <v>313</v>
      </c>
      <c r="AB31" s="48">
        <v>372</v>
      </c>
      <c r="AC31" s="48">
        <v>444</v>
      </c>
      <c r="AD31" s="48">
        <v>354</v>
      </c>
    </row>
    <row r="32" spans="2:30" x14ac:dyDescent="0.3">
      <c r="B32" s="48" t="s">
        <v>263</v>
      </c>
      <c r="C32" s="48">
        <v>14412</v>
      </c>
      <c r="D32" s="48">
        <v>2813</v>
      </c>
      <c r="E32" s="48">
        <v>5370</v>
      </c>
      <c r="F32" s="48">
        <v>8069</v>
      </c>
      <c r="G32" s="48">
        <v>10928</v>
      </c>
      <c r="H32" s="48">
        <v>14024</v>
      </c>
      <c r="I32" s="48">
        <v>16508</v>
      </c>
      <c r="J32" s="48">
        <v>18783</v>
      </c>
      <c r="K32" s="48">
        <v>28141</v>
      </c>
      <c r="L32" s="48">
        <v>32922</v>
      </c>
      <c r="M32" s="48">
        <v>38070</v>
      </c>
      <c r="N32" s="48">
        <v>43679</v>
      </c>
      <c r="O32" s="48"/>
      <c r="R32" t="s">
        <v>140</v>
      </c>
      <c r="S32">
        <v>54</v>
      </c>
      <c r="T32">
        <v>11</v>
      </c>
      <c r="U32" s="48">
        <v>13</v>
      </c>
      <c r="V32">
        <v>20</v>
      </c>
      <c r="W32">
        <v>9</v>
      </c>
      <c r="X32">
        <v>4</v>
      </c>
      <c r="Y32" s="48">
        <v>3</v>
      </c>
      <c r="Z32" s="48">
        <v>3</v>
      </c>
      <c r="AA32" s="48">
        <v>6</v>
      </c>
      <c r="AB32" s="48">
        <v>6</v>
      </c>
      <c r="AC32" s="48">
        <v>9</v>
      </c>
      <c r="AD32" s="48">
        <v>11</v>
      </c>
    </row>
    <row r="33" spans="2:58" x14ac:dyDescent="0.3">
      <c r="B33" t="s">
        <v>27</v>
      </c>
      <c r="C33" s="48">
        <v>12490</v>
      </c>
      <c r="D33" s="48">
        <v>12530</v>
      </c>
      <c r="E33" s="48">
        <v>13311</v>
      </c>
      <c r="F33" s="48">
        <v>13389</v>
      </c>
      <c r="G33" s="48">
        <v>15437</v>
      </c>
      <c r="H33" s="48">
        <v>15744</v>
      </c>
      <c r="I33" s="48">
        <v>14989</v>
      </c>
      <c r="J33" s="48">
        <v>13747</v>
      </c>
      <c r="K33" s="48">
        <v>27941</v>
      </c>
      <c r="L33" s="48">
        <v>27865</v>
      </c>
      <c r="M33" s="48">
        <v>32983</v>
      </c>
      <c r="N33" s="48">
        <v>34523</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428</v>
      </c>
      <c r="T34" s="48">
        <v>-186</v>
      </c>
      <c r="U34" s="48">
        <v>7</v>
      </c>
      <c r="V34" s="48">
        <v>0</v>
      </c>
      <c r="W34" s="48">
        <v>0</v>
      </c>
      <c r="X34" s="48">
        <v>-5</v>
      </c>
      <c r="Y34" s="48">
        <v>-3019</v>
      </c>
      <c r="Z34" s="48">
        <v>-1</v>
      </c>
      <c r="AA34" s="48">
        <v>3808</v>
      </c>
      <c r="AB34" s="48">
        <v>795</v>
      </c>
      <c r="AC34" s="48">
        <v>-269</v>
      </c>
      <c r="AD34" s="48">
        <v>1311</v>
      </c>
    </row>
    <row r="35" spans="2:58" x14ac:dyDescent="0.3">
      <c r="B35" t="s">
        <v>264</v>
      </c>
      <c r="C35" s="48">
        <v>1890</v>
      </c>
      <c r="D35" s="48">
        <v>1007</v>
      </c>
      <c r="E35" s="48">
        <v>1252</v>
      </c>
      <c r="F35" s="48">
        <v>2132</v>
      </c>
      <c r="G35" s="48">
        <v>1607</v>
      </c>
      <c r="H35" s="48">
        <v>1415</v>
      </c>
      <c r="I35" s="48">
        <v>1497</v>
      </c>
      <c r="J35" s="48">
        <v>2936</v>
      </c>
      <c r="K35" s="48">
        <v>4143</v>
      </c>
      <c r="L35" s="48">
        <v>7735</v>
      </c>
      <c r="M35" s="48">
        <v>7929</v>
      </c>
      <c r="N35" s="48">
        <v>9838</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13298</v>
      </c>
      <c r="D36" s="48">
        <v>20676</v>
      </c>
      <c r="E36" s="48">
        <v>29151</v>
      </c>
      <c r="F36" s="48">
        <v>36123</v>
      </c>
      <c r="G36" s="48">
        <v>37504</v>
      </c>
      <c r="H36" s="48">
        <v>37488</v>
      </c>
      <c r="I36" s="48">
        <v>42945</v>
      </c>
      <c r="J36" s="48">
        <v>42035</v>
      </c>
      <c r="K36" s="48">
        <v>49184</v>
      </c>
      <c r="L36" s="48">
        <v>57296</v>
      </c>
      <c r="M36" s="48">
        <v>66265</v>
      </c>
      <c r="N36" s="48">
        <v>76838</v>
      </c>
      <c r="O36" s="48"/>
      <c r="R36" t="s">
        <v>142</v>
      </c>
      <c r="S36" s="48">
        <v>-2004</v>
      </c>
      <c r="T36" s="48">
        <v>-1237</v>
      </c>
      <c r="U36" s="48">
        <v>-1129</v>
      </c>
      <c r="V36" s="48">
        <v>-3436</v>
      </c>
      <c r="W36" s="48">
        <v>-2948</v>
      </c>
      <c r="X36" s="48">
        <v>-3104</v>
      </c>
      <c r="Y36" s="48">
        <v>-1545</v>
      </c>
      <c r="Z36" s="48">
        <v>-1607</v>
      </c>
      <c r="AA36">
        <v>-1214</v>
      </c>
      <c r="AB36" s="48">
        <v>-4062</v>
      </c>
      <c r="AC36">
        <v>-4155</v>
      </c>
      <c r="AD36" s="48">
        <v>-4484</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6800</v>
      </c>
      <c r="D38" s="73">
        <v>8513</v>
      </c>
      <c r="E38" s="73">
        <v>8247</v>
      </c>
      <c r="F38" s="73">
        <v>8604</v>
      </c>
      <c r="G38" s="73">
        <v>9421</v>
      </c>
      <c r="H38" s="73">
        <v>8980</v>
      </c>
      <c r="I38" s="73">
        <v>11946</v>
      </c>
      <c r="J38" s="73">
        <v>15937</v>
      </c>
      <c r="K38" s="73">
        <v>18837</v>
      </c>
      <c r="L38" s="73">
        <v>22408</v>
      </c>
      <c r="M38" s="73">
        <v>23839</v>
      </c>
      <c r="N38" s="73">
        <v>27680</v>
      </c>
      <c r="O38" s="48"/>
      <c r="R38" t="s">
        <v>144</v>
      </c>
      <c r="S38">
        <v>92</v>
      </c>
      <c r="T38">
        <v>77</v>
      </c>
      <c r="U38" s="48">
        <v>484</v>
      </c>
      <c r="V38">
        <v>10</v>
      </c>
      <c r="W38">
        <v>39</v>
      </c>
      <c r="X38">
        <v>0</v>
      </c>
      <c r="Y38">
        <v>380</v>
      </c>
      <c r="Z38">
        <v>0</v>
      </c>
      <c r="AA38" s="48">
        <v>831</v>
      </c>
      <c r="AB38" s="48">
        <v>0</v>
      </c>
      <c r="AC38">
        <v>0</v>
      </c>
      <c r="AD38">
        <v>0</v>
      </c>
    </row>
    <row r="39" spans="2:58" x14ac:dyDescent="0.3">
      <c r="B39" t="s">
        <v>266</v>
      </c>
      <c r="C39" s="48">
        <v>2745</v>
      </c>
      <c r="D39" s="48">
        <v>3133</v>
      </c>
      <c r="E39" s="48">
        <v>3264</v>
      </c>
      <c r="F39" s="48">
        <v>3160</v>
      </c>
      <c r="G39" s="48">
        <v>3323</v>
      </c>
      <c r="H39" s="48">
        <v>3214</v>
      </c>
      <c r="I39" s="48">
        <v>3049</v>
      </c>
      <c r="J39" s="48">
        <v>3532</v>
      </c>
      <c r="K39" s="48">
        <v>5444</v>
      </c>
      <c r="L39" s="48">
        <v>5318</v>
      </c>
      <c r="M39" s="48">
        <v>6913</v>
      </c>
      <c r="N39" s="48">
        <v>11321</v>
      </c>
      <c r="O39" s="48"/>
      <c r="R39" t="s">
        <v>145</v>
      </c>
      <c r="S39">
        <v>-1449</v>
      </c>
      <c r="T39">
        <v>-313</v>
      </c>
      <c r="U39">
        <v>-231</v>
      </c>
      <c r="V39">
        <v>-373</v>
      </c>
      <c r="W39">
        <v>0</v>
      </c>
      <c r="X39">
        <v>-46</v>
      </c>
      <c r="Y39">
        <v>0</v>
      </c>
      <c r="Z39">
        <v>-110</v>
      </c>
      <c r="AA39">
        <v>0</v>
      </c>
      <c r="AB39">
        <v>-1183</v>
      </c>
      <c r="AC39">
        <v>-33</v>
      </c>
      <c r="AD39" s="48">
        <v>0</v>
      </c>
    </row>
    <row r="40" spans="2:58" x14ac:dyDescent="0.3">
      <c r="B40" t="s">
        <v>267</v>
      </c>
      <c r="C40" s="48">
        <v>1144</v>
      </c>
      <c r="D40" s="48">
        <v>1323</v>
      </c>
      <c r="E40" s="48">
        <v>1203</v>
      </c>
      <c r="F40" s="48">
        <v>1465</v>
      </c>
      <c r="G40" s="48">
        <v>2313</v>
      </c>
      <c r="H40" s="48">
        <v>1978</v>
      </c>
      <c r="I40" s="48">
        <v>1280</v>
      </c>
      <c r="J40" s="48">
        <v>2034</v>
      </c>
      <c r="K40" s="48">
        <v>3285</v>
      </c>
      <c r="L40" s="48">
        <v>4597</v>
      </c>
      <c r="M40" s="48">
        <v>6540</v>
      </c>
      <c r="N40" s="48">
        <v>5342</v>
      </c>
      <c r="O40" s="48"/>
      <c r="R40" t="s">
        <v>146</v>
      </c>
      <c r="S40">
        <v>-222</v>
      </c>
      <c r="T40">
        <v>-92</v>
      </c>
      <c r="U40">
        <v>-110</v>
      </c>
      <c r="V40" s="48">
        <v>-346</v>
      </c>
      <c r="W40">
        <v>-73</v>
      </c>
      <c r="X40">
        <v>-136</v>
      </c>
      <c r="Y40" s="48">
        <v>-102</v>
      </c>
      <c r="Z40">
        <v>-130</v>
      </c>
      <c r="AA40" s="48">
        <v>-186</v>
      </c>
      <c r="AB40" s="48">
        <v>-147</v>
      </c>
      <c r="AC40" s="48">
        <v>-167</v>
      </c>
      <c r="AD40" s="48">
        <v>-204</v>
      </c>
    </row>
    <row r="41" spans="2:58" x14ac:dyDescent="0.3">
      <c r="B41" t="s">
        <v>268</v>
      </c>
      <c r="C41" s="48">
        <v>43</v>
      </c>
      <c r="D41" s="48">
        <v>51</v>
      </c>
      <c r="E41" s="48">
        <v>24</v>
      </c>
      <c r="F41" s="48">
        <v>74</v>
      </c>
      <c r="G41" s="48">
        <v>188</v>
      </c>
      <c r="H41" s="48">
        <v>29</v>
      </c>
      <c r="I41" s="48">
        <v>3047</v>
      </c>
      <c r="J41" s="48">
        <v>3042</v>
      </c>
      <c r="K41" s="48">
        <v>2748</v>
      </c>
      <c r="L41" s="48">
        <v>2827</v>
      </c>
      <c r="M41" s="48">
        <v>553</v>
      </c>
      <c r="N41" s="48">
        <v>1580</v>
      </c>
      <c r="O41" s="48"/>
      <c r="R41" t="s">
        <v>147</v>
      </c>
      <c r="S41" s="48">
        <v>-362</v>
      </c>
      <c r="T41" s="48">
        <v>-755</v>
      </c>
      <c r="U41" s="48">
        <v>-1057</v>
      </c>
      <c r="V41" s="48">
        <v>-2266</v>
      </c>
      <c r="W41" s="48">
        <v>-2417</v>
      </c>
      <c r="X41" s="48">
        <v>-2417</v>
      </c>
      <c r="Y41" s="48">
        <v>-1812</v>
      </c>
      <c r="Z41" s="48">
        <v>-1359</v>
      </c>
      <c r="AA41" s="48">
        <v>-1812</v>
      </c>
      <c r="AB41" s="48">
        <v>-2719</v>
      </c>
      <c r="AC41" s="48">
        <v>-3930</v>
      </c>
      <c r="AD41" s="48">
        <v>-4244</v>
      </c>
    </row>
    <row r="42" spans="2:58" x14ac:dyDescent="0.3">
      <c r="B42" t="s">
        <v>269</v>
      </c>
      <c r="C42" s="48">
        <v>126</v>
      </c>
      <c r="D42" s="48">
        <v>623</v>
      </c>
      <c r="E42" s="48">
        <v>688</v>
      </c>
      <c r="F42" s="48">
        <v>1290</v>
      </c>
      <c r="G42" s="48">
        <v>1160</v>
      </c>
      <c r="H42" s="48">
        <v>1362</v>
      </c>
      <c r="I42" s="48">
        <v>1412</v>
      </c>
      <c r="J42" s="48">
        <v>2880</v>
      </c>
      <c r="K42" s="48">
        <v>349</v>
      </c>
      <c r="L42" s="48">
        <v>825</v>
      </c>
      <c r="M42" s="48">
        <v>339</v>
      </c>
      <c r="N42" s="48">
        <v>339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2741</v>
      </c>
      <c r="D43" s="48">
        <v>3384</v>
      </c>
      <c r="E43" s="48">
        <v>3069</v>
      </c>
      <c r="F43" s="48">
        <v>2615</v>
      </c>
      <c r="G43" s="48">
        <v>2438</v>
      </c>
      <c r="H43" s="48">
        <v>2398</v>
      </c>
      <c r="I43" s="48">
        <v>3158</v>
      </c>
      <c r="J43" s="48">
        <v>4448</v>
      </c>
      <c r="K43" s="48">
        <v>7012</v>
      </c>
      <c r="L43" s="48">
        <v>8841</v>
      </c>
      <c r="M43" s="48">
        <v>9494</v>
      </c>
      <c r="N43" s="48">
        <v>9098</v>
      </c>
      <c r="O43" s="73"/>
      <c r="R43" t="s">
        <v>149</v>
      </c>
      <c r="S43">
        <v>0</v>
      </c>
      <c r="T43">
        <v>0</v>
      </c>
      <c r="U43">
        <v>0</v>
      </c>
      <c r="V43">
        <v>0</v>
      </c>
      <c r="W43">
        <v>0</v>
      </c>
      <c r="X43">
        <v>-49</v>
      </c>
      <c r="Y43">
        <v>-55</v>
      </c>
      <c r="Z43">
        <v>-59</v>
      </c>
      <c r="AA43">
        <v>-59</v>
      </c>
      <c r="AB43">
        <v>-67</v>
      </c>
      <c r="AC43">
        <v>-66</v>
      </c>
      <c r="AD43">
        <v>-68</v>
      </c>
    </row>
    <row r="44" spans="2:58" x14ac:dyDescent="0.3">
      <c r="B44" s="57" t="s">
        <v>96</v>
      </c>
      <c r="C44" s="48">
        <v>34477</v>
      </c>
      <c r="D44" s="48">
        <v>42726</v>
      </c>
      <c r="E44" s="48">
        <v>51960</v>
      </c>
      <c r="F44" s="48">
        <v>60248</v>
      </c>
      <c r="G44" s="48">
        <v>63969</v>
      </c>
      <c r="H44" s="48">
        <v>63628</v>
      </c>
      <c r="I44" s="48">
        <v>71376</v>
      </c>
      <c r="J44" s="48">
        <v>74656</v>
      </c>
      <c r="K44" s="48">
        <v>100106</v>
      </c>
      <c r="L44" s="48">
        <v>115304</v>
      </c>
      <c r="M44" s="48">
        <v>131016</v>
      </c>
      <c r="N44" s="48">
        <v>148880</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-45</v>
      </c>
      <c r="T45">
        <v>16</v>
      </c>
      <c r="U45">
        <v>-20</v>
      </c>
      <c r="V45">
        <v>50</v>
      </c>
      <c r="W45">
        <v>113</v>
      </c>
      <c r="X45">
        <v>-165</v>
      </c>
      <c r="Y45">
        <v>20</v>
      </c>
      <c r="Z45">
        <v>-6</v>
      </c>
      <c r="AA45">
        <v>780</v>
      </c>
      <c r="AB45">
        <v>874</v>
      </c>
      <c r="AC45">
        <v>-2475</v>
      </c>
      <c r="AD45">
        <v>-118</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t="s">
        <v>8611</v>
      </c>
      <c r="M56">
        <v>12103</v>
      </c>
      <c r="N56">
        <v>31.4</v>
      </c>
      <c r="AR56">
        <v>380521.44</v>
      </c>
      <c r="AS56">
        <f>AZ56-BA56</f>
        <v>-1478</v>
      </c>
      <c r="AT56">
        <f>AR56+AS56</f>
        <v>379043.44</v>
      </c>
      <c r="AU56">
        <v>209879.2</v>
      </c>
      <c r="AV56">
        <f t="shared" ref="AV56:AV65" si="0">AT56/AX56</f>
        <v>20087.09273979862</v>
      </c>
      <c r="AW56">
        <v>13787.6</v>
      </c>
      <c r="AX56">
        <v>18.87</v>
      </c>
      <c r="AZ56">
        <v>102</v>
      </c>
      <c r="BA56">
        <v>1580</v>
      </c>
    </row>
    <row r="57" spans="11:58" x14ac:dyDescent="0.3">
      <c r="K57">
        <v>1</v>
      </c>
      <c r="L57" t="s">
        <v>8612</v>
      </c>
      <c r="M57">
        <v>12103</v>
      </c>
      <c r="N57">
        <v>31.44</v>
      </c>
      <c r="AR57">
        <v>379525</v>
      </c>
      <c r="AS57">
        <f>AZ57-BA57</f>
        <v>75905</v>
      </c>
      <c r="AT57">
        <f>AR57+AS57</f>
        <v>455430</v>
      </c>
      <c r="AU57">
        <v>232750.28</v>
      </c>
      <c r="AV57">
        <f t="shared" si="0"/>
        <v>30160.927152317883</v>
      </c>
      <c r="AW57">
        <v>23990.240000000002</v>
      </c>
      <c r="AX57">
        <v>15.1</v>
      </c>
      <c r="AZ57">
        <v>94881.25</v>
      </c>
      <c r="BA57">
        <v>18976.25</v>
      </c>
    </row>
    <row r="58" spans="11:58" x14ac:dyDescent="0.3">
      <c r="K58">
        <v>2</v>
      </c>
      <c r="L58" t="s">
        <v>8613</v>
      </c>
      <c r="M58">
        <v>3052</v>
      </c>
      <c r="N58">
        <v>124.35</v>
      </c>
      <c r="AR58">
        <v>313661.09999999998</v>
      </c>
      <c r="AS58">
        <f>AZ58-BA58</f>
        <v>62732.210000000006</v>
      </c>
      <c r="AT58">
        <f>AR58+AS58</f>
        <v>376393.31</v>
      </c>
      <c r="AU58">
        <v>86755.32</v>
      </c>
      <c r="AV58">
        <f t="shared" si="0"/>
        <v>13328.375</v>
      </c>
      <c r="AW58">
        <v>12755</v>
      </c>
      <c r="AX58">
        <v>28.24</v>
      </c>
      <c r="AZ58">
        <v>78415.27</v>
      </c>
      <c r="BA58">
        <v>15683.06</v>
      </c>
    </row>
    <row r="59" spans="11:58" x14ac:dyDescent="0.3">
      <c r="K59">
        <v>3</v>
      </c>
      <c r="L59" t="s">
        <v>8614</v>
      </c>
      <c r="M59">
        <v>11414</v>
      </c>
      <c r="N59">
        <v>27.48</v>
      </c>
      <c r="AR59">
        <v>206330.52</v>
      </c>
      <c r="AS59">
        <f>AZ59-BA59</f>
        <v>41266.1</v>
      </c>
      <c r="AT59">
        <f>AR59+AS59</f>
        <v>247596.62</v>
      </c>
      <c r="AU59">
        <v>26529.68</v>
      </c>
      <c r="AV59">
        <f t="shared" si="0"/>
        <v>8109.9449721585324</v>
      </c>
      <c r="AW59">
        <v>5850.04</v>
      </c>
      <c r="AX59">
        <v>30.53</v>
      </c>
      <c r="AZ59">
        <v>51582.63</v>
      </c>
      <c r="BA59">
        <v>10316.530000000001</v>
      </c>
    </row>
    <row r="60" spans="11:58" x14ac:dyDescent="0.3">
      <c r="K60">
        <v>4</v>
      </c>
      <c r="L60" t="s">
        <v>8615</v>
      </c>
      <c r="M60">
        <v>7516</v>
      </c>
      <c r="N60">
        <v>27.45</v>
      </c>
      <c r="AR60">
        <v>198173.09</v>
      </c>
      <c r="AS60">
        <f>AZ60-BA60</f>
        <v>39634.619999999995</v>
      </c>
      <c r="AT60">
        <f>AR60+AS60</f>
        <v>237807.71</v>
      </c>
      <c r="AU60">
        <v>65182.080000000002</v>
      </c>
      <c r="AV60">
        <f t="shared" si="0"/>
        <v>13690.714450201496</v>
      </c>
      <c r="AW60">
        <v>4230.4399999999996</v>
      </c>
      <c r="AX60">
        <v>17.37</v>
      </c>
      <c r="AZ60">
        <v>49543.27</v>
      </c>
      <c r="BA60">
        <v>9908.65</v>
      </c>
    </row>
    <row r="61" spans="11:58" x14ac:dyDescent="0.3">
      <c r="K61">
        <v>5</v>
      </c>
      <c r="L61" t="s">
        <v>8616</v>
      </c>
      <c r="M61">
        <v>4171.3</v>
      </c>
      <c r="N61">
        <v>47.51</v>
      </c>
      <c r="AR61">
        <v>179474.08</v>
      </c>
      <c r="AS61">
        <f>AZ61-BA61</f>
        <v>35894.819999999992</v>
      </c>
      <c r="AT61">
        <f>AR61+AS61</f>
        <v>215368.89999999997</v>
      </c>
      <c r="AU61">
        <v>65338.52</v>
      </c>
      <c r="AV61">
        <f t="shared" si="0"/>
        <v>5608.5651041666661</v>
      </c>
      <c r="AW61">
        <v>3554.48</v>
      </c>
      <c r="AX61">
        <v>38.4</v>
      </c>
      <c r="AZ61">
        <v>44868.52</v>
      </c>
      <c r="BA61">
        <v>8973.7000000000007</v>
      </c>
    </row>
    <row r="62" spans="11:58" x14ac:dyDescent="0.3">
      <c r="K62">
        <v>6</v>
      </c>
      <c r="L62" t="s">
        <v>8617</v>
      </c>
      <c r="M62">
        <v>2208.8000000000002</v>
      </c>
      <c r="N62">
        <v>81.25</v>
      </c>
      <c r="AR62">
        <v>171583.57</v>
      </c>
      <c r="AS62">
        <f>AZ62-BA62</f>
        <v>34316.71</v>
      </c>
      <c r="AT62">
        <f>AR62+AS62</f>
        <v>205900.28</v>
      </c>
      <c r="AU62">
        <v>140975.07999999999</v>
      </c>
      <c r="AV62">
        <f t="shared" si="0"/>
        <v>15331.368577810872</v>
      </c>
      <c r="AW62">
        <v>4302.6400000000003</v>
      </c>
      <c r="AX62">
        <v>13.43</v>
      </c>
      <c r="AZ62">
        <v>42895.89</v>
      </c>
      <c r="BA62">
        <v>8579.18</v>
      </c>
    </row>
    <row r="63" spans="11:58" x14ac:dyDescent="0.3">
      <c r="K63">
        <v>7</v>
      </c>
      <c r="L63" t="s">
        <v>8618</v>
      </c>
      <c r="M63">
        <v>162.57</v>
      </c>
      <c r="N63">
        <v>1055.44</v>
      </c>
      <c r="AR63">
        <v>138631.67000000001</v>
      </c>
      <c r="AS63">
        <f>AZ63-BA63</f>
        <v>27726.339999999997</v>
      </c>
      <c r="AT63">
        <f>AR63+AS63</f>
        <v>166358.01</v>
      </c>
      <c r="AU63">
        <v>23367.599999999999</v>
      </c>
      <c r="AV63">
        <f t="shared" si="0"/>
        <v>7723.2130919220062</v>
      </c>
      <c r="AW63">
        <v>2824.4</v>
      </c>
      <c r="AX63">
        <v>21.54</v>
      </c>
      <c r="AZ63">
        <v>34657.919999999998</v>
      </c>
      <c r="BA63">
        <v>6931.58</v>
      </c>
    </row>
    <row r="64" spans="11:58" x14ac:dyDescent="0.3">
      <c r="K64">
        <v>8</v>
      </c>
      <c r="L64" t="s">
        <v>8619</v>
      </c>
      <c r="M64">
        <v>47000</v>
      </c>
      <c r="N64">
        <v>2.95</v>
      </c>
      <c r="AR64">
        <v>111886.25</v>
      </c>
      <c r="AS64">
        <f>AZ64-BA64</f>
        <v>22377.25</v>
      </c>
      <c r="AT64">
        <f>AR64+AS64</f>
        <v>134263.5</v>
      </c>
      <c r="AU64">
        <v>383196</v>
      </c>
      <c r="AV64">
        <f t="shared" si="0"/>
        <v>49180.769230769234</v>
      </c>
      <c r="AW64">
        <v>3436</v>
      </c>
      <c r="AX64">
        <v>2.73</v>
      </c>
      <c r="AZ64">
        <v>27971.56</v>
      </c>
      <c r="BA64">
        <v>5594.31</v>
      </c>
    </row>
    <row r="65" spans="11:53" x14ac:dyDescent="0.3">
      <c r="K65">
        <v>9</v>
      </c>
      <c r="L65" t="s">
        <v>8620</v>
      </c>
      <c r="M65">
        <v>303.8</v>
      </c>
      <c r="N65">
        <v>368.29</v>
      </c>
      <c r="AR65">
        <v>105784.63</v>
      </c>
      <c r="AS65">
        <f>AZ65-BA65</f>
        <v>21156.93</v>
      </c>
      <c r="AT65">
        <f>AR65+AS65</f>
        <v>126941.56</v>
      </c>
      <c r="AU65">
        <v>52505.4</v>
      </c>
      <c r="AV65">
        <f t="shared" si="0"/>
        <v>3604.2464508801818</v>
      </c>
      <c r="AW65">
        <v>5671.72</v>
      </c>
      <c r="AX65">
        <v>35.22</v>
      </c>
      <c r="AZ65">
        <v>26446.16</v>
      </c>
      <c r="BA65">
        <v>5289.23</v>
      </c>
    </row>
    <row r="66" spans="11:53" x14ac:dyDescent="0.3">
      <c r="K66">
        <v>10</v>
      </c>
      <c r="L66" t="s">
        <v>8621</v>
      </c>
      <c r="M66">
        <v>5285.5</v>
      </c>
      <c r="N66">
        <v>20.010000000000002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2026-09-19T14:09:21Z</dcterms:modified>
</cp:coreProperties>
</file>