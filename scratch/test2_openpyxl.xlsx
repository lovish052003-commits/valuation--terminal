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Maruti Suzuki India Ltd (MARUTI)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IF(C5&gt;0.15,"UNDERVALUED / BUY",IF(C5&lt;-0.15,"OVERVALUED / SELL","FAIRLY VALUED / HOLD"))</f>
        <v/>
      </c>
      <c r="E5" s="169">
        <f>DCF!D20</f>
        <v/>
      </c>
      <c r="F5" s="170">
        <f>'Altman''s Z Score'!I89</f>
        <v/>
      </c>
      <c r="G5" s="169">
        <f>'Dupont Analysis'!I78</f>
        <v/>
      </c>
    </row>
    <row r="7" ht="15.6" customHeight="1" s="176">
      <c r="A7" s="167" t="inlineStr">
        <is>
          <t>THE 4 CORE VALUATION PILLARS</t>
        </is>
      </c>
    </row>
    <row r="8">
      <c r="A8" s="37" t="inlineStr">
        <is>
          <t>Pillar 1: FCF Engine</t>
        </is>
      </c>
      <c r="B8" t="inlineStr">
        <is>
          <t>CFO ₹19100.0 Cr vs PAT ₹14680.0 Cr | EBIT Mgn 10.56% | CCC -19.0 days</t>
        </is>
      </c>
    </row>
    <row r="9">
      <c r="A9" s="37" t="inlineStr">
        <is>
          <t>Pillar 2: Growth Trajectory</t>
        </is>
      </c>
      <c r="B9" t="inlineStr">
        <is>
          <t>3Y Sales CAGR 11.6% | 5Y CAGR 17.42% | Forecast g 5.2% | Terminal g 4.0%</t>
        </is>
      </c>
    </row>
    <row r="10">
      <c r="A10" s="37" t="inlineStr">
        <is>
          <t>Pillar 3: Cost of Capital (WACC)</t>
        </is>
      </c>
      <c r="B10" t="inlineStr">
        <is>
          <t>WACC 12.05% | Ke 12.73% | Beta 0.88 | ERP 6.5% | Rf 7.0%</t>
        </is>
      </c>
    </row>
    <row r="11">
      <c r="A11" s="37" t="inlineStr">
        <is>
          <t>Pillar 4: Relative Multiples</t>
        </is>
      </c>
      <c r="B11" t="inlineStr">
        <is>
          <t>P/E 26.6x | P/B 3.55x | EV/EBITDA 5.6x | EV/Sales 0.66x</t>
        </is>
      </c>
    </row>
    <row r="13">
      <c r="A13" s="37" t="inlineStr">
        <is>
          <t>5-Year Discounted Cash Flow (DCF) Schedule (Amounts in ₹ Cr)</t>
        </is>
      </c>
    </row>
    <row r="14">
      <c r="A14" s="171" t="inlineStr">
        <is>
          <t>Year</t>
        </is>
      </c>
      <c r="B14" s="171" t="inlineStr">
        <is>
          <t>EBIT</t>
        </is>
      </c>
      <c r="C14" s="171" t="inlineStr">
        <is>
          <t>NOPAT</t>
        </is>
      </c>
      <c r="D14" s="171" t="inlineStr">
        <is>
          <t>Reinvest Rate</t>
        </is>
      </c>
      <c r="E14" s="171" t="inlineStr">
        <is>
          <t>FCFF</t>
        </is>
      </c>
      <c r="F14" s="171" t="inlineStr">
        <is>
          <t>Discount Factor</t>
        </is>
      </c>
      <c r="G14" s="171" t="inlineStr">
        <is>
          <t>PV of FCFF</t>
        </is>
      </c>
    </row>
    <row r="15">
      <c r="A15" s="180" t="inlineStr">
        <is>
          <t>Year 1</t>
        </is>
      </c>
      <c r="B15" s="172">
        <f>DCF!I8</f>
        <v/>
      </c>
      <c r="C15" s="172">
        <f>DCF!I10</f>
        <v/>
      </c>
      <c r="D15" s="46">
        <f>DCF!I11</f>
        <v/>
      </c>
      <c r="E15" s="172">
        <f>DCF!I12</f>
        <v/>
      </c>
      <c r="F15" s="173">
        <f>DCF!I14</f>
        <v/>
      </c>
      <c r="G15" s="172">
        <f>DCF!I16</f>
        <v/>
      </c>
    </row>
    <row r="16">
      <c r="A16" s="180" t="inlineStr">
        <is>
          <t>Year 2</t>
        </is>
      </c>
      <c r="B16" s="172">
        <f>DCF!J8</f>
        <v/>
      </c>
      <c r="C16" s="172">
        <f>DCF!J10</f>
        <v/>
      </c>
      <c r="D16" s="46">
        <f>DCF!J11</f>
        <v/>
      </c>
      <c r="E16" s="172">
        <f>DCF!J12</f>
        <v/>
      </c>
      <c r="F16" s="173">
        <f>DCF!J14</f>
        <v/>
      </c>
      <c r="G16" s="172">
        <f>DCF!J16</f>
        <v/>
      </c>
    </row>
    <row r="17">
      <c r="A17" s="180" t="inlineStr">
        <is>
          <t>Year 3</t>
        </is>
      </c>
      <c r="B17" s="172">
        <f>DCF!K8</f>
        <v/>
      </c>
      <c r="C17" s="172">
        <f>DCF!K10</f>
        <v/>
      </c>
      <c r="D17" s="46">
        <f>DCF!K11</f>
        <v/>
      </c>
      <c r="E17" s="172">
        <f>DCF!K12</f>
        <v/>
      </c>
      <c r="F17" s="173">
        <f>DCF!K14</f>
        <v/>
      </c>
      <c r="G17" s="172">
        <f>DCF!K16</f>
        <v/>
      </c>
    </row>
    <row r="18">
      <c r="A18" s="180" t="inlineStr">
        <is>
          <t>Year 4</t>
        </is>
      </c>
      <c r="B18" s="172">
        <f>DCF!L8</f>
        <v/>
      </c>
      <c r="C18" s="172">
        <f>DCF!L10</f>
        <v/>
      </c>
      <c r="D18" s="46">
        <f>DCF!L11</f>
        <v/>
      </c>
      <c r="E18" s="172">
        <f>DCF!L12</f>
        <v/>
      </c>
      <c r="F18" s="173">
        <f>DCF!L14</f>
        <v/>
      </c>
      <c r="G18" s="172">
        <f>DCF!L16</f>
        <v/>
      </c>
    </row>
    <row r="19">
      <c r="A19" s="180" t="inlineStr">
        <is>
          <t>Year 5</t>
        </is>
      </c>
      <c r="B19" s="172">
        <f>DCF!M8</f>
        <v/>
      </c>
      <c r="C19" s="172">
        <f>DCF!M10</f>
        <v/>
      </c>
      <c r="D19" s="46">
        <f>DCF!M11</f>
        <v/>
      </c>
      <c r="E19" s="172">
        <f>DCF!M12</f>
        <v/>
      </c>
      <c r="F19" s="173">
        <f>DCF!M14</f>
        <v/>
      </c>
      <c r="G19" s="172">
        <f>DCF!M16</f>
        <v/>
      </c>
    </row>
    <row r="21">
      <c r="A21" s="37" t="inlineStr">
        <is>
          <t>Enterprise to Equity Value Bridge</t>
        </is>
      </c>
    </row>
    <row r="22">
      <c r="A22" s="37" t="inlineStr">
        <is>
          <t>PV of 5-Year FCFFs</t>
        </is>
      </c>
      <c r="B22" s="172">
        <f>DCF!D33</f>
        <v/>
      </c>
    </row>
    <row r="23">
      <c r="A23" s="37" t="inlineStr">
        <is>
          <t>Terminal Value</t>
        </is>
      </c>
      <c r="B23" s="172">
        <f>DCF!D29</f>
        <v/>
      </c>
    </row>
    <row r="24">
      <c r="A24" s="37" t="inlineStr">
        <is>
          <t>PV of Terminal Value</t>
        </is>
      </c>
      <c r="B24" s="172">
        <f>DCF!D34</f>
        <v/>
      </c>
    </row>
    <row r="25">
      <c r="A25" s="37" t="inlineStr">
        <is>
          <t>Enterprise Value (Operating Assets)</t>
        </is>
      </c>
      <c r="B25" s="172">
        <f>DCF!D35</f>
        <v/>
      </c>
    </row>
    <row r="26">
      <c r="A26" s="37" t="inlineStr">
        <is>
          <t>Add: Estimated Cash &amp; Liquid Assets</t>
        </is>
      </c>
      <c r="B26" s="172">
        <f>DCF!D37</f>
        <v/>
      </c>
    </row>
    <row r="27">
      <c r="A27" s="37" t="inlineStr">
        <is>
          <t>Less: Total Debt &amp; Borrowings</t>
        </is>
      </c>
      <c r="B27" s="172">
        <f>DCF!D38</f>
        <v/>
      </c>
    </row>
    <row r="28">
      <c r="A28" s="37" t="inlineStr">
        <is>
          <t>Net Equity Value</t>
        </is>
      </c>
      <c r="B28" s="172">
        <f>DCF!D39</f>
        <v/>
      </c>
    </row>
    <row r="29">
      <c r="A29" s="37" t="inlineStr">
        <is>
          <t>Shares Outstanding</t>
        </is>
      </c>
      <c r="B29" s="172">
        <f>DCF!D40</f>
        <v/>
      </c>
    </row>
    <row r="30">
      <c r="A30" s="37" t="inlineStr">
        <is>
          <t>Intrinsic Value per Share</t>
        </is>
      </c>
      <c r="B30" s="163">
        <f>DCF!D42</f>
        <v/>
      </c>
    </row>
    <row r="31">
      <c r="A31" s="37" t="inlineStr">
        <is>
          <t>Current Market Price</t>
        </is>
      </c>
      <c r="B31" s="163">
        <f>DCF!D44</f>
        <v/>
      </c>
    </row>
    <row r="32">
      <c r="A32" s="37" t="inlineStr">
        <is>
          <t>Margin of Safety / Discount</t>
        </is>
      </c>
      <c r="B32" s="165">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102</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76838</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314000000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30.22</v>
      </c>
      <c r="C93" s="198" t="n">
        <v>30.22</v>
      </c>
      <c r="D93" s="198" t="n">
        <v>30.22</v>
      </c>
      <c r="E93" s="198" t="n">
        <v>30.22</v>
      </c>
      <c r="F93" s="198" t="n">
        <v>30.22</v>
      </c>
      <c r="G93" s="198" t="n">
        <v>30.22</v>
      </c>
      <c r="H93" s="198" t="n">
        <v>30.22</v>
      </c>
      <c r="I93" s="198" t="n">
        <v>30.22</v>
      </c>
      <c r="J93" s="198" t="n">
        <v>30.22</v>
      </c>
      <c r="K93" s="198" t="n">
        <v>30.22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t="n">
        <v>12103</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Maruti Suzuki</t>
        </is>
      </c>
      <c r="P12" t="n">
        <v>12103</v>
      </c>
      <c r="Q12" t="n">
        <v>31.44</v>
      </c>
      <c r="R12" t="n">
        <v>380521.44</v>
      </c>
      <c r="S12" t="n">
        <v>95130.36</v>
      </c>
      <c r="T12" t="n">
        <v>19026.07</v>
      </c>
      <c r="U12" t="n">
        <v>456625.73</v>
      </c>
      <c r="V12" t="n">
        <v>66052</v>
      </c>
      <c r="W12" t="n">
        <v>30.61</v>
      </c>
      <c r="X12" t="n">
        <v>14971</v>
      </c>
    </row>
    <row r="13">
      <c r="B13" t="n">
        <v>2018</v>
      </c>
      <c r="C13" s="46" t="n">
        <v>0.0315</v>
      </c>
      <c r="G13" s="34" t="n">
        <v>46273</v>
      </c>
      <c r="H13" t="n">
        <v>12641</v>
      </c>
      <c r="J13" t="n">
        <v>23635.1</v>
      </c>
      <c r="N13" t="n">
        <v>2</v>
      </c>
      <c r="O13" t="inlineStr">
        <is>
          <t>M &amp; M</t>
        </is>
      </c>
      <c r="P13" t="n">
        <v>3052</v>
      </c>
      <c r="Q13" t="n">
        <v>124.35</v>
      </c>
      <c r="R13" t="n">
        <v>379525</v>
      </c>
      <c r="S13" t="n">
        <v>94881.25</v>
      </c>
      <c r="T13" t="n">
        <v>18976.25</v>
      </c>
      <c r="U13" t="n">
        <v>455430</v>
      </c>
      <c r="V13" t="n">
        <v>76487.98</v>
      </c>
      <c r="W13" t="n">
        <v>12.44</v>
      </c>
      <c r="X13" t="n">
        <v>20183.53</v>
      </c>
    </row>
    <row r="14">
      <c r="B14" t="n">
        <v>2017</v>
      </c>
      <c r="C14" s="46" t="n">
        <v>0.2865</v>
      </c>
      <c r="G14" s="34" t="n">
        <v>46272</v>
      </c>
      <c r="H14" t="n">
        <v>12760</v>
      </c>
      <c r="J14" t="n">
        <v>23779.15</v>
      </c>
      <c r="N14" t="n">
        <v>3</v>
      </c>
      <c r="O14" t="inlineStr">
        <is>
          <t>Bajaj Auto</t>
        </is>
      </c>
      <c r="P14" t="n">
        <v>11414</v>
      </c>
      <c r="Q14" t="n">
        <v>27.48</v>
      </c>
      <c r="R14" t="n">
        <v>313661.1</v>
      </c>
      <c r="S14" t="n">
        <v>78415.27</v>
      </c>
      <c r="T14" t="n">
        <v>15683.06</v>
      </c>
      <c r="U14" t="n">
        <v>376393.31</v>
      </c>
      <c r="V14" t="n">
        <v>4400.19</v>
      </c>
      <c r="W14" t="n">
        <v>20.53</v>
      </c>
      <c r="X14" t="n">
        <v>158.3</v>
      </c>
    </row>
    <row r="15">
      <c r="B15" t="n">
        <v>2016</v>
      </c>
      <c r="C15" s="46" t="n">
        <v>0.0301</v>
      </c>
      <c r="G15" s="34" t="n">
        <v>46269</v>
      </c>
      <c r="H15" t="n">
        <v>12694</v>
      </c>
      <c r="J15" t="n">
        <v>23897.7</v>
      </c>
      <c r="N15" t="n">
        <v>4</v>
      </c>
      <c r="O15" t="inlineStr">
        <is>
          <t>Eicher Motors</t>
        </is>
      </c>
      <c r="P15" t="n">
        <v>7516</v>
      </c>
      <c r="Q15" t="n">
        <v>27.45</v>
      </c>
      <c r="R15" t="n">
        <v>206330.52</v>
      </c>
      <c r="S15" t="n">
        <v>51582.63</v>
      </c>
      <c r="T15" t="n">
        <v>10316.53</v>
      </c>
      <c r="U15" t="n">
        <v>247596.62</v>
      </c>
      <c r="V15" t="n">
        <v>2012.58</v>
      </c>
      <c r="W15" t="n">
        <v>12.74</v>
      </c>
      <c r="X15" t="n">
        <v>0.22</v>
      </c>
    </row>
    <row r="16">
      <c r="B16" t="n">
        <v>2015</v>
      </c>
      <c r="C16" s="46" t="n">
        <v>-0.0406</v>
      </c>
      <c r="G16" s="34" t="n">
        <v>46268</v>
      </c>
      <c r="H16" t="n">
        <v>12857</v>
      </c>
      <c r="J16" t="n">
        <v>23873.45</v>
      </c>
      <c r="N16" t="n">
        <v>5</v>
      </c>
      <c r="O16" t="inlineStr">
        <is>
          <t>TVS Motor Co.</t>
        </is>
      </c>
      <c r="P16" t="n">
        <v>4171.3</v>
      </c>
      <c r="Q16" t="n">
        <v>47.51</v>
      </c>
      <c r="R16" t="n">
        <v>198173.09</v>
      </c>
      <c r="S16" t="n">
        <v>49543.27</v>
      </c>
      <c r="T16" t="n">
        <v>9908.65</v>
      </c>
      <c r="U16" t="n">
        <v>237807.71</v>
      </c>
      <c r="V16" t="n">
        <v>238.77</v>
      </c>
      <c r="W16" t="n">
        <v>13.43</v>
      </c>
      <c r="X16" t="n">
        <v>8.51</v>
      </c>
    </row>
    <row r="17">
      <c r="B17" t="n">
        <v>2014</v>
      </c>
      <c r="C17" s="46" t="n">
        <v>0.3139</v>
      </c>
      <c r="G17" s="34" t="n">
        <v>46267</v>
      </c>
      <c r="H17" t="n">
        <v>12849</v>
      </c>
      <c r="J17" t="n">
        <v>23914.45</v>
      </c>
      <c r="N17" t="n">
        <v>6</v>
      </c>
      <c r="O17" t="inlineStr">
        <is>
          <t>Hyundai Motor I</t>
        </is>
      </c>
      <c r="P17" t="n">
        <v>2208.8</v>
      </c>
      <c r="Q17" t="n">
        <v>81.25</v>
      </c>
      <c r="R17" t="n">
        <v>179474.08</v>
      </c>
      <c r="S17" t="n">
        <v>44868.52</v>
      </c>
      <c r="T17" t="n">
        <v>8973.700000000001</v>
      </c>
      <c r="U17" t="n">
        <v>215368.9</v>
      </c>
    </row>
    <row r="18">
      <c r="B18" t="n">
        <v>2013</v>
      </c>
      <c r="C18" s="46" t="n">
        <v>0.06759999999999999</v>
      </c>
      <c r="G18" s="34" t="n">
        <v>46266</v>
      </c>
      <c r="H18" t="n">
        <v>12950</v>
      </c>
      <c r="J18" t="n">
        <v>24055.8</v>
      </c>
      <c r="N18" t="n">
        <v>7</v>
      </c>
      <c r="O18" t="inlineStr">
        <is>
          <t>Samvardh. Mothe.</t>
        </is>
      </c>
      <c r="P18" t="n">
        <v>162.57</v>
      </c>
      <c r="Q18" t="n">
        <v>1055.44</v>
      </c>
      <c r="R18" t="n">
        <v>171583.57</v>
      </c>
      <c r="S18" t="n">
        <v>42895.89</v>
      </c>
      <c r="T18" t="n">
        <v>8579.18</v>
      </c>
      <c r="U18" t="n">
        <v>205900.28</v>
      </c>
    </row>
    <row r="19">
      <c r="B19" t="n">
        <v>2012</v>
      </c>
      <c r="C19" s="46" t="n">
        <v>0.277</v>
      </c>
      <c r="G19" s="34" t="n">
        <v>46265</v>
      </c>
      <c r="H19" t="n">
        <v>13547</v>
      </c>
      <c r="J19" t="n">
        <v>24080.4</v>
      </c>
      <c r="N19" t="n">
        <v>8</v>
      </c>
      <c r="O19" t="inlineStr">
        <is>
          <t>Bosch</t>
        </is>
      </c>
      <c r="P19" t="n">
        <v>47000</v>
      </c>
      <c r="Q19" t="n">
        <v>2.95</v>
      </c>
      <c r="R19" t="n">
        <v>138631.67</v>
      </c>
      <c r="S19" t="n">
        <v>34657.92</v>
      </c>
      <c r="T19" t="n">
        <v>6931.58</v>
      </c>
      <c r="U19" t="n">
        <v>166358.01</v>
      </c>
    </row>
    <row r="20">
      <c r="B20" t="n">
        <v>2011</v>
      </c>
      <c r="C20" s="46" t="n">
        <v>-0.2462</v>
      </c>
      <c r="G20" s="34" t="n">
        <v>46262</v>
      </c>
      <c r="H20" t="n">
        <v>13376</v>
      </c>
      <c r="J20" t="n">
        <v>24175.65</v>
      </c>
      <c r="N20" t="n">
        <v>9</v>
      </c>
      <c r="O20" t="inlineStr">
        <is>
          <t>Tata Motors PVeh</t>
        </is>
      </c>
      <c r="P20" t="n">
        <v>303.8</v>
      </c>
      <c r="Q20" t="n">
        <v>368.29</v>
      </c>
      <c r="R20" t="n">
        <v>111886.25</v>
      </c>
      <c r="S20" t="n">
        <v>27971.56</v>
      </c>
      <c r="T20" t="n">
        <v>5594.31</v>
      </c>
      <c r="U20" t="n">
        <v>134263.5</v>
      </c>
    </row>
    <row r="21">
      <c r="B21" t="n">
        <v>2010</v>
      </c>
      <c r="C21" s="46" t="n">
        <v>0.1795</v>
      </c>
      <c r="G21" s="34" t="n">
        <v>46261</v>
      </c>
      <c r="H21" t="n">
        <v>13440</v>
      </c>
      <c r="J21" t="n">
        <v>24090.85</v>
      </c>
      <c r="N21" t="n">
        <v>10</v>
      </c>
      <c r="O21" t="inlineStr">
        <is>
          <t>Hero Motocorp</t>
        </is>
      </c>
      <c r="P21" t="n">
        <v>5285.5</v>
      </c>
      <c r="Q21" t="n">
        <v>20.01</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M &amp; M</t>
        </is>
      </c>
      <c r="Q24" t="inlineStr">
        <is>
          <t>India</t>
        </is>
      </c>
      <c r="R24" t="n">
        <v>94881.2</v>
      </c>
      <c r="S24" t="n">
        <v>379525</v>
      </c>
      <c r="T24" s="46" t="n">
        <v>0.3</v>
      </c>
    </row>
    <row r="25">
      <c r="B25" t="n">
        <v>2006</v>
      </c>
      <c r="C25" s="46" t="n">
        <v>0.3983</v>
      </c>
      <c r="G25" s="34" t="n">
        <v>46255</v>
      </c>
      <c r="H25" t="n">
        <v>13565</v>
      </c>
      <c r="J25" t="n">
        <v>24252</v>
      </c>
      <c r="O25" t="inlineStr">
        <is>
          <t>Maruti Suzuki India Ltd</t>
        </is>
      </c>
      <c r="Q25">
        <f>Q24</f>
        <v/>
      </c>
      <c r="R25" t="n">
        <v>102</v>
      </c>
      <c r="S25" t="n">
        <v>380521</v>
      </c>
      <c r="T25" s="46">
        <f>T24</f>
        <v/>
      </c>
    </row>
    <row r="26">
      <c r="B26" t="n">
        <v>2005</v>
      </c>
      <c r="C26" s="46" t="n">
        <v>0.3634</v>
      </c>
      <c r="G26" s="34" t="n">
        <v>46254</v>
      </c>
      <c r="H26" t="n">
        <v>13809</v>
      </c>
      <c r="J26" t="n">
        <v>24231.85</v>
      </c>
      <c r="O26" t="inlineStr">
        <is>
          <t>Bajaj Auto</t>
        </is>
      </c>
      <c r="Q26">
        <f>Q25</f>
        <v/>
      </c>
      <c r="R26" t="n">
        <v>78415.3</v>
      </c>
      <c r="S26" t="n">
        <v>313661.1</v>
      </c>
      <c r="T26" s="46">
        <f>T25</f>
        <v/>
      </c>
    </row>
    <row r="27">
      <c r="B27" t="n">
        <v>2004</v>
      </c>
      <c r="C27" s="46" t="n">
        <v>0.1068</v>
      </c>
      <c r="G27" s="34" t="n">
        <v>46253</v>
      </c>
      <c r="H27" t="n">
        <v>13690</v>
      </c>
      <c r="J27" t="n">
        <v>24078.3</v>
      </c>
      <c r="O27" t="inlineStr">
        <is>
          <t>Eicher Motors</t>
        </is>
      </c>
      <c r="Q27">
        <f>Q26</f>
        <v/>
      </c>
      <c r="R27" t="n">
        <v>51582.6</v>
      </c>
      <c r="S27" t="n">
        <v>206330.52</v>
      </c>
      <c r="T27" s="46">
        <f>T26</f>
        <v/>
      </c>
    </row>
    <row r="28">
      <c r="B28" t="n">
        <v>2003</v>
      </c>
      <c r="C28" s="46" t="n">
        <v>0.719</v>
      </c>
      <c r="G28" s="34" t="n">
        <v>46252</v>
      </c>
      <c r="H28" t="n">
        <v>13691</v>
      </c>
      <c r="J28" t="n">
        <v>24154.9</v>
      </c>
      <c r="O28" t="inlineStr">
        <is>
          <t>TVS Motor Co.</t>
        </is>
      </c>
      <c r="Q28">
        <f>Q27</f>
        <v/>
      </c>
      <c r="R28" t="n">
        <v>49543.3</v>
      </c>
      <c r="S28" t="n">
        <v>198173.09</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76"/>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Maruti Suzuki India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K12*O26</f>
        <v/>
      </c>
      <c r="P32" s="155">
        <f>L12*P26</f>
        <v/>
      </c>
      <c r="Q32" s="155">
        <f>M12*Q26</f>
        <v/>
      </c>
    </row>
    <row r="33">
      <c r="B33" s="150" t="inlineStr">
        <is>
          <t>Net Debt Value</t>
        </is>
      </c>
      <c r="C33" s="150" t="n"/>
      <c r="D33" s="150" t="n"/>
      <c r="E33" s="150" t="n"/>
      <c r="F33" s="150" t="n"/>
      <c r="G33" s="150" t="n"/>
      <c r="H33" s="150" t="n"/>
      <c r="I33" s="150" t="n"/>
      <c r="J33" s="150" t="n"/>
      <c r="K33" s="150" t="n"/>
      <c r="L33" s="150" t="n"/>
      <c r="M33" s="150" t="n"/>
      <c r="N33" s="150" t="n"/>
      <c r="O33" s="155">
        <f>$G$12</f>
        <v/>
      </c>
      <c r="P33" s="155">
        <f>$G$12</f>
        <v/>
      </c>
      <c r="Q33" s="155">
        <f>$G$12</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$E$12</f>
        <v/>
      </c>
      <c r="P35" s="155">
        <f>$E$12</f>
        <v/>
      </c>
      <c r="Q35" s="155">
        <f>$E$12</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IF(O37&gt;$D$12,"Overvalued","Undervalued")</f>
        <v/>
      </c>
      <c r="P39">
        <f>IF(P37&gt;$D$12,"Overvalued","Undervalued")</f>
        <v/>
      </c>
      <c r="Q39">
        <f>IF(Q37&gt;$D$12,"Overvalued","Undervalued")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57284</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2026-09-25T21:53:53Z</dcterms:modified>
  <cp:lastModifiedBy>Loveish</cp:lastModifiedBy>
  <cp:lastPrinted>2012-12-06T18:14:13Z</cp:lastPrinted>
</cp:coreProperties>
</file>