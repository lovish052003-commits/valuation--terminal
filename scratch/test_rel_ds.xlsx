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RELIANCE INDUSTRIES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10</v>
      </c>
    </row>
    <row r="8">
      <c r="A8" s="176" t="inlineStr">
        <is>
          <t>Current Price</t>
        </is>
      </c>
      <c r="B8" t="n">
        <v>1242</v>
      </c>
    </row>
    <row r="9">
      <c r="A9" s="176" t="inlineStr">
        <is>
          <t>Market Capitalization</t>
        </is>
      </c>
      <c r="B9" t="n">
        <v>1680741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2017</t>
        </is>
      </c>
      <c r="C16" s="16" t="inlineStr">
        <is>
          <t>Mar 2018</t>
        </is>
      </c>
      <c r="D16" s="16" t="inlineStr">
        <is>
          <t>Mar 2019</t>
        </is>
      </c>
      <c r="E16" s="16" t="inlineStr">
        <is>
          <t>Mar 2020</t>
        </is>
      </c>
      <c r="F16" s="16" t="inlineStr">
        <is>
          <t>Mar 2021</t>
        </is>
      </c>
      <c r="G16" s="16" t="inlineStr">
        <is>
          <t>Mar 2022</t>
        </is>
      </c>
      <c r="H16" s="16" t="inlineStr">
        <is>
          <t>Mar 2023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1">
      <c r="A17" s="171" t="inlineStr">
        <is>
          <t>Sales</t>
        </is>
      </c>
      <c r="B17" t="n">
        <v>303954</v>
      </c>
      <c r="C17" t="n">
        <v>390823</v>
      </c>
      <c r="D17" t="n">
        <v>568337</v>
      </c>
      <c r="E17" t="n">
        <v>596679</v>
      </c>
      <c r="F17" t="n">
        <v>466307</v>
      </c>
      <c r="G17" t="n">
        <v>694673</v>
      </c>
      <c r="H17" t="n">
        <v>876396</v>
      </c>
      <c r="I17" t="n">
        <v>899041</v>
      </c>
      <c r="J17" t="n">
        <v>962820</v>
      </c>
      <c r="K17" t="n">
        <v>1055780</v>
      </c>
    </row>
    <row r="18" customFormat="1" s="171">
      <c r="A18" s="176" t="inlineStr">
        <is>
          <t>Raw Material Cost</t>
        </is>
      </c>
      <c r="B18" t="n">
        <v>212767.8</v>
      </c>
      <c r="C18" t="n">
        <v>265759.64</v>
      </c>
      <c r="D18" t="n">
        <v>392152.53</v>
      </c>
      <c r="E18" t="n">
        <v>405741.72</v>
      </c>
      <c r="F18" t="n">
        <v>293773.41</v>
      </c>
      <c r="G18" t="n">
        <v>472377.64</v>
      </c>
      <c r="H18" t="n">
        <v>587185.3199999999</v>
      </c>
      <c r="I18" t="n">
        <v>584376.65</v>
      </c>
      <c r="J18" t="n">
        <v>625833</v>
      </c>
      <c r="K18" t="n">
        <v>686257</v>
      </c>
    </row>
    <row r="19" customFormat="1" s="171">
      <c r="A19" s="176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71">
      <c r="A20" s="176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1">
      <c r="A21" s="176" t="inlineStr">
        <is>
          <t>Other Mfr. Exp</t>
        </is>
      </c>
      <c r="B21" t="n">
        <v>21276.78</v>
      </c>
      <c r="C21" t="n">
        <v>23449.38</v>
      </c>
      <c r="D21" t="n">
        <v>28416.85</v>
      </c>
      <c r="E21" t="n">
        <v>23867.16</v>
      </c>
      <c r="F21" t="n">
        <v>18652.28</v>
      </c>
      <c r="G21" t="n">
        <v>27786.92</v>
      </c>
      <c r="H21" t="n">
        <v>43819.8</v>
      </c>
      <c r="I21" t="n">
        <v>35961.64</v>
      </c>
      <c r="J21" t="n">
        <v>38512.8</v>
      </c>
      <c r="K21" t="n">
        <v>42231.2</v>
      </c>
    </row>
    <row r="22" customFormat="1" s="171">
      <c r="A22" s="176" t="inlineStr">
        <is>
          <t>Employee Cost</t>
        </is>
      </c>
      <c r="B22" t="n">
        <v>9118.620000000001</v>
      </c>
      <c r="C22" t="n">
        <v>7816.46</v>
      </c>
      <c r="D22" t="n">
        <v>11366.74</v>
      </c>
      <c r="E22" t="n">
        <v>11933.58</v>
      </c>
      <c r="F22" t="n">
        <v>13989.21</v>
      </c>
      <c r="G22" t="n">
        <v>20840.19</v>
      </c>
      <c r="H22" t="n">
        <v>26291.88</v>
      </c>
      <c r="I22" t="n">
        <v>26971.23</v>
      </c>
      <c r="J22" t="n">
        <v>28884.6</v>
      </c>
      <c r="K22" t="n">
        <v>31673.4</v>
      </c>
    </row>
    <row r="23" customFormat="1" s="171">
      <c r="A23" s="176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1">
      <c r="A24" s="176" t="inlineStr">
        <is>
          <t>Other Expenses</t>
        </is>
      </c>
      <c r="B24" t="n">
        <v>15197.7</v>
      </c>
      <c r="C24" t="n">
        <v>23449.38</v>
      </c>
      <c r="D24" t="n">
        <v>45466.96</v>
      </c>
      <c r="E24" t="n">
        <v>59667.9</v>
      </c>
      <c r="F24" t="n">
        <v>55956.84</v>
      </c>
      <c r="G24" t="n">
        <v>62520.57</v>
      </c>
      <c r="H24" t="n">
        <v>78875.64</v>
      </c>
      <c r="I24" t="n">
        <v>80913.69</v>
      </c>
      <c r="J24" t="n">
        <v>96282</v>
      </c>
      <c r="K24" t="n">
        <v>116135.8</v>
      </c>
    </row>
    <row r="25" customFormat="1" s="171">
      <c r="A25" s="171" t="inlineStr">
        <is>
          <t>Other Income</t>
        </is>
      </c>
      <c r="B25" t="n">
        <v>9222</v>
      </c>
      <c r="C25" t="n">
        <v>9869</v>
      </c>
      <c r="D25" t="n">
        <v>8406</v>
      </c>
      <c r="E25" t="n">
        <v>8570</v>
      </c>
      <c r="F25" t="n">
        <v>22432</v>
      </c>
      <c r="G25" t="n">
        <v>19600</v>
      </c>
      <c r="H25" t="n">
        <v>12020</v>
      </c>
      <c r="I25" t="n">
        <v>15792</v>
      </c>
      <c r="J25" t="n">
        <v>17824</v>
      </c>
      <c r="K25" t="n">
        <v>28846</v>
      </c>
    </row>
    <row r="26" customFormat="1" s="171">
      <c r="A26" s="171" t="inlineStr">
        <is>
          <t>Depreciation</t>
        </is>
      </c>
      <c r="B26" t="n">
        <v>11646</v>
      </c>
      <c r="C26" t="n">
        <v>16706</v>
      </c>
      <c r="D26" t="n">
        <v>20934</v>
      </c>
      <c r="E26" t="n">
        <v>22203</v>
      </c>
      <c r="F26" t="n">
        <v>26572</v>
      </c>
      <c r="G26" t="n">
        <v>29782</v>
      </c>
      <c r="H26" t="n">
        <v>40303</v>
      </c>
      <c r="I26" t="n">
        <v>50832</v>
      </c>
      <c r="J26" t="n">
        <v>53136</v>
      </c>
      <c r="K26" t="n">
        <v>57688</v>
      </c>
    </row>
    <row r="27" customFormat="1" s="171">
      <c r="A27" s="171" t="inlineStr">
        <is>
          <t>Interest</t>
        </is>
      </c>
      <c r="B27" t="n">
        <v>3849</v>
      </c>
      <c r="C27" t="n">
        <v>8052</v>
      </c>
      <c r="D27" t="n">
        <v>16495</v>
      </c>
      <c r="E27" t="n">
        <v>22027</v>
      </c>
      <c r="F27" t="n">
        <v>21189</v>
      </c>
      <c r="G27" t="n">
        <v>14584</v>
      </c>
      <c r="H27" t="n">
        <v>19571</v>
      </c>
      <c r="I27" t="n">
        <v>23118</v>
      </c>
      <c r="J27" t="n">
        <v>24269</v>
      </c>
      <c r="K27" t="n">
        <v>27061</v>
      </c>
    </row>
    <row r="28" customFormat="1" s="171">
      <c r="A28" s="171" t="inlineStr">
        <is>
          <t>Profit before tax</t>
        </is>
      </c>
      <c r="B28" t="n">
        <v>40034</v>
      </c>
      <c r="C28" t="n">
        <v>49426</v>
      </c>
      <c r="D28" t="n">
        <v>55227</v>
      </c>
      <c r="E28" t="n">
        <v>53606</v>
      </c>
      <c r="F28" t="n">
        <v>55461</v>
      </c>
      <c r="G28" t="n">
        <v>83815</v>
      </c>
      <c r="H28" t="n">
        <v>94464</v>
      </c>
      <c r="I28" t="n">
        <v>104340</v>
      </c>
      <c r="J28" t="n">
        <v>106017</v>
      </c>
      <c r="K28" t="n">
        <v>123162</v>
      </c>
    </row>
    <row r="29" customFormat="1" s="171">
      <c r="A29" s="171" t="inlineStr">
        <is>
          <t>Tax</t>
        </is>
      </c>
      <c r="B29" t="n">
        <v>10008.5</v>
      </c>
      <c r="C29" t="n">
        <v>12356.5</v>
      </c>
      <c r="D29" t="n">
        <v>13806.75</v>
      </c>
      <c r="E29" t="n">
        <v>13401.5</v>
      </c>
      <c r="F29" t="n">
        <v>13865.25</v>
      </c>
      <c r="G29" t="n">
        <v>20953.75</v>
      </c>
      <c r="H29" t="n">
        <v>23616</v>
      </c>
      <c r="I29" t="n">
        <v>26085</v>
      </c>
      <c r="J29" t="n">
        <v>26504.25</v>
      </c>
      <c r="K29" t="n">
        <v>30790.5</v>
      </c>
    </row>
    <row r="30" customFormat="1" s="171">
      <c r="A30" s="171" t="inlineStr">
        <is>
          <t>Net profit</t>
        </is>
      </c>
      <c r="B30" t="n">
        <v>30025.5</v>
      </c>
      <c r="C30" t="n">
        <v>37069.5</v>
      </c>
      <c r="D30" t="n">
        <v>41420.25</v>
      </c>
      <c r="E30" t="n">
        <v>40204.5</v>
      </c>
      <c r="F30" t="n">
        <v>41595.75</v>
      </c>
      <c r="G30" t="n">
        <v>62861.25</v>
      </c>
      <c r="H30" t="n">
        <v>70848</v>
      </c>
      <c r="I30" t="n">
        <v>78255</v>
      </c>
      <c r="J30" t="n">
        <v>79512.75</v>
      </c>
      <c r="K30" t="n">
        <v>92371.5</v>
      </c>
    </row>
    <row r="31" customFormat="1" s="171">
      <c r="A31" s="171" t="inlineStr">
        <is>
          <t>Dividend Amount</t>
        </is>
      </c>
      <c r="B31" t="n">
        <v>3281.63</v>
      </c>
      <c r="C31" t="n">
        <v>3608</v>
      </c>
      <c r="D31" t="n">
        <v>3983.7</v>
      </c>
      <c r="E31" t="n">
        <v>3988</v>
      </c>
      <c r="F31" t="n">
        <v>4836.51</v>
      </c>
      <c r="G31" t="n">
        <v>6106.05</v>
      </c>
      <c r="H31" t="n">
        <v>6667.92</v>
      </c>
      <c r="I31" t="n">
        <v>7902</v>
      </c>
      <c r="J31" t="n">
        <v>8943.99</v>
      </c>
      <c r="K31" t="n">
        <v>9575.4</v>
      </c>
    </row>
    <row r="32" customFormat="1" s="171">
      <c r="A32" s="171" t="inlineStr">
        <is>
          <t>EBITDA</t>
        </is>
      </c>
      <c r="B32" s="171" t="n">
        <v>0</v>
      </c>
      <c r="C32" s="171" t="n">
        <v>0</v>
      </c>
      <c r="D32" s="171" t="n">
        <v>0</v>
      </c>
      <c r="E32" s="171" t="n">
        <v>0</v>
      </c>
      <c r="F32" s="171" t="n">
        <v>0</v>
      </c>
      <c r="G32" s="171" t="n">
        <v>0</v>
      </c>
      <c r="H32" s="171" t="n">
        <v>0</v>
      </c>
      <c r="I32" s="171" t="n">
        <v>0</v>
      </c>
      <c r="J32" s="171" t="n">
        <v>0</v>
      </c>
      <c r="K32" s="171" t="n">
        <v>0</v>
      </c>
    </row>
    <row r="33">
      <c r="A33" s="171" t="n"/>
      <c r="B33">
        <f>B30+B29+B27+B26</f>
        <v/>
      </c>
      <c r="C33">
        <f>C30+C29+C27+C26</f>
        <v/>
      </c>
      <c r="D33">
        <f>D30+D29+D27+D26</f>
        <v/>
      </c>
      <c r="E33">
        <f>E30+E29+E27+E26</f>
        <v/>
      </c>
      <c r="F33">
        <f>F30+F29+F27+F26</f>
        <v/>
      </c>
      <c r="G33">
        <f>G30+G29+G27+G26</f>
        <v/>
      </c>
      <c r="H33">
        <f>H30+H29+H27+H26</f>
        <v/>
      </c>
      <c r="I33">
        <f>I30+I29+I27+I26</f>
        <v/>
      </c>
      <c r="J33">
        <f>J30+J29+J27+J26</f>
        <v/>
      </c>
      <c r="K33">
        <f>K30+K29+K27+K26</f>
        <v/>
      </c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1">
      <c r="A42" s="171" t="inlineStr">
        <is>
          <t>Sales</t>
        </is>
      </c>
      <c r="B42" t="n">
        <v>236533</v>
      </c>
      <c r="C42" t="n">
        <v>231784</v>
      </c>
      <c r="D42" t="n">
        <v>231535</v>
      </c>
      <c r="E42" t="n">
        <v>239986</v>
      </c>
      <c r="F42" t="n">
        <v>261388</v>
      </c>
      <c r="G42" t="n">
        <v>243632</v>
      </c>
      <c r="H42" t="n">
        <v>254623</v>
      </c>
      <c r="I42" t="n">
        <v>264905</v>
      </c>
      <c r="J42" t="n">
        <v>294059</v>
      </c>
      <c r="K42" t="n">
        <v>309468</v>
      </c>
    </row>
    <row r="43" customFormat="1" s="171">
      <c r="A43" s="171" t="inlineStr">
        <is>
          <t>Expenses</t>
        </is>
      </c>
      <c r="B43" t="n">
        <v>194017</v>
      </c>
      <c r="C43" t="n">
        <v>193019</v>
      </c>
      <c r="D43" t="n">
        <v>192477</v>
      </c>
      <c r="E43" t="n">
        <v>196197</v>
      </c>
      <c r="F43" t="n">
        <v>217556</v>
      </c>
      <c r="G43" t="n">
        <v>200727</v>
      </c>
      <c r="H43" t="n">
        <v>208738</v>
      </c>
      <c r="I43" t="n">
        <v>218887</v>
      </c>
      <c r="J43" t="n">
        <v>249918</v>
      </c>
      <c r="K43" t="n">
        <v>261951</v>
      </c>
    </row>
    <row r="44" customFormat="1" s="171">
      <c r="A44" s="171" t="inlineStr">
        <is>
          <t>Other Income</t>
        </is>
      </c>
      <c r="B44" t="n">
        <v>4534</v>
      </c>
      <c r="C44" t="n">
        <v>3983</v>
      </c>
      <c r="D44" t="n">
        <v>4876</v>
      </c>
      <c r="E44" t="n">
        <v>4214</v>
      </c>
      <c r="F44" t="n">
        <v>4905</v>
      </c>
      <c r="G44" t="n">
        <v>15119</v>
      </c>
      <c r="H44" t="n">
        <v>4482</v>
      </c>
      <c r="I44" t="n">
        <v>4914</v>
      </c>
      <c r="J44" t="n">
        <v>4447</v>
      </c>
      <c r="K44" t="n">
        <v>6550</v>
      </c>
    </row>
    <row r="45" customFormat="1" s="171">
      <c r="A45" s="171" t="inlineStr">
        <is>
          <t>Depreciation</t>
        </is>
      </c>
      <c r="B45" t="n">
        <v>13569</v>
      </c>
      <c r="C45" t="n">
        <v>13596</v>
      </c>
      <c r="D45" t="n">
        <v>12880</v>
      </c>
      <c r="E45" t="n">
        <v>13181</v>
      </c>
      <c r="F45" t="n">
        <v>13479</v>
      </c>
      <c r="G45" t="n">
        <v>13842</v>
      </c>
      <c r="H45" t="n">
        <v>14416</v>
      </c>
      <c r="I45" t="n">
        <v>14622</v>
      </c>
      <c r="J45" t="n">
        <v>14808</v>
      </c>
      <c r="K45" t="n">
        <v>15100</v>
      </c>
    </row>
    <row r="46" customFormat="1" s="171">
      <c r="A46" s="171" t="inlineStr">
        <is>
          <t>Interest</t>
        </is>
      </c>
      <c r="B46" t="n">
        <v>5761</v>
      </c>
      <c r="C46" t="n">
        <v>5918</v>
      </c>
      <c r="D46" t="n">
        <v>6017</v>
      </c>
      <c r="E46" t="n">
        <v>6179</v>
      </c>
      <c r="F46" t="n">
        <v>6155</v>
      </c>
      <c r="G46" t="n">
        <v>7036</v>
      </c>
      <c r="H46" t="n">
        <v>6827</v>
      </c>
      <c r="I46" t="n">
        <v>6613</v>
      </c>
      <c r="J46" t="n">
        <v>6585</v>
      </c>
      <c r="K46" t="n">
        <v>8337</v>
      </c>
    </row>
    <row r="47" customFormat="1" s="171">
      <c r="A47" s="171" t="inlineStr">
        <is>
          <t>Profit before tax</t>
        </is>
      </c>
      <c r="B47" t="n">
        <v>27720</v>
      </c>
      <c r="C47" t="n">
        <v>23234</v>
      </c>
      <c r="D47" t="n">
        <v>25037</v>
      </c>
      <c r="E47" t="n">
        <v>28643</v>
      </c>
      <c r="F47" t="n">
        <v>29103</v>
      </c>
      <c r="G47" t="n">
        <v>37146</v>
      </c>
      <c r="H47" t="n">
        <v>29124</v>
      </c>
      <c r="I47" t="n">
        <v>29697</v>
      </c>
      <c r="J47" t="n">
        <v>27195</v>
      </c>
      <c r="K47" t="n">
        <v>30630</v>
      </c>
    </row>
    <row r="48" customFormat="1" s="171">
      <c r="A48" s="171" t="inlineStr">
        <is>
          <t>Tax</t>
        </is>
      </c>
      <c r="B48" t="n">
        <v>6930</v>
      </c>
      <c r="C48" t="n">
        <v>5808.5</v>
      </c>
      <c r="D48" t="n">
        <v>6259.25</v>
      </c>
      <c r="E48" t="n">
        <v>7160.75</v>
      </c>
      <c r="F48" t="n">
        <v>7275.75</v>
      </c>
      <c r="G48" t="n">
        <v>9286.5</v>
      </c>
      <c r="H48" t="n">
        <v>7281</v>
      </c>
      <c r="I48" t="n">
        <v>7424.25</v>
      </c>
      <c r="J48" t="n">
        <v>6798.75</v>
      </c>
      <c r="K48" t="n">
        <v>7657.5</v>
      </c>
    </row>
    <row r="49" customFormat="1" s="171">
      <c r="A49" s="171" t="inlineStr">
        <is>
          <t>Net profit</t>
        </is>
      </c>
      <c r="B49" t="n">
        <v>20790</v>
      </c>
      <c r="C49" t="n">
        <v>17425.5</v>
      </c>
      <c r="D49" t="n">
        <v>18777.75</v>
      </c>
      <c r="E49" t="n">
        <v>21482.25</v>
      </c>
      <c r="F49" t="n">
        <v>21827.25</v>
      </c>
      <c r="G49" t="n">
        <v>27859.5</v>
      </c>
      <c r="H49" t="n">
        <v>21843</v>
      </c>
      <c r="I49" t="n">
        <v>22272.75</v>
      </c>
      <c r="J49" t="n">
        <v>20396.25</v>
      </c>
      <c r="K49" t="n">
        <v>22972.5</v>
      </c>
    </row>
    <row r="50">
      <c r="A50" s="171" t="inlineStr">
        <is>
          <t>Operating Profit</t>
        </is>
      </c>
      <c r="B50" t="n">
        <v>42516</v>
      </c>
      <c r="C50" t="n">
        <v>38765</v>
      </c>
      <c r="D50" t="n">
        <v>39058</v>
      </c>
      <c r="E50" t="n">
        <v>43789</v>
      </c>
      <c r="F50" t="n">
        <v>43832</v>
      </c>
      <c r="G50" t="n">
        <v>42905</v>
      </c>
      <c r="H50" t="n">
        <v>45885</v>
      </c>
      <c r="I50" t="n">
        <v>46018</v>
      </c>
      <c r="J50" t="n">
        <v>44141</v>
      </c>
      <c r="K50" t="n">
        <v>47517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Mar 2017</t>
        </is>
      </c>
      <c r="C56" s="16" t="inlineStr">
        <is>
          <t>Mar 2018</t>
        </is>
      </c>
      <c r="D56" s="16" t="inlineStr">
        <is>
          <t>Mar 2019</t>
        </is>
      </c>
      <c r="E56" s="16" t="inlineStr">
        <is>
          <t>Mar 2020</t>
        </is>
      </c>
      <c r="F56" s="16" t="inlineStr">
        <is>
          <t>Mar 2021</t>
        </is>
      </c>
      <c r="G56" s="16" t="inlineStr">
        <is>
          <t>Mar 2022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1" t="inlineStr">
        <is>
          <t>Equity Share Capital</t>
        </is>
      </c>
      <c r="B57" t="n">
        <v>2959</v>
      </c>
      <c r="C57" t="n">
        <v>5922</v>
      </c>
      <c r="D57" t="n">
        <v>5926</v>
      </c>
      <c r="E57" t="n">
        <v>6339</v>
      </c>
      <c r="F57" t="n">
        <v>6445</v>
      </c>
      <c r="G57" t="n">
        <v>6765</v>
      </c>
      <c r="H57" t="n">
        <v>6766</v>
      </c>
      <c r="I57" t="n">
        <v>6766</v>
      </c>
      <c r="J57" t="n">
        <v>13532</v>
      </c>
      <c r="K57" t="n">
        <v>13532</v>
      </c>
    </row>
    <row r="58">
      <c r="A58" s="171" t="inlineStr">
        <is>
          <t>Reserves</t>
        </is>
      </c>
      <c r="B58" t="n">
        <v>260750</v>
      </c>
      <c r="C58" t="n">
        <v>287584</v>
      </c>
      <c r="D58" t="n">
        <v>381186</v>
      </c>
      <c r="E58" t="n">
        <v>442827</v>
      </c>
      <c r="F58" t="n">
        <v>693727</v>
      </c>
      <c r="G58" t="n">
        <v>772720</v>
      </c>
      <c r="H58" t="n">
        <v>709106</v>
      </c>
      <c r="I58" t="n">
        <v>786715</v>
      </c>
      <c r="J58" t="n">
        <v>829668</v>
      </c>
      <c r="K58" t="n">
        <v>890498</v>
      </c>
    </row>
    <row r="59">
      <c r="A59" s="171" t="inlineStr">
        <is>
          <t>Borrowings</t>
        </is>
      </c>
      <c r="B59" t="n">
        <v>217475</v>
      </c>
      <c r="C59" t="n">
        <v>239843</v>
      </c>
      <c r="D59" t="n">
        <v>307714</v>
      </c>
      <c r="E59" t="n">
        <v>355133</v>
      </c>
      <c r="F59" t="n">
        <v>278962</v>
      </c>
      <c r="G59" t="n">
        <v>319158</v>
      </c>
      <c r="H59" t="n">
        <v>451664</v>
      </c>
      <c r="I59" t="n">
        <v>350719</v>
      </c>
      <c r="J59" t="n">
        <v>374313</v>
      </c>
      <c r="K59" t="n">
        <v>402962</v>
      </c>
    </row>
    <row r="60">
      <c r="A60" s="171" t="inlineStr">
        <is>
          <t>Other Liabilities</t>
        </is>
      </c>
      <c r="B60" t="n">
        <v>225618</v>
      </c>
      <c r="C60" t="n">
        <v>277924</v>
      </c>
      <c r="D60" t="n">
        <v>302804</v>
      </c>
      <c r="E60" t="n">
        <v>358716</v>
      </c>
      <c r="F60" t="n">
        <v>340931</v>
      </c>
      <c r="G60" t="n">
        <v>399979</v>
      </c>
      <c r="H60" t="n">
        <v>438346</v>
      </c>
      <c r="I60" t="n">
        <v>610848</v>
      </c>
      <c r="J60" t="n">
        <v>732200</v>
      </c>
      <c r="K60" t="n">
        <v>870554</v>
      </c>
    </row>
    <row r="61" customFormat="1" s="170">
      <c r="A61" s="170" t="inlineStr">
        <is>
          <t>Total</t>
        </is>
      </c>
      <c r="B61" t="n">
        <v>706802</v>
      </c>
      <c r="C61" t="n">
        <v>811273</v>
      </c>
      <c r="D61" t="n">
        <v>997630</v>
      </c>
      <c r="E61" t="n">
        <v>1163015</v>
      </c>
      <c r="F61" t="n">
        <v>1320065</v>
      </c>
      <c r="G61" t="n">
        <v>1498622</v>
      </c>
      <c r="H61" t="n">
        <v>1605882</v>
      </c>
      <c r="I61" t="n">
        <v>1755048</v>
      </c>
      <c r="J61" t="n">
        <v>1949713</v>
      </c>
      <c r="K61" t="n">
        <v>2177546</v>
      </c>
    </row>
    <row r="62">
      <c r="A62" s="171" t="inlineStr">
        <is>
          <t>Net Block</t>
        </is>
      </c>
      <c r="B62" t="n">
        <v>198526</v>
      </c>
      <c r="C62" t="n">
        <v>403885</v>
      </c>
      <c r="D62" t="n">
        <v>398374</v>
      </c>
      <c r="E62" t="n">
        <v>532658</v>
      </c>
      <c r="F62" t="n">
        <v>541258</v>
      </c>
      <c r="G62" t="n">
        <v>627798</v>
      </c>
      <c r="H62" t="n">
        <v>724805</v>
      </c>
      <c r="I62" t="n">
        <v>779985</v>
      </c>
      <c r="J62" t="n">
        <v>999393</v>
      </c>
      <c r="K62" t="n">
        <v>1124795</v>
      </c>
    </row>
    <row r="63">
      <c r="A63" s="171" t="inlineStr">
        <is>
          <t>Capital Work in Progress</t>
        </is>
      </c>
      <c r="B63" t="n">
        <v>324837</v>
      </c>
      <c r="C63" t="n">
        <v>187022</v>
      </c>
      <c r="D63" t="n">
        <v>179463</v>
      </c>
      <c r="E63" t="n">
        <v>109106</v>
      </c>
      <c r="F63" t="n">
        <v>125953</v>
      </c>
      <c r="G63" t="n">
        <v>172506</v>
      </c>
      <c r="H63" t="n">
        <v>293752</v>
      </c>
      <c r="I63" t="n">
        <v>338855</v>
      </c>
      <c r="J63" t="n">
        <v>262358</v>
      </c>
      <c r="K63" t="n">
        <v>237686</v>
      </c>
    </row>
    <row r="64">
      <c r="A64" s="171" t="inlineStr">
        <is>
          <t>Investments</t>
        </is>
      </c>
      <c r="B64" t="n">
        <v>82899</v>
      </c>
      <c r="C64" t="n">
        <v>82862</v>
      </c>
      <c r="D64" t="n">
        <v>235635</v>
      </c>
      <c r="E64" t="n">
        <v>276767</v>
      </c>
      <c r="F64" t="n">
        <v>364828</v>
      </c>
      <c r="G64" t="n">
        <v>394264</v>
      </c>
      <c r="H64" t="n">
        <v>235560</v>
      </c>
      <c r="I64" t="n">
        <v>225672</v>
      </c>
      <c r="J64" t="n">
        <v>242381</v>
      </c>
      <c r="K64" t="n">
        <v>248332</v>
      </c>
    </row>
    <row r="65">
      <c r="A65" s="171" t="inlineStr">
        <is>
          <t>Other Assets</t>
        </is>
      </c>
      <c r="B65" t="n">
        <v>100540</v>
      </c>
      <c r="C65" t="n">
        <v>137504</v>
      </c>
      <c r="D65" t="n">
        <v>184158</v>
      </c>
      <c r="E65" t="n">
        <v>244484</v>
      </c>
      <c r="F65" t="n">
        <v>288026</v>
      </c>
      <c r="G65" t="n">
        <v>304054</v>
      </c>
      <c r="H65" t="n">
        <v>351765</v>
      </c>
      <c r="I65" t="n">
        <v>410536</v>
      </c>
      <c r="J65" t="n">
        <v>445581</v>
      </c>
      <c r="K65" t="n">
        <v>566733</v>
      </c>
    </row>
    <row r="66" customFormat="1" s="170">
      <c r="A66" s="170" t="inlineStr">
        <is>
          <t>Total</t>
        </is>
      </c>
      <c r="B66" t="n">
        <v>706802</v>
      </c>
      <c r="C66" t="n">
        <v>811273</v>
      </c>
      <c r="D66" t="n">
        <v>997630</v>
      </c>
      <c r="E66" t="n">
        <v>1163015</v>
      </c>
      <c r="F66" t="n">
        <v>1320065</v>
      </c>
      <c r="G66" t="n">
        <v>1498622</v>
      </c>
      <c r="H66" t="n">
        <v>1605882</v>
      </c>
      <c r="I66" t="n">
        <v>1755048</v>
      </c>
      <c r="J66" t="n">
        <v>1949713</v>
      </c>
      <c r="K66" t="n">
        <v>2177546</v>
      </c>
    </row>
    <row r="67" customFormat="1" s="171">
      <c r="A67" s="171" t="inlineStr">
        <is>
          <t>Receivables</t>
        </is>
      </c>
      <c r="B67" t="n">
        <v>8177</v>
      </c>
      <c r="C67" t="n">
        <v>17555</v>
      </c>
      <c r="D67" t="n">
        <v>30089</v>
      </c>
      <c r="E67" t="n">
        <v>19656</v>
      </c>
      <c r="F67" t="n">
        <v>19014</v>
      </c>
      <c r="G67" t="n">
        <v>23640</v>
      </c>
      <c r="H67" t="n">
        <v>28448</v>
      </c>
      <c r="I67" t="n">
        <v>31628</v>
      </c>
      <c r="J67" t="n">
        <v>42121</v>
      </c>
      <c r="K67" t="n">
        <v>58491</v>
      </c>
    </row>
    <row r="68">
      <c r="A68" s="171" t="inlineStr">
        <is>
          <t>Inventory</t>
        </is>
      </c>
      <c r="B68" t="n">
        <v>48951</v>
      </c>
      <c r="C68" t="n">
        <v>60837</v>
      </c>
      <c r="D68" t="n">
        <v>67561</v>
      </c>
      <c r="E68" t="n">
        <v>73903</v>
      </c>
      <c r="F68" t="n">
        <v>81672</v>
      </c>
      <c r="G68" t="n">
        <v>107778</v>
      </c>
      <c r="H68" t="n">
        <v>140008</v>
      </c>
      <c r="I68" t="n">
        <v>152770</v>
      </c>
      <c r="J68" t="n">
        <v>146062</v>
      </c>
      <c r="K68" t="n">
        <v>166941</v>
      </c>
    </row>
    <row r="69">
      <c r="A69" s="176" t="inlineStr">
        <is>
          <t>Cash &amp; Bank</t>
        </is>
      </c>
      <c r="B69" t="n">
        <v>3023</v>
      </c>
      <c r="C69" t="n">
        <v>4255</v>
      </c>
      <c r="D69" t="n">
        <v>11081</v>
      </c>
      <c r="E69" t="n">
        <v>30920</v>
      </c>
      <c r="F69" t="n">
        <v>17397</v>
      </c>
      <c r="G69" t="n">
        <v>36178</v>
      </c>
      <c r="H69" t="n">
        <v>68664</v>
      </c>
      <c r="I69" t="n">
        <v>97225</v>
      </c>
      <c r="J69" t="n">
        <v>106502</v>
      </c>
      <c r="K69" t="n">
        <v>145977</v>
      </c>
    </row>
    <row r="70">
      <c r="A70" s="176" t="inlineStr">
        <is>
          <t>No. of Equity Shares</t>
        </is>
      </c>
      <c r="B70" t="n">
        <v>2959000000</v>
      </c>
      <c r="C70" t="n">
        <v>5922000000</v>
      </c>
      <c r="D70" t="n">
        <v>5926000000</v>
      </c>
      <c r="E70" t="n">
        <v>6339000000</v>
      </c>
      <c r="F70" t="n">
        <v>6445000000</v>
      </c>
      <c r="G70" t="n">
        <v>6765000000</v>
      </c>
      <c r="H70" t="n">
        <v>6766000000</v>
      </c>
      <c r="I70" t="n">
        <v>6766000000</v>
      </c>
      <c r="J70" t="n">
        <v>13532000000</v>
      </c>
      <c r="K70" t="n">
        <v>13532000000</v>
      </c>
    </row>
    <row r="71">
      <c r="A71" s="176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6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71" t="n"/>
      <c r="B74" s="176" t="n">
        <v>0</v>
      </c>
      <c r="C74" s="176" t="n">
        <v>0</v>
      </c>
      <c r="D74" s="176" t="n">
        <v>0</v>
      </c>
      <c r="E74" s="176" t="n">
        <v>0</v>
      </c>
      <c r="F74" s="176" t="n">
        <v>0</v>
      </c>
      <c r="G74" s="176" t="n">
        <v>0</v>
      </c>
      <c r="H74" s="176" t="n">
        <v>0</v>
      </c>
      <c r="I74" s="176" t="n">
        <v>0</v>
      </c>
      <c r="J74" s="176" t="n">
        <v>0</v>
      </c>
      <c r="K74" s="176" t="n">
        <v>0</v>
      </c>
    </row>
    <row r="75">
      <c r="A75" s="171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Mar 2017</t>
        </is>
      </c>
      <c r="C81" s="16" t="inlineStr">
        <is>
          <t>Mar 2018</t>
        </is>
      </c>
      <c r="D81" s="16" t="inlineStr">
        <is>
          <t>Mar 2019</t>
        </is>
      </c>
      <c r="E81" s="16" t="inlineStr">
        <is>
          <t>Mar 2020</t>
        </is>
      </c>
      <c r="F81" s="16" t="inlineStr">
        <is>
          <t>Mar 2021</t>
        </is>
      </c>
      <c r="G81" s="16" t="inlineStr">
        <is>
          <t>Mar 2022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0">
      <c r="A82" s="171" t="inlineStr">
        <is>
          <t>Cash from Operating Activity</t>
        </is>
      </c>
      <c r="B82" t="n">
        <v>49550</v>
      </c>
      <c r="C82" t="n">
        <v>71459</v>
      </c>
      <c r="D82" t="n">
        <v>42346</v>
      </c>
      <c r="E82" t="n">
        <v>94877</v>
      </c>
      <c r="F82" t="n">
        <v>26958</v>
      </c>
      <c r="G82" t="n">
        <v>110654</v>
      </c>
      <c r="H82" t="n">
        <v>115032</v>
      </c>
      <c r="I82" t="n">
        <v>158788</v>
      </c>
      <c r="J82" t="n">
        <v>178703</v>
      </c>
      <c r="K82" t="n">
        <v>192113</v>
      </c>
    </row>
    <row r="83" customFormat="1" s="171">
      <c r="A83" s="171" t="inlineStr">
        <is>
          <t>Cash from Investing Activity</t>
        </is>
      </c>
      <c r="B83" t="n">
        <v>-66201</v>
      </c>
      <c r="C83" t="n">
        <v>-68192</v>
      </c>
      <c r="D83" t="n">
        <v>-94507</v>
      </c>
      <c r="E83" t="n">
        <v>-72497</v>
      </c>
      <c r="F83" t="n">
        <v>-142385</v>
      </c>
      <c r="G83" t="n">
        <v>-109162</v>
      </c>
      <c r="H83" t="n">
        <v>-93001</v>
      </c>
      <c r="I83" t="n">
        <v>-113581</v>
      </c>
      <c r="J83" t="n">
        <v>-137535</v>
      </c>
      <c r="K83" t="n">
        <v>-101089</v>
      </c>
    </row>
    <row r="84" customFormat="1" s="171">
      <c r="A84" s="171" t="inlineStr">
        <is>
          <t>Cash from Financing Activity</t>
        </is>
      </c>
      <c r="B84" t="n">
        <v>8617</v>
      </c>
      <c r="C84" t="n">
        <v>-2001</v>
      </c>
      <c r="D84" t="n">
        <v>55906</v>
      </c>
      <c r="E84" t="n">
        <v>-2541</v>
      </c>
      <c r="F84" t="n">
        <v>101904</v>
      </c>
      <c r="G84" t="n">
        <v>17289</v>
      </c>
      <c r="H84" t="n">
        <v>10455</v>
      </c>
      <c r="I84" t="n">
        <v>-16646</v>
      </c>
      <c r="J84" t="n">
        <v>-31891</v>
      </c>
      <c r="K84" t="n">
        <v>-51549</v>
      </c>
    </row>
    <row r="85" customFormat="1" s="170">
      <c r="A85" s="171" t="inlineStr">
        <is>
          <t>Net Cash Flow</t>
        </is>
      </c>
      <c r="B85" t="n">
        <v>-8034</v>
      </c>
      <c r="C85" t="n">
        <v>1266</v>
      </c>
      <c r="D85" t="n">
        <v>3745</v>
      </c>
      <c r="E85" t="n">
        <v>19839</v>
      </c>
      <c r="F85" t="n">
        <v>-13523</v>
      </c>
      <c r="G85" t="n">
        <v>18781</v>
      </c>
      <c r="H85" t="n">
        <v>32486</v>
      </c>
      <c r="I85" t="n">
        <v>28561</v>
      </c>
      <c r="J85" t="n">
        <v>9277</v>
      </c>
      <c r="K85" t="n">
        <v>39475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285.93</v>
      </c>
      <c r="C90" t="n">
        <v>430.93</v>
      </c>
      <c r="D90" t="n">
        <v>557.09</v>
      </c>
      <c r="E90" t="n">
        <v>603.71</v>
      </c>
      <c r="F90" t="n">
        <v>956.71</v>
      </c>
      <c r="G90" t="n">
        <v>1066.69</v>
      </c>
      <c r="H90" t="n">
        <v>1094.14</v>
      </c>
      <c r="I90" t="n">
        <v>1491.08</v>
      </c>
      <c r="J90" t="n">
        <v>1200.1</v>
      </c>
      <c r="K90" t="n">
        <v>1393.9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1384.89</v>
      </c>
      <c r="C93" s="181" t="n">
        <v>1384.89</v>
      </c>
      <c r="D93" s="181" t="n">
        <v>1384.89</v>
      </c>
      <c r="E93" s="181" t="n">
        <v>1384.89</v>
      </c>
      <c r="F93" s="181" t="n">
        <v>1384.89</v>
      </c>
      <c r="G93" s="181" t="n">
        <v>1384.89</v>
      </c>
      <c r="H93" s="181" t="n">
        <v>1384.89</v>
      </c>
      <c r="I93" s="181" t="n">
        <v>1384.89</v>
      </c>
      <c r="J93" s="181" t="n">
        <v>1384.89</v>
      </c>
      <c r="K93" s="181" t="n">
        <v>1384.89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2026-09-22T11:12:50Z</dcterms:modified>
  <cp:lastModifiedBy>Loveish</cp:lastModifiedBy>
  <cp:lastPrinted>2012-12-06T18:14:13Z</cp:lastPrinted>
</cp:coreProperties>
</file>