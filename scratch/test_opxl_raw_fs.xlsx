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2">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2"/>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Maruti Suzuki India Ltd (MARUTI) - Institutional Valuation</t>
        </is>
      </c>
    </row>
    <row r="2"/>
    <row r="4">
      <c r="A4" s="162" t="inlineStr">
        <is>
          <t>Current Price</t>
        </is>
      </c>
      <c r="B4" s="162" t="inlineStr">
        <is>
          <t>Intrinsic Value</t>
        </is>
      </c>
      <c r="C4" s="162" t="inlineStr">
        <is>
          <t>Margin of Safety</t>
        </is>
      </c>
      <c r="D4" s="162" t="inlineStr">
        <is>
          <t>Verdict</t>
        </is>
      </c>
      <c r="E4" s="162" t="inlineStr">
        <is>
          <t>WACC</t>
        </is>
      </c>
      <c r="F4" s="162" t="inlineStr">
        <is>
          <t>Altman Z-Score</t>
        </is>
      </c>
      <c r="G4" s="162" t="inlineStr">
        <is>
          <t>DuPont ROE</t>
        </is>
      </c>
    </row>
    <row r="5" ht="15.6" customHeight="1" s="176">
      <c r="A5" s="164">
        <f>DCF!D44</f>
        <v/>
      </c>
      <c r="B5" s="164">
        <f>DCF!D42</f>
        <v/>
      </c>
      <c r="C5" s="166">
        <f>(B5-A5)/A5</f>
        <v/>
      </c>
      <c r="D5" s="168">
        <f>IF(C5&gt;0.15,"UNDERVALUED / BUY",IF(C5&lt;-0.15,"OVERVALUED / SELL","FAIRLY VALUED / HOLD"))</f>
        <v/>
      </c>
      <c r="E5" s="169">
        <f>DCF!D20</f>
        <v/>
      </c>
      <c r="F5" s="170">
        <f>'Altman''s Z Score'!I89</f>
        <v/>
      </c>
      <c r="G5" s="169">
        <f>'Dupont Analysis'!I78</f>
        <v/>
      </c>
    </row>
    <row r="7" ht="15.6" customHeight="1" s="176">
      <c r="A7" s="167" t="inlineStr">
        <is>
          <t>THE 4 CORE VALUATION PILLARS</t>
        </is>
      </c>
    </row>
    <row r="8">
      <c r="A8" s="37" t="inlineStr">
        <is>
          <t>Pillar 1: FCF Engine</t>
        </is>
      </c>
      <c r="B8" t="inlineStr">
        <is>
          <t>CFO ₹19100.0 Cr vs PAT ₹14680.0 Cr | EBIT Mgn 10.56% | CCC -19.0 days</t>
        </is>
      </c>
    </row>
    <row r="9">
      <c r="A9" s="37" t="inlineStr">
        <is>
          <t>Pillar 2: Growth Trajectory</t>
        </is>
      </c>
      <c r="B9" t="inlineStr">
        <is>
          <t>3Y Sales CAGR 11.6% | 5Y CAGR 17.42% | Forecast g 5.2% | Terminal g 4.0%</t>
        </is>
      </c>
    </row>
    <row r="10">
      <c r="A10" s="37" t="inlineStr">
        <is>
          <t>Pillar 3: Cost of Capital (WACC)</t>
        </is>
      </c>
      <c r="B10" t="inlineStr">
        <is>
          <t>WACC 12.05% | Ke 12.73% | Beta 0.88 | ERP 6.5% | Rf 7.0%</t>
        </is>
      </c>
    </row>
    <row r="11">
      <c r="A11" s="37" t="inlineStr">
        <is>
          <t>Pillar 4: Relative Multiples</t>
        </is>
      </c>
      <c r="B11" t="inlineStr">
        <is>
          <t>P/E 26.6x | P/B 3.55x | EV/EBITDA 5.6x | EV/Sales 0.66x</t>
        </is>
      </c>
    </row>
    <row r="13">
      <c r="A13" s="37" t="inlineStr">
        <is>
          <t>5-Year Discounted Cash Flow (DCF) Schedule (Amounts in ₹ Cr)</t>
        </is>
      </c>
    </row>
    <row r="14">
      <c r="A14" s="171" t="inlineStr">
        <is>
          <t>Year</t>
        </is>
      </c>
      <c r="B14" s="171" t="inlineStr">
        <is>
          <t>EBIT</t>
        </is>
      </c>
      <c r="C14" s="171" t="inlineStr">
        <is>
          <t>NOPAT</t>
        </is>
      </c>
      <c r="D14" s="171" t="inlineStr">
        <is>
          <t>Reinvest Rate</t>
        </is>
      </c>
      <c r="E14" s="171" t="inlineStr">
        <is>
          <t>FCFF</t>
        </is>
      </c>
      <c r="F14" s="171" t="inlineStr">
        <is>
          <t>Discount Factor</t>
        </is>
      </c>
      <c r="G14" s="171" t="inlineStr">
        <is>
          <t>PV of FCFF</t>
        </is>
      </c>
    </row>
    <row r="15">
      <c r="A15" s="180" t="inlineStr">
        <is>
          <t>Year 1</t>
        </is>
      </c>
      <c r="B15" s="172">
        <f>DCF!I8</f>
        <v/>
      </c>
      <c r="C15" s="172">
        <f>DCF!I10</f>
        <v/>
      </c>
      <c r="D15" s="46">
        <f>DCF!I11</f>
        <v/>
      </c>
      <c r="E15" s="172">
        <f>DCF!I12</f>
        <v/>
      </c>
      <c r="F15" s="173">
        <f>DCF!I14</f>
        <v/>
      </c>
      <c r="G15" s="172">
        <f>DCF!I16</f>
        <v/>
      </c>
    </row>
    <row r="16">
      <c r="A16" s="180" t="inlineStr">
        <is>
          <t>Year 2</t>
        </is>
      </c>
      <c r="B16" s="172">
        <f>DCF!J8</f>
        <v/>
      </c>
      <c r="C16" s="172">
        <f>DCF!J10</f>
        <v/>
      </c>
      <c r="D16" s="46">
        <f>DCF!J11</f>
        <v/>
      </c>
      <c r="E16" s="172">
        <f>DCF!J12</f>
        <v/>
      </c>
      <c r="F16" s="173">
        <f>DCF!J14</f>
        <v/>
      </c>
      <c r="G16" s="172">
        <f>DCF!J16</f>
        <v/>
      </c>
    </row>
    <row r="17">
      <c r="A17" s="180" t="inlineStr">
        <is>
          <t>Year 3</t>
        </is>
      </c>
      <c r="B17" s="172">
        <f>DCF!K8</f>
        <v/>
      </c>
      <c r="C17" s="172">
        <f>DCF!K10</f>
        <v/>
      </c>
      <c r="D17" s="46">
        <f>DCF!K11</f>
        <v/>
      </c>
      <c r="E17" s="172">
        <f>DCF!K12</f>
        <v/>
      </c>
      <c r="F17" s="173">
        <f>DCF!K14</f>
        <v/>
      </c>
      <c r="G17" s="172">
        <f>DCF!K16</f>
        <v/>
      </c>
    </row>
    <row r="18">
      <c r="A18" s="180" t="inlineStr">
        <is>
          <t>Year 4</t>
        </is>
      </c>
      <c r="B18" s="172">
        <f>DCF!L8</f>
        <v/>
      </c>
      <c r="C18" s="172">
        <f>DCF!L10</f>
        <v/>
      </c>
      <c r="D18" s="46">
        <f>DCF!L11</f>
        <v/>
      </c>
      <c r="E18" s="172">
        <f>DCF!L12</f>
        <v/>
      </c>
      <c r="F18" s="173">
        <f>DCF!L14</f>
        <v/>
      </c>
      <c r="G18" s="172">
        <f>DCF!L16</f>
        <v/>
      </c>
    </row>
    <row r="19">
      <c r="A19" s="180" t="inlineStr">
        <is>
          <t>Year 5</t>
        </is>
      </c>
      <c r="B19" s="172">
        <f>DCF!M8</f>
        <v/>
      </c>
      <c r="C19" s="172">
        <f>DCF!M10</f>
        <v/>
      </c>
      <c r="D19" s="46">
        <f>DCF!M11</f>
        <v/>
      </c>
      <c r="E19" s="172">
        <f>DCF!M12</f>
        <v/>
      </c>
      <c r="F19" s="173">
        <f>DCF!M14</f>
        <v/>
      </c>
      <c r="G19" s="172">
        <f>DCF!M16</f>
        <v/>
      </c>
    </row>
    <row r="21">
      <c r="A21" s="37" t="inlineStr">
        <is>
          <t>Enterprise to Equity Value Bridge</t>
        </is>
      </c>
    </row>
    <row r="22">
      <c r="A22" s="37" t="inlineStr">
        <is>
          <t>PV of 5-Year FCFFs</t>
        </is>
      </c>
      <c r="B22" s="172">
        <f>DCF!D33</f>
        <v/>
      </c>
    </row>
    <row r="23">
      <c r="A23" s="37" t="inlineStr">
        <is>
          <t>Terminal Value</t>
        </is>
      </c>
      <c r="B23" s="172">
        <f>DCF!D29</f>
        <v/>
      </c>
    </row>
    <row r="24">
      <c r="A24" s="37" t="inlineStr">
        <is>
          <t>PV of Terminal Value</t>
        </is>
      </c>
      <c r="B24" s="172">
        <f>DCF!D34</f>
        <v/>
      </c>
    </row>
    <row r="25">
      <c r="A25" s="37" t="inlineStr">
        <is>
          <t>Enterprise Value (Operating Assets)</t>
        </is>
      </c>
      <c r="B25" s="172">
        <f>DCF!D35</f>
        <v/>
      </c>
    </row>
    <row r="26">
      <c r="A26" s="37" t="inlineStr">
        <is>
          <t>Add: Estimated Cash &amp; Liquid Assets</t>
        </is>
      </c>
      <c r="B26" s="172">
        <f>DCF!D37</f>
        <v/>
      </c>
    </row>
    <row r="27">
      <c r="A27" s="37" t="inlineStr">
        <is>
          <t>Less: Total Debt &amp; Borrowings</t>
        </is>
      </c>
      <c r="B27" s="172">
        <f>DCF!D38</f>
        <v/>
      </c>
    </row>
    <row r="28">
      <c r="A28" s="37" t="inlineStr">
        <is>
          <t>Net Equity Value</t>
        </is>
      </c>
      <c r="B28" s="172">
        <f>DCF!D39</f>
        <v/>
      </c>
    </row>
    <row r="29">
      <c r="A29" s="37" t="inlineStr">
        <is>
          <t>Shares Outstanding</t>
        </is>
      </c>
      <c r="B29" s="172">
        <f>DCF!D40</f>
        <v/>
      </c>
    </row>
    <row r="30">
      <c r="A30" s="37" t="inlineStr">
        <is>
          <t>Intrinsic Value per Share</t>
        </is>
      </c>
      <c r="B30" s="163">
        <f>DCF!D42</f>
        <v/>
      </c>
    </row>
    <row r="31">
      <c r="A31" s="37" t="inlineStr">
        <is>
          <t>Current Market Price</t>
        </is>
      </c>
      <c r="B31" s="163">
        <f>DCF!D44</f>
        <v/>
      </c>
    </row>
    <row r="32">
      <c r="A32" s="37" t="inlineStr">
        <is>
          <t>Margin of Safety / Discount</t>
        </is>
      </c>
      <c r="B32" s="165">
        <f>(B5-A5)/A5</f>
        <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102</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76838</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314000000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30.22</v>
      </c>
      <c r="C93" s="198" t="n">
        <v>30.22</v>
      </c>
      <c r="D93" s="198" t="n">
        <v>30.22</v>
      </c>
      <c r="E93" s="198" t="n">
        <v>30.22</v>
      </c>
      <c r="F93" s="198" t="n">
        <v>30.22</v>
      </c>
      <c r="G93" s="198" t="n">
        <v>30.22</v>
      </c>
      <c r="H93" s="198" t="n">
        <v>30.22</v>
      </c>
      <c r="I93" s="198" t="n">
        <v>30.22</v>
      </c>
      <c r="J93" s="198" t="n">
        <v>30.22</v>
      </c>
      <c r="K93" s="198" t="n">
        <v>30.22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6" thickBot="1">
      <c r="B42" s="127" t="inlineStr">
        <is>
          <t>Equity Value per Share</t>
        </is>
      </c>
      <c r="C42" s="127" t="n"/>
      <c r="D42" s="128">
        <f>D39/D40</f>
        <v/>
      </c>
    </row>
    <row r="44">
      <c r="B44" t="inlineStr">
        <is>
          <t>Share Price</t>
        </is>
      </c>
      <c r="D44" s="107" t="n">
        <v>12103</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Maruti Suzuki</t>
        </is>
      </c>
      <c r="P12" t="n">
        <v>12103</v>
      </c>
      <c r="Q12" t="n">
        <v>31.44</v>
      </c>
      <c r="R12" t="n">
        <v>380521.44</v>
      </c>
      <c r="S12" t="n">
        <v>95130.36</v>
      </c>
      <c r="T12" t="n">
        <v>19026.07</v>
      </c>
      <c r="U12" t="n">
        <v>456625.73</v>
      </c>
      <c r="V12" t="n">
        <v>66052</v>
      </c>
      <c r="W12" t="n">
        <v>30.61</v>
      </c>
      <c r="X12" t="n">
        <v>14971</v>
      </c>
    </row>
    <row r="13">
      <c r="B13" t="n">
        <v>2018</v>
      </c>
      <c r="C13" s="46" t="n">
        <v>0.0315</v>
      </c>
      <c r="G13" s="34" t="n">
        <v>46273</v>
      </c>
      <c r="H13" t="n">
        <v>12641</v>
      </c>
      <c r="J13" t="n">
        <v>23635.1</v>
      </c>
      <c r="N13" t="n">
        <v>2</v>
      </c>
      <c r="O13" t="inlineStr">
        <is>
          <t>M &amp; M</t>
        </is>
      </c>
      <c r="P13" t="n">
        <v>3052</v>
      </c>
      <c r="Q13" t="n">
        <v>124.35</v>
      </c>
      <c r="R13" t="n">
        <v>379525</v>
      </c>
      <c r="S13" t="n">
        <v>94881.25</v>
      </c>
      <c r="T13" t="n">
        <v>18976.25</v>
      </c>
      <c r="U13" t="n">
        <v>455430</v>
      </c>
      <c r="V13" t="n">
        <v>76487.98</v>
      </c>
      <c r="W13" t="n">
        <v>12.44</v>
      </c>
      <c r="X13" t="n">
        <v>20183.53</v>
      </c>
    </row>
    <row r="14">
      <c r="B14" t="n">
        <v>2017</v>
      </c>
      <c r="C14" s="46" t="n">
        <v>0.2865</v>
      </c>
      <c r="G14" s="34" t="n">
        <v>46272</v>
      </c>
      <c r="H14" t="n">
        <v>12760</v>
      </c>
      <c r="J14" t="n">
        <v>23779.15</v>
      </c>
      <c r="N14" t="n">
        <v>3</v>
      </c>
      <c r="O14" t="inlineStr">
        <is>
          <t>Bajaj Auto</t>
        </is>
      </c>
      <c r="P14" t="n">
        <v>11414</v>
      </c>
      <c r="Q14" t="n">
        <v>27.48</v>
      </c>
      <c r="R14" t="n">
        <v>313661.1</v>
      </c>
      <c r="S14" t="n">
        <v>78415.27</v>
      </c>
      <c r="T14" t="n">
        <v>15683.06</v>
      </c>
      <c r="U14" t="n">
        <v>376393.31</v>
      </c>
      <c r="V14" t="n">
        <v>4400.19</v>
      </c>
      <c r="W14" t="n">
        <v>20.53</v>
      </c>
      <c r="X14" t="n">
        <v>158.3</v>
      </c>
    </row>
    <row r="15">
      <c r="B15" t="n">
        <v>2016</v>
      </c>
      <c r="C15" s="46" t="n">
        <v>0.0301</v>
      </c>
      <c r="G15" s="34" t="n">
        <v>46269</v>
      </c>
      <c r="H15" t="n">
        <v>12694</v>
      </c>
      <c r="J15" t="n">
        <v>23897.7</v>
      </c>
      <c r="N15" t="n">
        <v>4</v>
      </c>
      <c r="O15" t="inlineStr">
        <is>
          <t>Eicher Motors</t>
        </is>
      </c>
      <c r="P15" t="n">
        <v>7516</v>
      </c>
      <c r="Q15" t="n">
        <v>27.45</v>
      </c>
      <c r="R15" t="n">
        <v>206330.52</v>
      </c>
      <c r="S15" t="n">
        <v>51582.63</v>
      </c>
      <c r="T15" t="n">
        <v>10316.53</v>
      </c>
      <c r="U15" t="n">
        <v>247596.62</v>
      </c>
      <c r="V15" t="n">
        <v>2012.58</v>
      </c>
      <c r="W15" t="n">
        <v>12.74</v>
      </c>
      <c r="X15" t="n">
        <v>0.22</v>
      </c>
    </row>
    <row r="16">
      <c r="B16" t="n">
        <v>2015</v>
      </c>
      <c r="C16" s="46" t="n">
        <v>-0.0406</v>
      </c>
      <c r="G16" s="34" t="n">
        <v>46268</v>
      </c>
      <c r="H16" t="n">
        <v>12857</v>
      </c>
      <c r="J16" t="n">
        <v>23873.45</v>
      </c>
      <c r="N16" t="n">
        <v>5</v>
      </c>
      <c r="O16" t="inlineStr">
        <is>
          <t>TVS Motor Co.</t>
        </is>
      </c>
      <c r="P16" t="n">
        <v>4171.3</v>
      </c>
      <c r="Q16" t="n">
        <v>47.51</v>
      </c>
      <c r="R16" t="n">
        <v>198173.09</v>
      </c>
      <c r="S16" t="n">
        <v>49543.27</v>
      </c>
      <c r="T16" t="n">
        <v>9908.65</v>
      </c>
      <c r="U16" t="n">
        <v>237807.71</v>
      </c>
      <c r="V16" t="n">
        <v>238.77</v>
      </c>
      <c r="W16" t="n">
        <v>13.43</v>
      </c>
      <c r="X16" t="n">
        <v>8.51</v>
      </c>
    </row>
    <row r="17">
      <c r="B17" t="n">
        <v>2014</v>
      </c>
      <c r="C17" s="46" t="n">
        <v>0.3139</v>
      </c>
      <c r="G17" s="34" t="n">
        <v>46267</v>
      </c>
      <c r="H17" t="n">
        <v>12849</v>
      </c>
      <c r="J17" t="n">
        <v>23914.45</v>
      </c>
      <c r="N17" t="n">
        <v>6</v>
      </c>
      <c r="O17" t="inlineStr">
        <is>
          <t>Hyundai Motor I</t>
        </is>
      </c>
      <c r="P17" t="n">
        <v>2208.8</v>
      </c>
      <c r="Q17" t="n">
        <v>81.25</v>
      </c>
      <c r="R17" t="n">
        <v>179474.08</v>
      </c>
      <c r="S17" t="n">
        <v>44868.52</v>
      </c>
      <c r="T17" t="n">
        <v>8973.700000000001</v>
      </c>
      <c r="U17" t="n">
        <v>215368.9</v>
      </c>
    </row>
    <row r="18">
      <c r="B18" t="n">
        <v>2013</v>
      </c>
      <c r="C18" s="46" t="n">
        <v>0.06759999999999999</v>
      </c>
      <c r="G18" s="34" t="n">
        <v>46266</v>
      </c>
      <c r="H18" t="n">
        <v>12950</v>
      </c>
      <c r="J18" t="n">
        <v>24055.8</v>
      </c>
      <c r="N18" t="n">
        <v>7</v>
      </c>
      <c r="O18" t="inlineStr">
        <is>
          <t>Samvardh. Mothe.</t>
        </is>
      </c>
      <c r="P18" t="n">
        <v>162.57</v>
      </c>
      <c r="Q18" t="n">
        <v>1055.44</v>
      </c>
      <c r="R18" t="n">
        <v>171583.57</v>
      </c>
      <c r="S18" t="n">
        <v>42895.89</v>
      </c>
      <c r="T18" t="n">
        <v>8579.18</v>
      </c>
      <c r="U18" t="n">
        <v>205900.28</v>
      </c>
    </row>
    <row r="19">
      <c r="B19" t="n">
        <v>2012</v>
      </c>
      <c r="C19" s="46" t="n">
        <v>0.277</v>
      </c>
      <c r="G19" s="34" t="n">
        <v>46265</v>
      </c>
      <c r="H19" t="n">
        <v>13547</v>
      </c>
      <c r="J19" t="n">
        <v>24080.4</v>
      </c>
      <c r="N19" t="n">
        <v>8</v>
      </c>
      <c r="O19" t="inlineStr">
        <is>
          <t>Bosch</t>
        </is>
      </c>
      <c r="P19" t="n">
        <v>47000</v>
      </c>
      <c r="Q19" t="n">
        <v>2.95</v>
      </c>
      <c r="R19" t="n">
        <v>138631.67</v>
      </c>
      <c r="S19" t="n">
        <v>34657.92</v>
      </c>
      <c r="T19" t="n">
        <v>6931.58</v>
      </c>
      <c r="U19" t="n">
        <v>166358.01</v>
      </c>
    </row>
    <row r="20">
      <c r="B20" t="n">
        <v>2011</v>
      </c>
      <c r="C20" s="46" t="n">
        <v>-0.2462</v>
      </c>
      <c r="G20" s="34" t="n">
        <v>46262</v>
      </c>
      <c r="H20" t="n">
        <v>13376</v>
      </c>
      <c r="J20" t="n">
        <v>24175.65</v>
      </c>
      <c r="N20" t="n">
        <v>9</v>
      </c>
      <c r="O20" t="inlineStr">
        <is>
          <t>Tata Motors PVeh</t>
        </is>
      </c>
      <c r="P20" t="n">
        <v>303.8</v>
      </c>
      <c r="Q20" t="n">
        <v>368.29</v>
      </c>
      <c r="R20" t="n">
        <v>111886.25</v>
      </c>
      <c r="S20" t="n">
        <v>27971.56</v>
      </c>
      <c r="T20" t="n">
        <v>5594.31</v>
      </c>
      <c r="U20" t="n">
        <v>134263.5</v>
      </c>
    </row>
    <row r="21">
      <c r="B21" t="n">
        <v>2010</v>
      </c>
      <c r="C21" s="46" t="n">
        <v>0.1795</v>
      </c>
      <c r="G21" s="34" t="n">
        <v>46261</v>
      </c>
      <c r="H21" t="n">
        <v>13440</v>
      </c>
      <c r="J21" t="n">
        <v>24090.85</v>
      </c>
      <c r="N21" t="n">
        <v>10</v>
      </c>
      <c r="O21" t="inlineStr">
        <is>
          <t>Hero Motocorp</t>
        </is>
      </c>
      <c r="P21" t="n">
        <v>5285.5</v>
      </c>
      <c r="Q21" t="n">
        <v>20.01</v>
      </c>
      <c r="R21" t="n">
        <v>105784.63</v>
      </c>
      <c r="S21" t="n">
        <v>26446.16</v>
      </c>
      <c r="T21" t="n">
        <v>5289.23</v>
      </c>
      <c r="U21" t="n">
        <v>126941.56</v>
      </c>
    </row>
    <row r="22">
      <c r="B22" t="n">
        <v>2009</v>
      </c>
      <c r="C22" s="46" t="n">
        <v>0.7576000000000001</v>
      </c>
      <c r="G22" s="34" t="n">
        <v>46260</v>
      </c>
      <c r="H22" t="n">
        <v>13520</v>
      </c>
      <c r="J22" t="n">
        <v>24207.75</v>
      </c>
    </row>
    <row r="23">
      <c r="B23" t="n">
        <v>2008</v>
      </c>
      <c r="C23" s="46" t="n">
        <v>-0.5179</v>
      </c>
      <c r="G23" s="34" t="n">
        <v>46259</v>
      </c>
      <c r="H23" t="n">
        <v>13678</v>
      </c>
      <c r="J23" t="n">
        <v>24334.55</v>
      </c>
    </row>
    <row r="24">
      <c r="B24" t="n">
        <v>2007</v>
      </c>
      <c r="C24" s="46" t="n">
        <v>0.5477</v>
      </c>
      <c r="G24" s="34" t="n">
        <v>46258</v>
      </c>
      <c r="H24" t="n">
        <v>13620</v>
      </c>
      <c r="J24" t="n">
        <v>24219.05</v>
      </c>
      <c r="O24" t="inlineStr">
        <is>
          <t>M &amp; M</t>
        </is>
      </c>
      <c r="Q24" t="inlineStr">
        <is>
          <t>India</t>
        </is>
      </c>
      <c r="R24" t="n">
        <v>94881.2</v>
      </c>
      <c r="S24" t="n">
        <v>379525</v>
      </c>
      <c r="T24" s="46" t="n">
        <v>0.3</v>
      </c>
    </row>
    <row r="25">
      <c r="B25" t="n">
        <v>2006</v>
      </c>
      <c r="C25" s="46" t="n">
        <v>0.3983</v>
      </c>
      <c r="G25" s="34" t="n">
        <v>46255</v>
      </c>
      <c r="H25" t="n">
        <v>13565</v>
      </c>
      <c r="J25" t="n">
        <v>24252</v>
      </c>
      <c r="O25" t="inlineStr">
        <is>
          <t>Maruti Suzuki India Ltd</t>
        </is>
      </c>
      <c r="Q25">
        <f>Q24</f>
        <v/>
      </c>
      <c r="R25" t="n">
        <v>102</v>
      </c>
      <c r="S25" t="n">
        <v>380521</v>
      </c>
      <c r="T25" s="46">
        <f>T24</f>
        <v/>
      </c>
    </row>
    <row r="26">
      <c r="B26" t="n">
        <v>2005</v>
      </c>
      <c r="C26" s="46" t="n">
        <v>0.3634</v>
      </c>
      <c r="G26" s="34" t="n">
        <v>46254</v>
      </c>
      <c r="H26" t="n">
        <v>13809</v>
      </c>
      <c r="J26" t="n">
        <v>24231.85</v>
      </c>
      <c r="O26" t="inlineStr">
        <is>
          <t>Bajaj Auto</t>
        </is>
      </c>
      <c r="Q26">
        <f>Q25</f>
        <v/>
      </c>
      <c r="R26" t="n">
        <v>78415.3</v>
      </c>
      <c r="S26" t="n">
        <v>313661.1</v>
      </c>
      <c r="T26" s="46">
        <f>T25</f>
        <v/>
      </c>
    </row>
    <row r="27">
      <c r="B27" t="n">
        <v>2004</v>
      </c>
      <c r="C27" s="46" t="n">
        <v>0.1068</v>
      </c>
      <c r="G27" s="34" t="n">
        <v>46253</v>
      </c>
      <c r="H27" t="n">
        <v>13690</v>
      </c>
      <c r="J27" t="n">
        <v>24078.3</v>
      </c>
      <c r="O27" t="inlineStr">
        <is>
          <t>Eicher Motors</t>
        </is>
      </c>
      <c r="Q27">
        <f>Q26</f>
        <v/>
      </c>
      <c r="R27" t="n">
        <v>51582.6</v>
      </c>
      <c r="S27" t="n">
        <v>206330.52</v>
      </c>
      <c r="T27" s="46">
        <f>T26</f>
        <v/>
      </c>
    </row>
    <row r="28">
      <c r="B28" t="n">
        <v>2003</v>
      </c>
      <c r="C28" s="46" t="n">
        <v>0.719</v>
      </c>
      <c r="G28" s="34" t="n">
        <v>46252</v>
      </c>
      <c r="H28" t="n">
        <v>13691</v>
      </c>
      <c r="J28" t="n">
        <v>24154.9</v>
      </c>
      <c r="O28" t="inlineStr">
        <is>
          <t>TVS Motor Co.</t>
        </is>
      </c>
      <c r="Q28">
        <f>Q27</f>
        <v/>
      </c>
      <c r="R28" t="n">
        <v>49543.3</v>
      </c>
      <c r="S28" t="n">
        <v>198173.09</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7.109375" customWidth="1" style="176" min="2" max="2"/>
    <col width="10.6640625" customWidth="1" style="176" min="3" max="3"/>
    <col width="9.44140625" bestFit="1" customWidth="1" style="176" min="4" max="4"/>
    <col width="11.21875" customWidth="1" style="176" min="5" max="5"/>
    <col width="11.88671875" bestFit="1" customWidth="1" style="176" min="6" max="6"/>
    <col width="9.5546875" bestFit="1" customWidth="1" style="176" min="7" max="7"/>
    <col width="12.109375" customWidth="1" style="176" min="8" max="8"/>
    <col width="10.44140625" bestFit="1" customWidth="1" style="176" min="11" max="13"/>
    <col width="12.109375" customWidth="1" style="176" min="15" max="16"/>
    <col width="12.8867187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76"/>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76"/>
    <row r="23">
      <c r="B23" s="79" t="inlineStr">
        <is>
          <t>High</t>
        </is>
      </c>
      <c r="C23" s="79" t="n"/>
      <c r="D23" s="79" t="n"/>
      <c r="E23" s="79" t="n"/>
      <c r="F23" s="79" t="n"/>
      <c r="G23" s="79" t="n"/>
      <c r="H23" s="79" t="n"/>
      <c r="I23" s="79" t="n"/>
      <c r="J23" s="79" t="n"/>
      <c r="K23" s="79" t="n"/>
      <c r="L23" s="79" t="n"/>
      <c r="M23" s="79" t="n"/>
      <c r="N23" s="79" t="n"/>
      <c r="O23" s="86">
        <f>MAX(O13:O21)</f>
        <v/>
      </c>
      <c r="P23" s="86">
        <f>MAX(P13:P21)</f>
        <v/>
      </c>
      <c r="Q23" s="86">
        <f>MAX(Q13:Q21)</f>
        <v/>
      </c>
    </row>
    <row r="24">
      <c r="B24" s="79" t="inlineStr">
        <is>
          <t>25th Percentile</t>
        </is>
      </c>
      <c r="C24" s="79" t="n"/>
      <c r="D24" s="79" t="n"/>
      <c r="E24" s="79" t="n"/>
      <c r="F24" s="79" t="n"/>
      <c r="G24" s="79" t="n"/>
      <c r="H24" s="79" t="n"/>
      <c r="I24" s="79" t="n"/>
      <c r="J24" s="79" t="n"/>
      <c r="K24" s="79" t="n"/>
      <c r="L24" s="79" t="n"/>
      <c r="M24" s="79" t="n"/>
      <c r="N24" s="79" t="n"/>
      <c r="O24" s="87">
        <f>QUARTILE(O13:O21,1)</f>
        <v/>
      </c>
      <c r="P24" s="87">
        <f>QUARTILE(P13:P21,1)</f>
        <v/>
      </c>
      <c r="Q24" s="87">
        <f>QUARTILE(Q13:Q21,1)</f>
        <v/>
      </c>
    </row>
    <row r="25">
      <c r="B25" s="152" t="inlineStr">
        <is>
          <t>Median</t>
        </is>
      </c>
      <c r="C25" s="152" t="n"/>
      <c r="D25" s="152" t="n"/>
      <c r="E25" s="152" t="n"/>
      <c r="F25" s="152" t="n"/>
      <c r="G25" s="152" t="n"/>
      <c r="H25" s="152" t="n"/>
      <c r="I25" s="152" t="n"/>
      <c r="J25" s="152" t="n"/>
      <c r="K25" s="152" t="n"/>
      <c r="L25" s="152" t="n"/>
      <c r="M25" s="152" t="n"/>
      <c r="N25" s="152" t="n"/>
      <c r="O25" s="153">
        <f>MEDIAN(O13:O21)</f>
        <v/>
      </c>
      <c r="P25" s="153">
        <f>MEDIAN(P13:P21)</f>
        <v/>
      </c>
      <c r="Q25" s="153">
        <f>MEDIAN(Q13:Q21)</f>
        <v/>
      </c>
    </row>
    <row r="26">
      <c r="B26" s="152" t="inlineStr">
        <is>
          <t>Average</t>
        </is>
      </c>
      <c r="C26" s="152" t="n"/>
      <c r="D26" s="152" t="n"/>
      <c r="E26" s="152" t="n"/>
      <c r="F26" s="152" t="n"/>
      <c r="G26" s="152" t="n"/>
      <c r="H26" s="152" t="n"/>
      <c r="I26" s="152" t="n"/>
      <c r="J26" s="152" t="n"/>
      <c r="K26" s="152" t="n"/>
      <c r="L26" s="152" t="n"/>
      <c r="M26" s="152" t="n"/>
      <c r="N26" s="152" t="n"/>
      <c r="O26" s="153">
        <f>AVERAGE(O13:O21)</f>
        <v/>
      </c>
      <c r="P26" s="153">
        <f>AVERAGE(P13:P21)</f>
        <v/>
      </c>
      <c r="Q26" s="153">
        <f>AVERAGE(Q13:Q21)</f>
        <v/>
      </c>
    </row>
    <row r="27">
      <c r="B27" s="79" t="inlineStr">
        <is>
          <t>75th Percentile</t>
        </is>
      </c>
      <c r="C27" s="79" t="n"/>
      <c r="D27" s="79" t="n"/>
      <c r="E27" s="79" t="n"/>
      <c r="F27" s="79" t="n"/>
      <c r="G27" s="79" t="n"/>
      <c r="H27" s="79" t="n"/>
      <c r="I27" s="79" t="n"/>
      <c r="J27" s="79" t="n"/>
      <c r="K27" s="79" t="n"/>
      <c r="L27" s="79" t="n"/>
      <c r="M27" s="79" t="n"/>
      <c r="N27" s="79" t="n"/>
      <c r="O27" s="87">
        <f>QUARTILE(O13:O21,3)</f>
        <v/>
      </c>
      <c r="P27" s="87">
        <f>QUARTILE(P13:P21,3)</f>
        <v/>
      </c>
      <c r="Q27" s="87">
        <f>QUARTILE(Q13:Q21,3)</f>
        <v/>
      </c>
    </row>
    <row r="28">
      <c r="B28" s="79" t="inlineStr">
        <is>
          <t>Low</t>
        </is>
      </c>
      <c r="C28" s="79" t="n"/>
      <c r="D28" s="79" t="n"/>
      <c r="E28" s="79" t="n"/>
      <c r="F28" s="79" t="n"/>
      <c r="G28" s="79" t="n"/>
      <c r="H28" s="79" t="n"/>
      <c r="I28" s="79" t="n"/>
      <c r="J28" s="79" t="n"/>
      <c r="K28" s="79" t="n"/>
      <c r="L28" s="79" t="n"/>
      <c r="M28" s="79" t="n"/>
      <c r="N28" s="79" t="n"/>
      <c r="O28" s="86">
        <f>MIN(O13:O21)</f>
        <v/>
      </c>
      <c r="P28" s="86">
        <f>MIN(P13:P21)</f>
        <v/>
      </c>
      <c r="Q28" s="86">
        <f>MIN(Q13:Q21)</f>
        <v/>
      </c>
    </row>
    <row r="30">
      <c r="B30" s="84" t="inlineStr">
        <is>
          <t>Maruti Suzuki India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K12*O26</f>
        <v/>
      </c>
      <c r="P32" s="155">
        <f>L12*P26</f>
        <v/>
      </c>
      <c r="Q32" s="155">
        <f>M12*Q26</f>
        <v/>
      </c>
    </row>
    <row r="33">
      <c r="B33" s="150" t="inlineStr">
        <is>
          <t>Net Debt Value</t>
        </is>
      </c>
      <c r="C33" s="150" t="n"/>
      <c r="D33" s="150" t="n"/>
      <c r="E33" s="150" t="n"/>
      <c r="F33" s="150" t="n"/>
      <c r="G33" s="150" t="n"/>
      <c r="H33" s="150" t="n"/>
      <c r="I33" s="150" t="n"/>
      <c r="J33" s="150" t="n"/>
      <c r="K33" s="150" t="n"/>
      <c r="L33" s="150" t="n"/>
      <c r="M33" s="150" t="n"/>
      <c r="N33" s="150" t="n"/>
      <c r="O33" s="155">
        <f>$G$12</f>
        <v/>
      </c>
      <c r="P33" s="155">
        <f>$G$12</f>
        <v/>
      </c>
      <c r="Q33" s="155">
        <f>$G$12</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$E$12</f>
        <v/>
      </c>
      <c r="P35" s="155">
        <f>$E$12</f>
        <v/>
      </c>
      <c r="Q35" s="155">
        <f>$E$12</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IF(O37&gt;$D$12,"Overvalued","Undervalued")</f>
        <v/>
      </c>
      <c r="P39">
        <f>IF(P37&gt;$D$12,"Overvalued","Undervalued")</f>
        <v/>
      </c>
      <c r="Q39">
        <f>IF(Q37&gt;$D$12,"Overvalued","Undervalued")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v>99999</v>
      </c>
      <c r="D4" s="35" t="n"/>
      <c r="E4" s="35" t="n"/>
      <c r="F4" s="35" t="n"/>
      <c r="G4" s="35" t="n"/>
      <c r="H4" s="35" t="n"/>
      <c r="I4" s="35" t="n"/>
      <c r="J4" s="35" t="n"/>
      <c r="K4" s="35" t="n"/>
      <c r="L4" s="35" t="n"/>
      <c r="M4" s="35" t="n"/>
      <c r="N4" s="35" t="n"/>
      <c r="O4" s="35" t="n"/>
      <c r="R4" t="inlineStr">
        <is>
          <t>Sales +</t>
        </is>
      </c>
      <c r="S4" s="73" t="n">
        <v>50801</v>
      </c>
      <c r="T4" s="73" t="n">
        <v>57589</v>
      </c>
      <c r="U4" s="73" t="n">
        <v>68085</v>
      </c>
      <c r="V4" s="73" t="n">
        <v>79809</v>
      </c>
      <c r="W4" s="73" t="n">
        <v>86068</v>
      </c>
      <c r="X4" s="73" t="n">
        <v>75660</v>
      </c>
      <c r="Y4" s="73" t="n">
        <v>70372</v>
      </c>
      <c r="Z4" s="73" t="n">
        <v>88330</v>
      </c>
      <c r="AA4" s="73" t="n">
        <v>118410</v>
      </c>
      <c r="AB4" s="73" t="n">
        <v>141858</v>
      </c>
      <c r="AC4" s="73" t="n">
        <v>152913</v>
      </c>
      <c r="AD4" s="73" t="n">
        <v>183316</v>
      </c>
      <c r="AE4" s="73" t="n">
        <v>197181</v>
      </c>
    </row>
    <row r="5">
      <c r="B5" s="35" t="inlineStr">
        <is>
          <t>Equity Capital</t>
        </is>
      </c>
      <c r="C5" t="n">
        <v>151</v>
      </c>
      <c r="D5" s="47" t="n">
        <v>151</v>
      </c>
      <c r="E5" s="47" t="n">
        <v>151</v>
      </c>
      <c r="F5" s="47" t="n">
        <v>151</v>
      </c>
      <c r="G5" s="47" t="n">
        <v>151</v>
      </c>
      <c r="H5" s="47" t="n">
        <v>151</v>
      </c>
      <c r="I5" s="47" t="n">
        <v>151</v>
      </c>
      <c r="J5" s="47" t="n">
        <v>151</v>
      </c>
      <c r="K5" s="47" t="n">
        <v>157</v>
      </c>
      <c r="L5" s="47" t="n">
        <v>157</v>
      </c>
      <c r="M5" s="47" t="n">
        <v>157</v>
      </c>
      <c r="N5" s="47" t="n">
        <v>157</v>
      </c>
      <c r="R5" t="inlineStr">
        <is>
          <t>Expenses +</t>
        </is>
      </c>
      <c r="S5" s="73" t="n">
        <v>43909</v>
      </c>
      <c r="T5" s="73" t="n">
        <v>48565</v>
      </c>
      <c r="U5" s="73" t="n">
        <v>57664</v>
      </c>
      <c r="V5" s="73" t="n">
        <v>67692</v>
      </c>
      <c r="W5" s="73" t="n">
        <v>75012</v>
      </c>
      <c r="X5" s="73" t="n">
        <v>68305</v>
      </c>
      <c r="Y5" s="73" t="n">
        <v>64961</v>
      </c>
      <c r="Z5" s="73" t="n">
        <v>82578</v>
      </c>
      <c r="AA5" s="73" t="n">
        <v>105288</v>
      </c>
      <c r="AB5" s="73" t="n">
        <v>123232</v>
      </c>
      <c r="AC5" s="73" t="n">
        <v>132689</v>
      </c>
      <c r="AD5" s="73" t="n">
        <v>161786</v>
      </c>
      <c r="AE5" s="73" t="n">
        <v>176050</v>
      </c>
    </row>
    <row r="6">
      <c r="B6" t="inlineStr">
        <is>
          <t>Reserves</t>
        </is>
      </c>
      <c r="C6" s="73" t="n">
        <v>24167</v>
      </c>
      <c r="D6" s="73" t="n">
        <v>30465</v>
      </c>
      <c r="E6" s="73" t="n">
        <v>36924</v>
      </c>
      <c r="F6" s="73" t="n">
        <v>42408</v>
      </c>
      <c r="G6" s="73" t="n">
        <v>46941</v>
      </c>
      <c r="H6" s="73" t="n">
        <v>49262</v>
      </c>
      <c r="I6" s="73" t="n">
        <v>52350</v>
      </c>
      <c r="J6" s="73" t="n">
        <v>55182</v>
      </c>
      <c r="K6" s="73" t="n">
        <v>74443</v>
      </c>
      <c r="L6" s="73" t="n">
        <v>85479</v>
      </c>
      <c r="M6" s="73" t="n">
        <v>96083</v>
      </c>
      <c r="N6" s="73" t="n">
        <v>106999</v>
      </c>
      <c r="O6" s="73" t="n"/>
      <c r="R6" t="inlineStr">
        <is>
          <t>Operating Profit</t>
        </is>
      </c>
      <c r="S6" s="73" t="n">
        <v>6892</v>
      </c>
      <c r="T6" s="73" t="n">
        <v>9024</v>
      </c>
      <c r="U6" s="73" t="n">
        <v>10421</v>
      </c>
      <c r="V6" s="73" t="n">
        <v>12118</v>
      </c>
      <c r="W6" s="73" t="n">
        <v>11056</v>
      </c>
      <c r="X6" s="73" t="n">
        <v>7355</v>
      </c>
      <c r="Y6" s="73" t="n">
        <v>5411</v>
      </c>
      <c r="Z6" s="73" t="n">
        <v>5752</v>
      </c>
      <c r="AA6" s="73" t="n">
        <v>13122</v>
      </c>
      <c r="AB6" s="73" t="n">
        <v>18626</v>
      </c>
      <c r="AC6" s="73" t="n">
        <v>20224</v>
      </c>
      <c r="AD6" s="73" t="n">
        <v>21530</v>
      </c>
      <c r="AE6" s="73" t="n">
        <v>21131</v>
      </c>
    </row>
    <row r="7">
      <c r="B7" s="73" t="inlineStr">
        <is>
          <t>Borrowings -</t>
        </is>
      </c>
      <c r="C7" s="73" t="n">
        <v>666</v>
      </c>
      <c r="D7" s="73" t="n">
        <v>231</v>
      </c>
      <c r="E7" s="73" t="n">
        <v>484</v>
      </c>
      <c r="F7" s="73" t="n">
        <v>121</v>
      </c>
      <c r="G7" s="73" t="n">
        <v>160</v>
      </c>
      <c r="H7" s="73" t="n">
        <v>184</v>
      </c>
      <c r="I7" s="73" t="n">
        <v>541</v>
      </c>
      <c r="J7" s="73" t="n">
        <v>426</v>
      </c>
      <c r="K7" s="73" t="n">
        <v>1248</v>
      </c>
      <c r="L7" s="73" t="n">
        <v>119</v>
      </c>
      <c r="M7" s="73" t="n">
        <v>87</v>
      </c>
      <c r="N7" s="73" t="n">
        <v>102</v>
      </c>
      <c r="O7" s="73" t="n"/>
      <c r="R7" t="inlineStr">
        <is>
          <t>OPM %</t>
        </is>
      </c>
      <c r="S7" s="75" t="n">
        <v>14</v>
      </c>
      <c r="T7" s="75" t="n">
        <v>16</v>
      </c>
      <c r="U7" s="75" t="n">
        <v>15</v>
      </c>
      <c r="V7" s="75" t="n">
        <v>15</v>
      </c>
      <c r="W7" s="75" t="n">
        <v>13</v>
      </c>
      <c r="X7" s="75" t="n">
        <v>10</v>
      </c>
      <c r="Y7" s="75" t="n">
        <v>8</v>
      </c>
      <c r="Z7" s="75" t="n">
        <v>7</v>
      </c>
      <c r="AA7" s="75" t="n">
        <v>11</v>
      </c>
      <c r="AB7" s="75" t="n">
        <v>13</v>
      </c>
      <c r="AC7" s="75" t="n">
        <v>13</v>
      </c>
      <c r="AD7" s="75" t="n">
        <v>12</v>
      </c>
      <c r="AE7" s="75" t="n">
        <v>11</v>
      </c>
    </row>
    <row r="8">
      <c r="B8" s="73" t="inlineStr">
        <is>
          <t>Long term Borrowings</t>
        </is>
      </c>
      <c r="C8" s="73" t="n">
        <v>278</v>
      </c>
      <c r="D8" s="73" t="n">
        <v>0</v>
      </c>
      <c r="E8" s="73" t="n">
        <v>0</v>
      </c>
      <c r="F8" s="73" t="n">
        <v>10</v>
      </c>
      <c r="G8" s="73" t="n">
        <v>8</v>
      </c>
      <c r="H8" s="73" t="n">
        <v>5</v>
      </c>
      <c r="I8" s="73" t="n">
        <v>3</v>
      </c>
      <c r="J8" s="73" t="n">
        <v>0</v>
      </c>
      <c r="K8" s="73" t="n">
        <v>0</v>
      </c>
      <c r="L8" s="73" t="n">
        <v>0</v>
      </c>
      <c r="M8" s="73" t="n">
        <v>0</v>
      </c>
      <c r="N8" s="73" t="n">
        <v>0</v>
      </c>
      <c r="R8" t="inlineStr">
        <is>
          <t>Other Income +</t>
        </is>
      </c>
      <c r="S8" s="73" t="n">
        <v>817</v>
      </c>
      <c r="T8" s="73" t="n">
        <v>1464</v>
      </c>
      <c r="U8" s="73" t="n">
        <v>2399</v>
      </c>
      <c r="V8" s="73" t="n">
        <v>2155</v>
      </c>
      <c r="W8" s="73" t="n">
        <v>2664</v>
      </c>
      <c r="X8" s="73" t="n">
        <v>3410</v>
      </c>
      <c r="Y8" s="73" t="n">
        <v>3046</v>
      </c>
      <c r="Z8" s="73" t="n">
        <v>1861</v>
      </c>
      <c r="AA8" s="73" t="n">
        <v>2415</v>
      </c>
      <c r="AB8" s="73" t="n">
        <v>4248</v>
      </c>
      <c r="AC8" s="73" t="n">
        <v>5199</v>
      </c>
      <c r="AD8" s="73" t="n">
        <v>4569</v>
      </c>
      <c r="AE8" s="73" t="n">
        <v>4707</v>
      </c>
    </row>
    <row r="9">
      <c r="B9" t="inlineStr">
        <is>
          <t>Short term Borrowings</t>
        </is>
      </c>
      <c r="C9" t="n">
        <v>52</v>
      </c>
      <c r="D9" t="n">
        <v>77</v>
      </c>
      <c r="E9" t="n">
        <v>484</v>
      </c>
      <c r="F9" t="n">
        <v>111</v>
      </c>
      <c r="G9" t="n">
        <v>150</v>
      </c>
      <c r="H9" t="n">
        <v>106</v>
      </c>
      <c r="I9" t="n">
        <v>489</v>
      </c>
      <c r="J9" t="n">
        <v>382</v>
      </c>
      <c r="K9" t="n">
        <v>1216</v>
      </c>
      <c r="L9" t="n">
        <v>33</v>
      </c>
      <c r="M9" t="n">
        <v>0</v>
      </c>
      <c r="N9" s="73"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73" t="n"/>
      <c r="R10" t="inlineStr">
        <is>
          <t>Depreciation</t>
        </is>
      </c>
      <c r="S10" s="73" t="n">
        <v>2515</v>
      </c>
      <c r="T10" s="73" t="n">
        <v>2822</v>
      </c>
      <c r="U10" s="73" t="n">
        <v>2604</v>
      </c>
      <c r="V10" s="73" t="n">
        <v>2760</v>
      </c>
      <c r="W10" s="73" t="n">
        <v>3021</v>
      </c>
      <c r="X10" s="73" t="n">
        <v>3528</v>
      </c>
      <c r="Y10" s="73" t="n">
        <v>3034</v>
      </c>
      <c r="Z10" s="73" t="n">
        <v>2789</v>
      </c>
      <c r="AA10" s="73" t="n">
        <v>4846</v>
      </c>
      <c r="AB10" s="73" t="n">
        <v>5256</v>
      </c>
      <c r="AC10" s="73" t="n">
        <v>5608</v>
      </c>
      <c r="AD10" s="73" t="n">
        <v>6742</v>
      </c>
      <c r="AE10" s="73" t="n">
        <v>6966</v>
      </c>
    </row>
    <row r="11">
      <c r="B11" s="73" t="inlineStr">
        <is>
          <t>Other Borrowings</t>
        </is>
      </c>
      <c r="C11" s="73" t="n">
        <v>335</v>
      </c>
      <c r="D11" s="73" t="n">
        <v>154</v>
      </c>
      <c r="E11" s="73" t="n">
        <v>0</v>
      </c>
      <c r="F11" s="73" t="n">
        <v>0</v>
      </c>
      <c r="G11" s="73" t="n">
        <v>2</v>
      </c>
      <c r="H11" s="73" t="n">
        <v>2</v>
      </c>
      <c r="I11" s="73" t="n">
        <v>3</v>
      </c>
      <c r="J11" s="73" t="n">
        <v>3</v>
      </c>
      <c r="K11" s="73" t="n">
        <v>0</v>
      </c>
      <c r="L11" s="73" t="n">
        <v>0</v>
      </c>
      <c r="M11" s="73" t="n">
        <v>0</v>
      </c>
      <c r="N11" s="73" t="n">
        <v>0</v>
      </c>
      <c r="O11" s="73" t="n"/>
      <c r="R11" t="inlineStr">
        <is>
          <t>Profit before tax</t>
        </is>
      </c>
      <c r="S11" s="73" t="n">
        <v>4976</v>
      </c>
      <c r="T11" s="73" t="n">
        <v>7585</v>
      </c>
      <c r="U11" s="73" t="n">
        <v>10127</v>
      </c>
      <c r="V11" s="73" t="n">
        <v>11167</v>
      </c>
      <c r="W11" s="73" t="n">
        <v>10624</v>
      </c>
      <c r="X11" s="73" t="n">
        <v>7103</v>
      </c>
      <c r="Y11" s="73" t="n">
        <v>5321</v>
      </c>
      <c r="Z11" s="73" t="n">
        <v>4697</v>
      </c>
      <c r="AA11" s="73" t="n">
        <v>10438</v>
      </c>
      <c r="AB11" s="73" t="n">
        <v>17424</v>
      </c>
      <c r="AC11" s="73" t="n">
        <v>19620</v>
      </c>
      <c r="AD11" s="73" t="n">
        <v>19118</v>
      </c>
      <c r="AE11" s="73" t="n">
        <v>18616</v>
      </c>
    </row>
    <row r="12">
      <c r="B12" s="73" t="inlineStr">
        <is>
          <t>Other Liabilities -</t>
        </is>
      </c>
      <c r="C12" s="73" t="n">
        <v>9492</v>
      </c>
      <c r="D12" s="73" t="n">
        <v>11879</v>
      </c>
      <c r="E12" s="73" t="n">
        <v>14402</v>
      </c>
      <c r="F12" s="73" t="n">
        <v>17568</v>
      </c>
      <c r="G12" s="73" t="n">
        <v>16717</v>
      </c>
      <c r="H12" s="73" t="n">
        <v>14031</v>
      </c>
      <c r="I12" s="73" t="n">
        <v>18335</v>
      </c>
      <c r="J12" s="73" t="n">
        <v>18896</v>
      </c>
      <c r="K12" s="73" t="n">
        <v>24258</v>
      </c>
      <c r="L12" s="73" t="n">
        <v>29550</v>
      </c>
      <c r="M12" s="73" t="n">
        <v>34689</v>
      </c>
      <c r="N12" s="73" t="n">
        <v>41622</v>
      </c>
      <c r="R12" t="inlineStr">
        <is>
          <t>Tax %</t>
        </is>
      </c>
      <c r="S12" s="75" t="n">
        <v>24</v>
      </c>
      <c r="T12" s="75" t="n">
        <v>28</v>
      </c>
      <c r="U12" s="75" t="n">
        <v>26</v>
      </c>
      <c r="V12" s="75" t="n">
        <v>29</v>
      </c>
      <c r="W12" s="75" t="n">
        <v>28</v>
      </c>
      <c r="X12" s="75" t="n">
        <v>20</v>
      </c>
      <c r="Y12" s="75" t="n">
        <v>18</v>
      </c>
      <c r="Z12" s="75" t="n">
        <v>17</v>
      </c>
      <c r="AA12" s="75" t="n">
        <v>21</v>
      </c>
      <c r="AB12" s="75" t="n">
        <v>23</v>
      </c>
      <c r="AC12" s="75" t="n">
        <v>26</v>
      </c>
      <c r="AD12" s="75"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73" t="n"/>
      <c r="R13" t="inlineStr">
        <is>
          <t>Net Profit +</t>
        </is>
      </c>
      <c r="S13" s="73" t="n">
        <v>3809</v>
      </c>
      <c r="T13" s="73" t="n">
        <v>5497</v>
      </c>
      <c r="U13" s="73" t="n">
        <v>7511</v>
      </c>
      <c r="V13" s="73" t="n">
        <v>7881</v>
      </c>
      <c r="W13" s="73" t="n">
        <v>7651</v>
      </c>
      <c r="X13" s="73" t="n">
        <v>5678</v>
      </c>
      <c r="Y13" s="73" t="n">
        <v>4389</v>
      </c>
      <c r="Z13" s="73" t="n">
        <v>3880</v>
      </c>
      <c r="AA13" s="73" t="n">
        <v>8264</v>
      </c>
      <c r="AB13" s="73" t="n">
        <v>13488</v>
      </c>
      <c r="AC13" s="73" t="n">
        <v>14500</v>
      </c>
      <c r="AD13" s="73" t="n">
        <v>14680</v>
      </c>
      <c r="AE13" s="73" t="n">
        <v>14334</v>
      </c>
    </row>
    <row r="14">
      <c r="B14" s="73" t="inlineStr">
        <is>
          <t>Trade Payables</t>
        </is>
      </c>
      <c r="C14" s="73" t="n">
        <v>5514</v>
      </c>
      <c r="D14" s="73" t="n">
        <v>7409</v>
      </c>
      <c r="E14" s="73" t="n">
        <v>8369</v>
      </c>
      <c r="F14" s="73" t="n">
        <v>10499</v>
      </c>
      <c r="G14" s="73" t="n">
        <v>9638</v>
      </c>
      <c r="H14" s="73" t="n">
        <v>7499</v>
      </c>
      <c r="I14" s="73" t="n">
        <v>10168</v>
      </c>
      <c r="J14" s="73" t="n">
        <v>9765</v>
      </c>
      <c r="K14" s="73" t="n">
        <v>13676</v>
      </c>
      <c r="L14" s="73" t="n">
        <v>16988</v>
      </c>
      <c r="M14" s="73" t="n">
        <v>16922</v>
      </c>
      <c r="N14" s="73"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73" t="n">
        <v>1124</v>
      </c>
      <c r="K15" s="73" t="n">
        <v>1463</v>
      </c>
      <c r="L15" t="n">
        <v>1464</v>
      </c>
      <c r="M15" s="73" t="n">
        <v>1136</v>
      </c>
      <c r="N15" s="73" t="n">
        <v>2250</v>
      </c>
      <c r="O15" s="73" t="n"/>
      <c r="S15" t="n">
        <v>20</v>
      </c>
      <c r="T15" t="n">
        <v>19</v>
      </c>
      <c r="U15" t="n">
        <v>30</v>
      </c>
      <c r="V15" t="n">
        <v>31</v>
      </c>
      <c r="W15" t="n">
        <v>32</v>
      </c>
      <c r="X15" t="n">
        <v>32</v>
      </c>
      <c r="Y15" t="n">
        <v>31</v>
      </c>
      <c r="Z15" t="n">
        <v>47</v>
      </c>
      <c r="AA15" t="n">
        <v>34</v>
      </c>
      <c r="AB15" t="n">
        <v>29</v>
      </c>
      <c r="AC15" t="n">
        <v>29</v>
      </c>
      <c r="AD15" t="n">
        <v>30</v>
      </c>
      <c r="AE15" t="n">
        <v>0</v>
      </c>
    </row>
    <row r="16">
      <c r="B16" s="73" t="inlineStr">
        <is>
          <t>Other liability items</t>
        </is>
      </c>
      <c r="C16" s="73" t="n">
        <v>3538</v>
      </c>
      <c r="D16" s="73" t="n">
        <v>3950</v>
      </c>
      <c r="E16" s="73" t="n">
        <v>5076</v>
      </c>
      <c r="F16" s="73" t="n">
        <v>5900</v>
      </c>
      <c r="G16" s="73" t="n">
        <v>6644</v>
      </c>
      <c r="H16" s="73" t="n">
        <v>6045</v>
      </c>
      <c r="I16" s="73" t="n">
        <v>7148</v>
      </c>
      <c r="J16" s="73" t="n">
        <v>8007</v>
      </c>
      <c r="K16" s="73" t="n">
        <v>9120</v>
      </c>
      <c r="L16" s="73" t="n">
        <v>11098</v>
      </c>
      <c r="M16" s="73" t="n">
        <v>16631</v>
      </c>
      <c r="N16" s="73" t="n">
        <v>17238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34477</v>
      </c>
      <c r="D18" s="71" t="n">
        <v>42726</v>
      </c>
      <c r="E18" s="71" t="n">
        <v>51960</v>
      </c>
      <c r="F18" s="71" t="n">
        <v>60248</v>
      </c>
      <c r="G18" s="71" t="n">
        <v>63969</v>
      </c>
      <c r="H18" s="71" t="n">
        <v>63628</v>
      </c>
      <c r="I18" s="71" t="n">
        <v>71376</v>
      </c>
      <c r="J18" s="71" t="n">
        <v>74656</v>
      </c>
      <c r="K18" s="71" t="n">
        <v>100106</v>
      </c>
      <c r="L18" s="71" t="n">
        <v>115304</v>
      </c>
      <c r="M18" s="71" t="n">
        <v>131016</v>
      </c>
      <c r="N18" s="71" t="n">
        <v>148880</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6449</v>
      </c>
      <c r="T19" s="73" t="n">
        <v>8482</v>
      </c>
      <c r="U19" s="73" t="n">
        <v>10282</v>
      </c>
      <c r="V19" s="73" t="n">
        <v>11788</v>
      </c>
      <c r="W19" s="73" t="n">
        <v>6601</v>
      </c>
      <c r="X19" s="73" t="n">
        <v>3496</v>
      </c>
      <c r="Y19" s="73" t="n">
        <v>8856</v>
      </c>
      <c r="Z19" s="73" t="n">
        <v>1840</v>
      </c>
      <c r="AA19" s="73" t="n">
        <v>10815</v>
      </c>
      <c r="AB19" s="73" t="n">
        <v>16801</v>
      </c>
      <c r="AC19" s="73" t="n">
        <v>16180</v>
      </c>
      <c r="AD19" s="73" t="n">
        <v>19100</v>
      </c>
    </row>
    <row r="20">
      <c r="C20" s="73" t="n"/>
      <c r="D20" s="73" t="n"/>
      <c r="E20" s="73" t="n"/>
      <c r="F20" s="73" t="n"/>
      <c r="G20" s="73" t="n"/>
      <c r="H20" s="73" t="n"/>
      <c r="I20" s="73" t="n"/>
      <c r="J20" s="73" t="n"/>
      <c r="K20" s="73" t="n"/>
      <c r="L20" s="73" t="n"/>
      <c r="M20" s="73" t="n"/>
      <c r="N20" s="73" t="n"/>
      <c r="O20" s="73" t="n"/>
      <c r="R20" t="inlineStr">
        <is>
          <t>Profit from operations</t>
        </is>
      </c>
      <c r="S20" s="73" t="n">
        <v>6779</v>
      </c>
      <c r="T20" s="73" t="n">
        <v>8935</v>
      </c>
      <c r="U20" s="73" t="n">
        <v>10413</v>
      </c>
      <c r="V20" s="73" t="n">
        <v>12036</v>
      </c>
      <c r="W20" s="73" t="n">
        <v>11060</v>
      </c>
      <c r="X20" s="73" t="n">
        <v>7503</v>
      </c>
      <c r="Y20" s="73" t="n">
        <v>5531</v>
      </c>
      <c r="Z20" s="73" t="n">
        <v>5832</v>
      </c>
      <c r="AA20" s="73" t="n">
        <v>13176</v>
      </c>
      <c r="AB20" s="73" t="n">
        <v>18676</v>
      </c>
      <c r="AC20" s="73" t="n">
        <v>20322</v>
      </c>
      <c r="AD20" s="73" t="n">
        <v>21802</v>
      </c>
    </row>
    <row r="21">
      <c r="B21" s="73" t="inlineStr">
        <is>
          <t>Fixed Assets -</t>
        </is>
      </c>
      <c r="C21" s="73" t="n">
        <v>12490</v>
      </c>
      <c r="D21" s="73" t="n">
        <v>12530</v>
      </c>
      <c r="E21" s="73" t="n">
        <v>13311</v>
      </c>
      <c r="F21" s="73" t="n">
        <v>13389</v>
      </c>
      <c r="G21" s="73" t="n">
        <v>15437</v>
      </c>
      <c r="H21" s="73" t="n">
        <v>15744</v>
      </c>
      <c r="I21" s="73" t="n">
        <v>14989</v>
      </c>
      <c r="J21" s="73" t="n">
        <v>13747</v>
      </c>
      <c r="K21" s="73" t="n">
        <v>27941</v>
      </c>
      <c r="L21" s="73" t="n">
        <v>27865</v>
      </c>
      <c r="M21" s="73" t="n">
        <v>32983</v>
      </c>
      <c r="N21" s="73" t="n">
        <v>34523</v>
      </c>
      <c r="R21" t="inlineStr">
        <is>
          <t>Receivables</t>
        </is>
      </c>
      <c r="S21" t="n">
        <v>345</v>
      </c>
      <c r="T21" t="n">
        <v>-204</v>
      </c>
      <c r="U21" t="n">
        <v>122</v>
      </c>
      <c r="V21" t="n">
        <v>-262</v>
      </c>
      <c r="W21" t="n">
        <v>-851</v>
      </c>
      <c r="X21" s="73" t="n">
        <v>340</v>
      </c>
      <c r="Y21" t="n">
        <v>696</v>
      </c>
      <c r="Z21" t="n">
        <v>-764</v>
      </c>
      <c r="AA21" t="n">
        <v>-1270</v>
      </c>
      <c r="AB21" t="n">
        <v>-1316</v>
      </c>
      <c r="AC21" s="73" t="n">
        <v>-1969</v>
      </c>
      <c r="AD21" t="n">
        <v>1236</v>
      </c>
    </row>
    <row r="22">
      <c r="B22" s="73" t="inlineStr">
        <is>
          <t>Land</t>
        </is>
      </c>
      <c r="C22" s="73" t="n">
        <v>2100</v>
      </c>
      <c r="D22" s="73" t="n">
        <v>1902</v>
      </c>
      <c r="E22" s="73" t="n">
        <v>1963</v>
      </c>
      <c r="F22" s="73" t="n">
        <v>3212</v>
      </c>
      <c r="G22" s="73" t="n">
        <v>3914</v>
      </c>
      <c r="H22" s="73" t="n">
        <v>4569</v>
      </c>
      <c r="I22" s="73" t="n">
        <v>4566</v>
      </c>
      <c r="J22" s="73" t="n">
        <v>4592</v>
      </c>
      <c r="K22" s="73" t="n">
        <v>6830</v>
      </c>
      <c r="L22" s="73" t="n">
        <v>6896</v>
      </c>
      <c r="M22" s="73" t="n">
        <v>6921</v>
      </c>
      <c r="N22" s="73" t="n">
        <v>6968</v>
      </c>
      <c r="O22" s="73" t="n"/>
      <c r="R22" t="inlineStr">
        <is>
          <t>Inventory</t>
        </is>
      </c>
      <c r="S22" t="n">
        <v>-982</v>
      </c>
      <c r="T22" t="n">
        <v>-450</v>
      </c>
      <c r="U22" t="n">
        <v>-131</v>
      </c>
      <c r="V22" t="n">
        <v>104</v>
      </c>
      <c r="W22" t="n">
        <v>-162</v>
      </c>
      <c r="X22" t="n">
        <v>109</v>
      </c>
      <c r="Y22" s="73" t="n">
        <v>165</v>
      </c>
      <c r="Z22" t="n">
        <v>-483</v>
      </c>
      <c r="AA22" s="73" t="n">
        <v>-1050</v>
      </c>
      <c r="AB22" s="73" t="n">
        <v>125</v>
      </c>
      <c r="AC22" s="73" t="n">
        <v>-1595</v>
      </c>
      <c r="AD22" s="73" t="n">
        <v>-4407</v>
      </c>
    </row>
    <row r="23">
      <c r="B23" s="73" t="inlineStr">
        <is>
          <t>Building</t>
        </is>
      </c>
      <c r="C23" s="73" t="n">
        <v>1882</v>
      </c>
      <c r="D23" s="73" t="n">
        <v>1513</v>
      </c>
      <c r="E23" s="73" t="n">
        <v>1835</v>
      </c>
      <c r="F23" s="73" t="n">
        <v>1983</v>
      </c>
      <c r="G23" s="73" t="n">
        <v>2333</v>
      </c>
      <c r="H23" s="73" t="n">
        <v>2697</v>
      </c>
      <c r="I23" s="73" t="n">
        <v>2831</v>
      </c>
      <c r="J23" s="73" t="n">
        <v>2955</v>
      </c>
      <c r="K23" s="73" t="n">
        <v>5218</v>
      </c>
      <c r="L23" s="73" t="n">
        <v>5604</v>
      </c>
      <c r="M23" s="73" t="n">
        <v>8158</v>
      </c>
      <c r="N23" s="73" t="n">
        <v>9192</v>
      </c>
      <c r="O23" s="73" t="n"/>
      <c r="R23" t="inlineStr">
        <is>
          <t>Payables</t>
        </is>
      </c>
      <c r="S23" t="n">
        <v>712</v>
      </c>
      <c r="T23" t="n">
        <v>1789</v>
      </c>
      <c r="U23" t="n">
        <v>979</v>
      </c>
      <c r="V23" s="73" t="n">
        <v>2128</v>
      </c>
      <c r="W23" t="n">
        <v>-858</v>
      </c>
      <c r="X23" t="n">
        <v>-2155</v>
      </c>
      <c r="Y23" s="73" t="n">
        <v>2680</v>
      </c>
      <c r="Z23" s="73" t="n">
        <v>-396</v>
      </c>
      <c r="AA23" s="73" t="n">
        <v>2491</v>
      </c>
      <c r="AB23" t="n">
        <v>3321</v>
      </c>
      <c r="AC23" s="73" t="n">
        <v>2606</v>
      </c>
      <c r="AD23" t="n">
        <v>5194</v>
      </c>
    </row>
    <row r="24">
      <c r="B24" s="73" t="inlineStr">
        <is>
          <t>Plant Machinery</t>
        </is>
      </c>
      <c r="C24" s="73" t="n">
        <v>21802</v>
      </c>
      <c r="D24" s="73" t="n">
        <v>11163</v>
      </c>
      <c r="E24" s="73" t="n">
        <v>13888</v>
      </c>
      <c r="F24" s="73" t="n">
        <v>15082</v>
      </c>
      <c r="G24" s="73" t="n">
        <v>18550</v>
      </c>
      <c r="H24" s="73" t="n">
        <v>20775</v>
      </c>
      <c r="I24" s="73" t="n">
        <v>22262</v>
      </c>
      <c r="J24" s="73" t="n">
        <v>22712</v>
      </c>
      <c r="K24" s="73" t="n">
        <v>40872</v>
      </c>
      <c r="L24" s="73" t="n">
        <v>44745</v>
      </c>
      <c r="M24" s="73" t="n">
        <v>51915</v>
      </c>
      <c r="N24" s="73" t="n">
        <v>57284</v>
      </c>
      <c r="R24" t="inlineStr">
        <is>
          <t>Working capital changes</t>
        </is>
      </c>
      <c r="S24" t="n">
        <v>745</v>
      </c>
      <c r="T24" t="n">
        <v>1460</v>
      </c>
      <c r="U24" t="n">
        <v>2192</v>
      </c>
      <c r="V24" s="73" t="n">
        <v>2808</v>
      </c>
      <c r="W24" t="n">
        <v>-1315</v>
      </c>
      <c r="X24" t="n">
        <v>-2570</v>
      </c>
      <c r="Y24" t="n">
        <v>4336</v>
      </c>
      <c r="Z24" t="n">
        <v>-2813</v>
      </c>
      <c r="AA24" t="n">
        <v>-97</v>
      </c>
      <c r="AB24" s="73" t="n">
        <v>1722</v>
      </c>
      <c r="AC24" s="73" t="n">
        <v>-335</v>
      </c>
      <c r="AD24" s="73"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-1075</v>
      </c>
      <c r="T25" s="73" t="n">
        <v>-1912</v>
      </c>
      <c r="U25" s="73" t="n">
        <v>-2323</v>
      </c>
      <c r="V25" s="73" t="n">
        <v>-3056</v>
      </c>
      <c r="W25" s="73" t="n">
        <v>-3144</v>
      </c>
      <c r="X25" s="73" t="n">
        <v>-1438</v>
      </c>
      <c r="Y25" s="73" t="n">
        <v>-1011</v>
      </c>
      <c r="Z25" s="73" t="n">
        <v>-1178</v>
      </c>
      <c r="AA25" s="73" t="n">
        <v>-2265</v>
      </c>
      <c r="AB25" s="73" t="n">
        <v>-3597</v>
      </c>
      <c r="AC25" s="73" t="n">
        <v>-3807</v>
      </c>
      <c r="AD25" s="73" t="n">
        <v>-4337</v>
      </c>
    </row>
    <row r="26">
      <c r="B26" s="73" t="inlineStr">
        <is>
          <t>Furniture n fittings</t>
        </is>
      </c>
      <c r="C26" s="73" t="n">
        <v>144</v>
      </c>
      <c r="D26" s="73" t="n">
        <v>109</v>
      </c>
      <c r="E26" s="73" t="n">
        <v>140</v>
      </c>
      <c r="F26" s="73" t="n">
        <v>206</v>
      </c>
      <c r="G26" s="73" t="n">
        <v>270</v>
      </c>
      <c r="H26" s="73" t="n">
        <v>347</v>
      </c>
      <c r="I26" s="73" t="n">
        <v>403</v>
      </c>
      <c r="J26" s="73" t="n">
        <v>445</v>
      </c>
      <c r="K26" s="73" t="n">
        <v>569</v>
      </c>
      <c r="L26" s="73" t="n">
        <v>636</v>
      </c>
      <c r="M26" s="73" t="n">
        <v>698</v>
      </c>
      <c r="N26" s="73" t="n">
        <v>751</v>
      </c>
      <c r="R26" t="inlineStr">
        <is>
          <t>Cash from Investing Activity -</t>
        </is>
      </c>
      <c r="S26" s="73" t="n">
        <v>-4491</v>
      </c>
      <c r="T26" s="73" t="n">
        <v>-7230</v>
      </c>
      <c r="U26" s="73" t="n">
        <v>-9173</v>
      </c>
      <c r="V26" s="73" t="n">
        <v>-8302</v>
      </c>
      <c r="W26" s="73" t="n">
        <v>-3540</v>
      </c>
      <c r="X26" s="73" t="n">
        <v>-557</v>
      </c>
      <c r="Y26" s="73" t="n">
        <v>-7291</v>
      </c>
      <c r="Z26" s="73" t="n">
        <v>-239</v>
      </c>
      <c r="AA26" s="73" t="n">
        <v>-8820</v>
      </c>
      <c r="AB26" s="73" t="n">
        <v>-11865</v>
      </c>
      <c r="AC26" t="n">
        <v>-14500</v>
      </c>
      <c r="AD26" s="73" t="n">
        <v>-14734</v>
      </c>
    </row>
    <row r="27">
      <c r="B27" s="73" t="inlineStr">
        <is>
          <t>Railway sidings</t>
        </is>
      </c>
      <c r="C27" s="73" t="n">
        <v>0</v>
      </c>
      <c r="D27" s="73" t="n">
        <v>0</v>
      </c>
      <c r="E27" s="73" t="n">
        <v>0</v>
      </c>
      <c r="F27" s="73" t="n">
        <v>0</v>
      </c>
      <c r="G27" s="73" t="n">
        <v>0</v>
      </c>
      <c r="H27" s="73" t="n">
        <v>0</v>
      </c>
      <c r="I27" s="73" t="n">
        <v>0</v>
      </c>
      <c r="J27" s="73" t="n">
        <v>0</v>
      </c>
      <c r="K27" s="73" t="n">
        <v>73</v>
      </c>
      <c r="L27" s="73" t="n">
        <v>74</v>
      </c>
      <c r="M27" s="73" t="n">
        <v>94</v>
      </c>
      <c r="N27" s="73" t="n">
        <v>230</v>
      </c>
      <c r="R27" t="inlineStr">
        <is>
          <t>Fixed assets purchased</t>
        </is>
      </c>
      <c r="S27" s="73" t="n">
        <v>-3058</v>
      </c>
      <c r="T27" s="73" t="n">
        <v>-2469</v>
      </c>
      <c r="U27" s="73" t="n">
        <v>-3391</v>
      </c>
      <c r="V27" s="73" t="n">
        <v>-3912</v>
      </c>
      <c r="W27" s="73" t="n">
        <v>-4872</v>
      </c>
      <c r="X27" s="73" t="n">
        <v>-3437</v>
      </c>
      <c r="Y27" s="73" t="n">
        <v>-2370</v>
      </c>
      <c r="Z27" s="73" t="n">
        <v>-3459</v>
      </c>
      <c r="AA27" s="73" t="n">
        <v>-8065</v>
      </c>
      <c r="AB27" s="73" t="n">
        <v>-9200</v>
      </c>
      <c r="AC27" s="73" t="n">
        <v>-10621</v>
      </c>
      <c r="AD27" s="73"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73" t="n"/>
      <c r="R28" t="inlineStr">
        <is>
          <t>Fixed assets sold</t>
        </is>
      </c>
      <c r="S28" s="73" t="n">
        <v>16</v>
      </c>
      <c r="T28" s="73" t="n">
        <v>12</v>
      </c>
      <c r="U28" s="73" t="n">
        <v>16</v>
      </c>
      <c r="V28" s="73" t="n">
        <v>26</v>
      </c>
      <c r="W28" s="73" t="n">
        <v>170</v>
      </c>
      <c r="X28" s="73" t="n">
        <v>37</v>
      </c>
      <c r="Y28" s="73" t="n">
        <v>42</v>
      </c>
      <c r="Z28" s="73" t="n">
        <v>136</v>
      </c>
      <c r="AA28" s="73" t="n">
        <v>109</v>
      </c>
      <c r="AB28" t="n">
        <v>45</v>
      </c>
      <c r="AC28" s="73" t="n">
        <v>42</v>
      </c>
      <c r="AD28" s="73" t="n">
        <v>52</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-17354</v>
      </c>
      <c r="T29" s="73" t="n">
        <v>-12044</v>
      </c>
      <c r="U29" s="73" t="n">
        <v>-17716</v>
      </c>
      <c r="V29" s="73" t="n">
        <v>-47069</v>
      </c>
      <c r="W29" s="73" t="n">
        <v>-52957</v>
      </c>
      <c r="X29" s="73" t="n">
        <v>-44205</v>
      </c>
      <c r="Y29" s="73" t="n">
        <v>-44869</v>
      </c>
      <c r="Z29" s="73" t="n">
        <v>-60525</v>
      </c>
      <c r="AA29" s="73" t="n">
        <v>-66597</v>
      </c>
      <c r="AB29" s="73" t="n">
        <v>-65736</v>
      </c>
      <c r="AC29" s="73" t="n">
        <v>-73882</v>
      </c>
      <c r="AD29" s="73"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73" t="n">
        <v>2246</v>
      </c>
      <c r="O30" s="73" t="n"/>
      <c r="R30" t="inlineStr">
        <is>
          <t>Investments sold</t>
        </is>
      </c>
      <c r="S30" s="73" t="n">
        <v>15270</v>
      </c>
      <c r="T30" s="73" t="n">
        <v>7378</v>
      </c>
      <c r="U30" s="73" t="n">
        <v>11839</v>
      </c>
      <c r="V30" s="73" t="n">
        <v>42564</v>
      </c>
      <c r="W30" s="73" t="n">
        <v>53986</v>
      </c>
      <c r="X30" s="73" t="n">
        <v>46969</v>
      </c>
      <c r="Y30" s="73" t="n">
        <v>42920</v>
      </c>
      <c r="Z30" s="73" t="n">
        <v>63579</v>
      </c>
      <c r="AA30" s="73" t="n">
        <v>61605</v>
      </c>
      <c r="AB30" s="73" t="n">
        <v>61933</v>
      </c>
      <c r="AC30" s="73" t="n">
        <v>69795</v>
      </c>
      <c r="AD30" s="73" t="n">
        <v>101969</v>
      </c>
    </row>
    <row r="31">
      <c r="B31" t="inlineStr">
        <is>
          <t>Gross Block</t>
        </is>
      </c>
      <c r="C31" s="73" t="n">
        <v>26902</v>
      </c>
      <c r="D31" s="73" t="n">
        <v>15343</v>
      </c>
      <c r="E31" s="73" t="n">
        <v>18680</v>
      </c>
      <c r="F31" s="73" t="n">
        <v>21458</v>
      </c>
      <c r="G31" s="73" t="n">
        <v>26365</v>
      </c>
      <c r="H31" s="73" t="n">
        <v>29768</v>
      </c>
      <c r="I31" s="73" t="n">
        <v>31496</v>
      </c>
      <c r="J31" s="73" t="n">
        <v>32530</v>
      </c>
      <c r="K31" s="73" t="n">
        <v>56083</v>
      </c>
      <c r="L31" s="73" t="n">
        <v>60787</v>
      </c>
      <c r="M31" s="73" t="n">
        <v>71052</v>
      </c>
      <c r="N31" s="73" t="n">
        <v>78202</v>
      </c>
      <c r="O31" s="73" t="n"/>
      <c r="R31" t="inlineStr">
        <is>
          <t>Interest received</t>
        </is>
      </c>
      <c r="S31" t="n">
        <v>152</v>
      </c>
      <c r="T31" t="n">
        <v>67</v>
      </c>
      <c r="U31" s="73" t="n">
        <v>36</v>
      </c>
      <c r="V31" s="73" t="n">
        <v>68</v>
      </c>
      <c r="W31" s="73" t="n">
        <v>124</v>
      </c>
      <c r="X31" s="73" t="n">
        <v>96</v>
      </c>
      <c r="Y31" s="73" t="n">
        <v>67</v>
      </c>
      <c r="Z31" s="73" t="n">
        <v>174</v>
      </c>
      <c r="AA31" s="73" t="n">
        <v>313</v>
      </c>
      <c r="AB31" s="73" t="n">
        <v>372</v>
      </c>
      <c r="AC31" s="73" t="n">
        <v>444</v>
      </c>
      <c r="AD31" s="73" t="n">
        <v>354</v>
      </c>
    </row>
    <row r="32">
      <c r="B32" s="73" t="inlineStr">
        <is>
          <t>Accumulated Depreciation</t>
        </is>
      </c>
      <c r="C32" s="73" t="n">
        <v>14412</v>
      </c>
      <c r="D32" s="73" t="n">
        <v>2813</v>
      </c>
      <c r="E32" s="73" t="n">
        <v>5370</v>
      </c>
      <c r="F32" s="73" t="n">
        <v>8069</v>
      </c>
      <c r="G32" s="73" t="n">
        <v>10928</v>
      </c>
      <c r="H32" s="73" t="n">
        <v>14024</v>
      </c>
      <c r="I32" s="73" t="n">
        <v>16508</v>
      </c>
      <c r="J32" s="73" t="n">
        <v>18783</v>
      </c>
      <c r="K32" s="73" t="n">
        <v>28141</v>
      </c>
      <c r="L32" s="73" t="n">
        <v>32922</v>
      </c>
      <c r="M32" s="73" t="n">
        <v>38070</v>
      </c>
      <c r="N32" s="73" t="n">
        <v>43679</v>
      </c>
      <c r="O32" s="73" t="n"/>
      <c r="R32" t="inlineStr">
        <is>
          <t>Dividends received</t>
        </is>
      </c>
      <c r="S32" t="n">
        <v>54</v>
      </c>
      <c r="T32" t="n">
        <v>11</v>
      </c>
      <c r="U32" s="73" t="n">
        <v>13</v>
      </c>
      <c r="V32" t="n">
        <v>20</v>
      </c>
      <c r="W32" t="n">
        <v>9</v>
      </c>
      <c r="X32" t="n">
        <v>4</v>
      </c>
      <c r="Y32" s="73" t="n">
        <v>3</v>
      </c>
      <c r="Z32" s="73" t="n">
        <v>3</v>
      </c>
      <c r="AA32" s="73" t="n">
        <v>6</v>
      </c>
      <c r="AB32" s="73" t="n">
        <v>6</v>
      </c>
      <c r="AC32" s="73" t="n">
        <v>9</v>
      </c>
      <c r="AD32" s="73" t="n">
        <v>11</v>
      </c>
    </row>
    <row r="33">
      <c r="B33" t="inlineStr">
        <is>
          <t>Net Block</t>
        </is>
      </c>
      <c r="C33" s="73" t="n">
        <v>12490</v>
      </c>
      <c r="D33" s="73" t="n">
        <v>12530</v>
      </c>
      <c r="E33" s="73" t="n">
        <v>13311</v>
      </c>
      <c r="F33" s="73" t="n">
        <v>13389</v>
      </c>
      <c r="G33" s="73" t="n">
        <v>15437</v>
      </c>
      <c r="H33" s="73" t="n">
        <v>15744</v>
      </c>
      <c r="I33" s="73" t="n">
        <v>14989</v>
      </c>
      <c r="J33" s="73" t="n">
        <v>13747</v>
      </c>
      <c r="K33" s="73" t="n">
        <v>27941</v>
      </c>
      <c r="L33" s="73" t="n">
        <v>27865</v>
      </c>
      <c r="M33" s="73" t="n">
        <v>32983</v>
      </c>
      <c r="N33" s="73" t="n">
        <v>34523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428</v>
      </c>
      <c r="T34" s="73" t="n">
        <v>-186</v>
      </c>
      <c r="U34" s="73" t="n">
        <v>7</v>
      </c>
      <c r="V34" s="73" t="n">
        <v>0</v>
      </c>
      <c r="W34" s="73" t="n">
        <v>0</v>
      </c>
      <c r="X34" s="73" t="n">
        <v>-5</v>
      </c>
      <c r="Y34" s="73" t="n">
        <v>-3019</v>
      </c>
      <c r="Z34" s="73" t="n">
        <v>-1</v>
      </c>
      <c r="AA34" s="73" t="n">
        <v>3808</v>
      </c>
      <c r="AB34" s="73" t="n">
        <v>795</v>
      </c>
      <c r="AC34" s="73" t="n">
        <v>-269</v>
      </c>
      <c r="AD34" s="73" t="n">
        <v>1311</v>
      </c>
    </row>
    <row r="35">
      <c r="B35" t="inlineStr">
        <is>
          <t>CWIP</t>
        </is>
      </c>
      <c r="C35" s="73" t="n">
        <v>1890</v>
      </c>
      <c r="D35" s="73" t="n">
        <v>1007</v>
      </c>
      <c r="E35" s="73" t="n">
        <v>1252</v>
      </c>
      <c r="F35" s="73" t="n">
        <v>2132</v>
      </c>
      <c r="G35" s="73" t="n">
        <v>1607</v>
      </c>
      <c r="H35" s="73" t="n">
        <v>1415</v>
      </c>
      <c r="I35" s="73" t="n">
        <v>1497</v>
      </c>
      <c r="J35" s="73" t="n">
        <v>2936</v>
      </c>
      <c r="K35" s="73" t="n">
        <v>4143</v>
      </c>
      <c r="L35" s="73" t="n">
        <v>7735</v>
      </c>
      <c r="M35" s="73" t="n">
        <v>7929</v>
      </c>
      <c r="N35" s="73" t="n">
        <v>9838</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13298</v>
      </c>
      <c r="D36" s="73" t="n">
        <v>20676</v>
      </c>
      <c r="E36" s="73" t="n">
        <v>29151</v>
      </c>
      <c r="F36" s="73" t="n">
        <v>36123</v>
      </c>
      <c r="G36" s="73" t="n">
        <v>37504</v>
      </c>
      <c r="H36" s="73" t="n">
        <v>37488</v>
      </c>
      <c r="I36" s="73" t="n">
        <v>42945</v>
      </c>
      <c r="J36" s="73" t="n">
        <v>42035</v>
      </c>
      <c r="K36" s="73" t="n">
        <v>49184</v>
      </c>
      <c r="L36" s="73" t="n">
        <v>57296</v>
      </c>
      <c r="M36" s="73" t="n">
        <v>66265</v>
      </c>
      <c r="N36" s="73" t="n">
        <v>76838</v>
      </c>
      <c r="O36" s="73" t="n"/>
      <c r="R36" t="inlineStr">
        <is>
          <t>Other investing items</t>
        </is>
      </c>
      <c r="S36" s="73" t="n">
        <v>-2004</v>
      </c>
      <c r="T36" s="73" t="n">
        <v>-1237</v>
      </c>
      <c r="U36" s="73" t="n">
        <v>-1129</v>
      </c>
      <c r="V36" s="73" t="n">
        <v>-3436</v>
      </c>
      <c r="W36" s="73" t="n">
        <v>-2948</v>
      </c>
      <c r="X36" s="73" t="n">
        <v>-3104</v>
      </c>
      <c r="Y36" s="73" t="n">
        <v>-1545</v>
      </c>
      <c r="Z36" s="73" t="n">
        <v>-1607</v>
      </c>
      <c r="AA36" t="n">
        <v>-1214</v>
      </c>
      <c r="AB36" s="73" t="n">
        <v>-4062</v>
      </c>
      <c r="AC36" t="n">
        <v>-4155</v>
      </c>
      <c r="AD36" s="73" t="n">
        <v>-4484</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6800</v>
      </c>
      <c r="D38" s="73" t="n">
        <v>8513</v>
      </c>
      <c r="E38" s="73" t="n">
        <v>8247</v>
      </c>
      <c r="F38" s="73" t="n">
        <v>8604</v>
      </c>
      <c r="G38" s="73" t="n">
        <v>9421</v>
      </c>
      <c r="H38" s="73" t="n">
        <v>8980</v>
      </c>
      <c r="I38" s="73" t="n">
        <v>11946</v>
      </c>
      <c r="J38" s="73" t="n">
        <v>15937</v>
      </c>
      <c r="K38" s="73" t="n">
        <v>18837</v>
      </c>
      <c r="L38" s="73" t="n">
        <v>22408</v>
      </c>
      <c r="M38" s="73" t="n">
        <v>23839</v>
      </c>
      <c r="N38" s="73" t="n">
        <v>27680</v>
      </c>
      <c r="O38" s="73" t="n"/>
      <c r="R38" t="inlineStr">
        <is>
          <t>Proceeds from shares</t>
        </is>
      </c>
      <c r="S38" t="n">
        <v>92</v>
      </c>
      <c r="T38" t="n">
        <v>77</v>
      </c>
      <c r="U38" s="73" t="n">
        <v>484</v>
      </c>
      <c r="V38" t="n">
        <v>10</v>
      </c>
      <c r="W38" t="n">
        <v>39</v>
      </c>
      <c r="X38" t="n">
        <v>0</v>
      </c>
      <c r="Y38" t="n">
        <v>380</v>
      </c>
      <c r="Z38" t="n">
        <v>0</v>
      </c>
      <c r="AA38" s="73" t="n">
        <v>831</v>
      </c>
      <c r="AB38" s="73" t="n">
        <v>0</v>
      </c>
      <c r="AC38" t="n">
        <v>0</v>
      </c>
      <c r="AD38" t="n">
        <v>0</v>
      </c>
    </row>
    <row r="39">
      <c r="B39" t="inlineStr">
        <is>
          <t>Inventories</t>
        </is>
      </c>
      <c r="C39" s="73" t="n">
        <v>2745</v>
      </c>
      <c r="D39" s="73" t="n">
        <v>3133</v>
      </c>
      <c r="E39" s="73" t="n">
        <v>3264</v>
      </c>
      <c r="F39" s="73" t="n">
        <v>3160</v>
      </c>
      <c r="G39" s="73" t="n">
        <v>3323</v>
      </c>
      <c r="H39" s="73" t="n">
        <v>3214</v>
      </c>
      <c r="I39" s="73" t="n">
        <v>3049</v>
      </c>
      <c r="J39" s="73" t="n">
        <v>3532</v>
      </c>
      <c r="K39" s="73" t="n">
        <v>5444</v>
      </c>
      <c r="L39" s="73" t="n">
        <v>5318</v>
      </c>
      <c r="M39" s="73" t="n">
        <v>6913</v>
      </c>
      <c r="N39" s="73" t="n">
        <v>11321</v>
      </c>
      <c r="O39" s="73" t="n"/>
      <c r="R39" t="inlineStr">
        <is>
          <t>Proceeds from borrowings</t>
        </is>
      </c>
      <c r="S39" t="n">
        <v>-1449</v>
      </c>
      <c r="T39" t="n">
        <v>-313</v>
      </c>
      <c r="U39" t="n">
        <v>-231</v>
      </c>
      <c r="V39" t="n">
        <v>-373</v>
      </c>
      <c r="W39" t="n">
        <v>0</v>
      </c>
      <c r="X39" t="n">
        <v>-46</v>
      </c>
      <c r="Y39" t="n">
        <v>0</v>
      </c>
      <c r="Z39" t="n">
        <v>-110</v>
      </c>
      <c r="AA39" t="n">
        <v>0</v>
      </c>
      <c r="AB39" t="n">
        <v>-1183</v>
      </c>
      <c r="AC39" t="n">
        <v>-33</v>
      </c>
      <c r="AD39" s="73" t="n">
        <v>0</v>
      </c>
    </row>
    <row r="40">
      <c r="B40" t="inlineStr">
        <is>
          <t>Trade receivables +</t>
        </is>
      </c>
      <c r="C40" s="73" t="n">
        <v>1144</v>
      </c>
      <c r="D40" s="73" t="n">
        <v>1323</v>
      </c>
      <c r="E40" s="73" t="n">
        <v>1203</v>
      </c>
      <c r="F40" s="73" t="n">
        <v>1465</v>
      </c>
      <c r="G40" s="73" t="n">
        <v>2313</v>
      </c>
      <c r="H40" s="73" t="n">
        <v>1978</v>
      </c>
      <c r="I40" s="73" t="n">
        <v>1280</v>
      </c>
      <c r="J40" s="73" t="n">
        <v>2034</v>
      </c>
      <c r="K40" s="73" t="n">
        <v>3285</v>
      </c>
      <c r="L40" s="73" t="n">
        <v>4597</v>
      </c>
      <c r="M40" s="73" t="n">
        <v>6540</v>
      </c>
      <c r="N40" s="73" t="n">
        <v>5342</v>
      </c>
      <c r="O40" s="73" t="n"/>
      <c r="R40" t="inlineStr">
        <is>
          <t>Repayment of borrowings</t>
        </is>
      </c>
      <c r="S40" t="n">
        <v>-222</v>
      </c>
      <c r="T40" t="n">
        <v>-92</v>
      </c>
      <c r="U40" t="n">
        <v>-110</v>
      </c>
      <c r="V40" s="73" t="n">
        <v>-346</v>
      </c>
      <c r="W40" t="n">
        <v>-73</v>
      </c>
      <c r="X40" t="n">
        <v>-136</v>
      </c>
      <c r="Y40" s="73" t="n">
        <v>-102</v>
      </c>
      <c r="Z40" t="n">
        <v>-130</v>
      </c>
      <c r="AA40" s="73" t="n">
        <v>-186</v>
      </c>
      <c r="AB40" s="73" t="n">
        <v>-147</v>
      </c>
      <c r="AC40" s="73" t="n">
        <v>-167</v>
      </c>
      <c r="AD40" s="73" t="n">
        <v>-204</v>
      </c>
    </row>
    <row r="41">
      <c r="B41" t="inlineStr">
        <is>
          <t>Cash Equivalents</t>
        </is>
      </c>
      <c r="C41" s="73" t="n">
        <v>43</v>
      </c>
      <c r="D41" s="73" t="n">
        <v>51</v>
      </c>
      <c r="E41" s="73" t="n">
        <v>24</v>
      </c>
      <c r="F41" s="73" t="n">
        <v>74</v>
      </c>
      <c r="G41" s="73" t="n">
        <v>188</v>
      </c>
      <c r="H41" s="73" t="n">
        <v>29</v>
      </c>
      <c r="I41" s="73" t="n">
        <v>3047</v>
      </c>
      <c r="J41" s="73" t="n">
        <v>3042</v>
      </c>
      <c r="K41" s="73" t="n">
        <v>2748</v>
      </c>
      <c r="L41" s="73" t="n">
        <v>2827</v>
      </c>
      <c r="M41" s="73" t="n">
        <v>553</v>
      </c>
      <c r="N41" s="73" t="n">
        <v>1580</v>
      </c>
      <c r="O41" s="73" t="n"/>
      <c r="R41" t="inlineStr">
        <is>
          <t>Interest paid fin</t>
        </is>
      </c>
      <c r="S41" s="73" t="n">
        <v>-362</v>
      </c>
      <c r="T41" s="73" t="n">
        <v>-755</v>
      </c>
      <c r="U41" s="73" t="n">
        <v>-1057</v>
      </c>
      <c r="V41" s="73" t="n">
        <v>-2266</v>
      </c>
      <c r="W41" s="73" t="n">
        <v>-2417</v>
      </c>
      <c r="X41" s="73" t="n">
        <v>-2417</v>
      </c>
      <c r="Y41" s="73" t="n">
        <v>-1812</v>
      </c>
      <c r="Z41" s="73" t="n">
        <v>-1359</v>
      </c>
      <c r="AA41" s="73" t="n">
        <v>-1812</v>
      </c>
      <c r="AB41" s="73" t="n">
        <v>-2719</v>
      </c>
      <c r="AC41" s="73" t="n">
        <v>-3930</v>
      </c>
      <c r="AD41" s="73" t="n">
        <v>-4244</v>
      </c>
    </row>
    <row r="42">
      <c r="B42" t="inlineStr">
        <is>
          <t>Loans n Advances</t>
        </is>
      </c>
      <c r="C42" s="73" t="n">
        <v>126</v>
      </c>
      <c r="D42" s="73" t="n">
        <v>623</v>
      </c>
      <c r="E42" s="73" t="n">
        <v>688</v>
      </c>
      <c r="F42" s="73" t="n">
        <v>1290</v>
      </c>
      <c r="G42" s="73" t="n">
        <v>1160</v>
      </c>
      <c r="H42" s="73" t="n">
        <v>1362</v>
      </c>
      <c r="I42" s="73" t="n">
        <v>1412</v>
      </c>
      <c r="J42" s="73" t="n">
        <v>2880</v>
      </c>
      <c r="K42" s="73" t="n">
        <v>349</v>
      </c>
      <c r="L42" s="73" t="n">
        <v>825</v>
      </c>
      <c r="M42" s="73" t="n">
        <v>339</v>
      </c>
      <c r="N42" s="73" t="n">
        <v>339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2741</v>
      </c>
      <c r="D43" s="73" t="n">
        <v>3384</v>
      </c>
      <c r="E43" s="73" t="n">
        <v>3069</v>
      </c>
      <c r="F43" s="73" t="n">
        <v>2615</v>
      </c>
      <c r="G43" s="73" t="n">
        <v>2438</v>
      </c>
      <c r="H43" s="73" t="n">
        <v>2398</v>
      </c>
      <c r="I43" s="73" t="n">
        <v>3158</v>
      </c>
      <c r="J43" s="73" t="n">
        <v>4448</v>
      </c>
      <c r="K43" s="73" t="n">
        <v>7012</v>
      </c>
      <c r="L43" s="73" t="n">
        <v>8841</v>
      </c>
      <c r="M43" s="73" t="n">
        <v>9494</v>
      </c>
      <c r="N43" s="73" t="n">
        <v>9098</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34477</v>
      </c>
      <c r="D44" s="73" t="n">
        <v>42726</v>
      </c>
      <c r="E44" s="73" t="n">
        <v>51960</v>
      </c>
      <c r="F44" s="73" t="n">
        <v>60248</v>
      </c>
      <c r="G44" s="73" t="n">
        <v>63969</v>
      </c>
      <c r="H44" s="73" t="n">
        <v>63628</v>
      </c>
      <c r="I44" s="73" t="n">
        <v>71376</v>
      </c>
      <c r="J44" s="73" t="n">
        <v>74656</v>
      </c>
      <c r="K44" s="73" t="n">
        <v>100106</v>
      </c>
      <c r="L44" s="73" t="n">
        <v>115304</v>
      </c>
      <c r="M44" s="73" t="n">
        <v>131016</v>
      </c>
      <c r="N44" s="73" t="n">
        <v>148880</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2026-09-25T21:26:39Z</dcterms:modified>
  <cp:lastModifiedBy>Loveish</cp:lastModifiedBy>
  <cp:lastPrinted>2012-12-06T18:14:13Z</cp:lastPrinted>
</cp:coreProperties>
</file>