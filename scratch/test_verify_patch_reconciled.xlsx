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272" yWindow="6180" windowWidth="3768" windowHeight="6060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9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center"/>
    </xf>
    <xf numFmtId="0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2463.98</v>
                </pt>
                <pt idx="1">
                  <v>3239.55</v>
                </pt>
                <pt idx="2">
                  <v>7111.96</v>
                </pt>
                <pt idx="3">
                  <v>9339.469999999999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121432.42</v>
                </pt>
                <pt idx="1">
                  <v>150932.36</v>
                </pt>
                <pt idx="2">
                  <v>179214.56</v>
                </pt>
                <pt idx="3">
                  <v>229355.63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0.08910108426485221</v>
                </pt>
                <pt idx="1">
                  <v>0.08982892699138048</v>
                </pt>
                <pt idx="2">
                  <v>0.1591219426410498</v>
                </pt>
                <pt idx="3">
                  <v>0.1423266640211301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0.02029095689602496</v>
                </pt>
                <pt idx="1">
                  <v>0.02146358806024103</v>
                </pt>
                <pt idx="2">
                  <v>0.0396840524564522</v>
                </pt>
                <pt idx="3">
                  <v>0.04072047413878613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4.391172122705918</v>
                </pt>
                <pt idx="1">
                  <v>4.185177554622325</v>
                </pt>
                <pt idx="2">
                  <v>4.009720096395506</v>
                </pt>
                <pt idx="3">
                  <v>3.495211365566209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32937.01</v>
                </pt>
                <pt idx="1">
                  <v>38962.09</v>
                </pt>
                <pt idx="2">
                  <v>50198.55</v>
                </pt>
                <pt idx="3">
                  <v>80796.71000000001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3.032954160382252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2.002061650337017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3.256923534371408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1.967261569952628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1.262440481658495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0.6833612307794077</v>
                </pt>
                <pt idx="1">
                  <v>0.9027524928071139</v>
                </pt>
                <pt idx="2">
                  <v>0.6004311452836806</v>
                </pt>
                <pt idx="3">
                  <v>0.4948105789806537</v>
                </pt>
                <pt idx="4">
                  <v>0.3851314214470914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2.991032988287537</v>
                </pt>
                <pt idx="1">
                  <v>2.590734286605739</v>
                </pt>
                <pt idx="2">
                  <v>3.048198703770193</v>
                </pt>
                <pt idx="3">
                  <v>2.323621395056772</v>
                </pt>
                <pt idx="4">
                  <v>1.874923491984742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A1" sqref="A1"/>
    </sheetView>
  </sheetViews>
  <sheetFormatPr baseColWidth="8" defaultRowHeight="14.4"/>
  <cols>
    <col width="54.44140625" bestFit="1" customWidth="1" style="171" min="1" max="1"/>
    <col width="11.77734375" bestFit="1" customWidth="1" style="171" min="2" max="2"/>
    <col width="12.109375" bestFit="1" customWidth="1" style="171" min="3" max="3"/>
    <col width="20" bestFit="1" customWidth="1" style="171" min="4" max="4"/>
    <col width="8" bestFit="1" customWidth="1" style="171" min="5" max="5"/>
    <col width="16.44140625" bestFit="1" customWidth="1" style="171" min="6" max="6"/>
    <col width="9.77734375" bestFit="1" customWidth="1" style="171" min="7" max="7"/>
  </cols>
  <sheetData>
    <row r="1">
      <c r="A1" s="172" t="inlineStr">
        <is>
          <t>Adani Enterprises Ltd (ADANIENT) - Institutional Valuation</t>
        </is>
      </c>
    </row>
    <row r="4">
      <c r="A4" s="174" t="inlineStr">
        <is>
          <t>Current Price</t>
        </is>
      </c>
      <c r="B4" s="174" t="inlineStr">
        <is>
          <t>Intrinsic Value</t>
        </is>
      </c>
      <c r="C4" s="174" t="inlineStr">
        <is>
          <t>Margin of Safety</t>
        </is>
      </c>
      <c r="D4" s="174" t="inlineStr">
        <is>
          <t>Verdict</t>
        </is>
      </c>
      <c r="E4" s="174" t="inlineStr">
        <is>
          <t>WACC</t>
        </is>
      </c>
      <c r="F4" s="174" t="inlineStr">
        <is>
          <t>Altman Z-Score</t>
        </is>
      </c>
      <c r="G4" s="174" t="inlineStr">
        <is>
          <t>DuPont ROE</t>
        </is>
      </c>
    </row>
    <row r="5" ht="15.6" customHeight="1" s="171">
      <c r="A5" s="176">
        <f>DCF!D44</f>
        <v/>
      </c>
      <c r="B5" s="176">
        <f>DCF!D42</f>
        <v/>
      </c>
      <c r="C5" s="177">
        <f>(B5-A5)/A5</f>
        <v/>
      </c>
      <c r="D5" s="176">
        <f>IF(C5&gt;0.15,"UNDERVALUED / BUY",IF(C5&lt;-0.15,"OVERVALUED / SELL","FAIRLY VALUED / HOLD"))</f>
        <v/>
      </c>
      <c r="E5" s="177">
        <f>DCF!D20</f>
        <v/>
      </c>
      <c r="F5" s="176">
        <f>'Altman''s Z Score'!B15</f>
        <v/>
      </c>
      <c r="G5" s="177">
        <f>'Dupont Analysis'!B15</f>
        <v/>
      </c>
    </row>
    <row r="6">
      <c r="C6">
        <f>DCF!D42</f>
        <v/>
      </c>
    </row>
    <row r="7" ht="15.6" customHeight="1" s="171">
      <c r="A7" s="175" t="inlineStr">
        <is>
          <t>THE 4 CORE VALUATION PILLARS</t>
        </is>
      </c>
      <c r="C7">
        <f>DCF!D44</f>
        <v/>
      </c>
    </row>
    <row r="8">
      <c r="A8" s="37" t="inlineStr">
        <is>
          <t>Pillar 1: FCF Engine</t>
        </is>
      </c>
      <c r="B8" t="inlineStr">
        <is>
          <t>CFO ₹N/A Cr vs PAT ₹N/A Cr | EBIT Mgn N/A% | CCC N/A days</t>
        </is>
      </c>
      <c r="C8">
        <f>(C6-C7)/C7</f>
        <v/>
      </c>
    </row>
    <row r="9">
      <c r="A9" s="37" t="inlineStr">
        <is>
          <t>Pillar 2: Growth Trajectory</t>
        </is>
      </c>
      <c r="B9" t="inlineStr">
        <is>
          <t>3Y Sales CAGR N/A% | 5Y CAGR N/A% | Forecast g 10% | Terminal g 3%</t>
        </is>
      </c>
    </row>
    <row r="10">
      <c r="A10" s="37" t="inlineStr">
        <is>
          <t>Pillar 3: Cost of Capital (WACC)</t>
        </is>
      </c>
      <c r="B10" t="inlineStr">
        <is>
          <t>WACC 10.67% | Ke N/A% | Beta 1.0 | ERP 6.5% | Rf 7.0%</t>
        </is>
      </c>
      <c r="C10">
        <f>WACC!K29</f>
        <v/>
      </c>
    </row>
    <row r="11">
      <c r="A11" s="37" t="inlineStr">
        <is>
          <t>Pillar 4: Relative Multiples</t>
        </is>
      </c>
      <c r="B11" t="inlineStr">
        <is>
          <t>P/E N/Ax | P/B N/Ax | EV/EBITDA N/Ax | EV/Sales N/Ax</t>
        </is>
      </c>
      <c r="C11">
        <f>WACC!K26</f>
        <v/>
      </c>
    </row>
    <row r="12">
      <c r="C12">
        <f>WACC!K28</f>
        <v/>
      </c>
    </row>
    <row r="13">
      <c r="A13" s="37" t="inlineStr">
        <is>
          <t>5-Year Discounted Cash Flow (DCF) Schedule (Amounts in ₹ Cr)</t>
        </is>
      </c>
    </row>
    <row r="14">
      <c r="A14" s="178" t="inlineStr">
        <is>
          <t>Year</t>
        </is>
      </c>
      <c r="B14" s="178" t="inlineStr">
        <is>
          <t>EBIT</t>
        </is>
      </c>
      <c r="C14" s="178" t="inlineStr">
        <is>
          <t>NOPAT</t>
        </is>
      </c>
      <c r="D14" s="178" t="inlineStr">
        <is>
          <t>Reinvest Rate</t>
        </is>
      </c>
      <c r="E14" s="178" t="inlineStr">
        <is>
          <t>FCFF</t>
        </is>
      </c>
      <c r="F14" s="178" t="inlineStr">
        <is>
          <t>Discount Factor</t>
        </is>
      </c>
      <c r="G14" s="178" t="inlineStr">
        <is>
          <t>PV of FCFF</t>
        </is>
      </c>
    </row>
    <row r="15">
      <c r="A15" s="164" t="inlineStr">
        <is>
          <t>Year 1</t>
        </is>
      </c>
      <c r="B15">
        <f>DCF!I8</f>
        <v/>
      </c>
      <c r="C15">
        <f>DCF!I10</f>
        <v/>
      </c>
      <c r="D15" s="46">
        <f>DCF!I11</f>
        <v/>
      </c>
      <c r="E15">
        <f>DCF!I12</f>
        <v/>
      </c>
      <c r="F15">
        <f>DCF!I14</f>
        <v/>
      </c>
      <c r="G15">
        <f>DCF!I16</f>
        <v/>
      </c>
    </row>
    <row r="16">
      <c r="A16" s="164" t="inlineStr">
        <is>
          <t>Year 2</t>
        </is>
      </c>
      <c r="B16">
        <f>DCF!J8</f>
        <v/>
      </c>
      <c r="C16">
        <f>DCF!J10</f>
        <v/>
      </c>
      <c r="D16" s="46">
        <f>DCF!J11</f>
        <v/>
      </c>
      <c r="E16">
        <f>DCF!J12</f>
        <v/>
      </c>
      <c r="F16">
        <f>DCF!J14</f>
        <v/>
      </c>
      <c r="G16">
        <f>DCF!J16</f>
        <v/>
      </c>
    </row>
    <row r="17">
      <c r="A17" s="164" t="inlineStr">
        <is>
          <t>Year 3</t>
        </is>
      </c>
      <c r="B17">
        <f>DCF!K8</f>
        <v/>
      </c>
      <c r="C17">
        <f>DCF!K10</f>
        <v/>
      </c>
      <c r="D17" s="46">
        <f>DCF!K11</f>
        <v/>
      </c>
      <c r="E17">
        <f>DCF!K12</f>
        <v/>
      </c>
      <c r="F17">
        <f>DCF!K14</f>
        <v/>
      </c>
      <c r="G17">
        <f>DCF!K16</f>
        <v/>
      </c>
    </row>
    <row r="18">
      <c r="A18" s="164" t="inlineStr">
        <is>
          <t>Year 4</t>
        </is>
      </c>
      <c r="B18">
        <f>DCF!L8</f>
        <v/>
      </c>
      <c r="C18">
        <f>DCF!L10</f>
        <v/>
      </c>
      <c r="D18" s="46">
        <f>DCF!L11</f>
        <v/>
      </c>
      <c r="E18">
        <f>DCF!L12</f>
        <v/>
      </c>
      <c r="F18">
        <f>DCF!L14</f>
        <v/>
      </c>
      <c r="G18">
        <f>DCF!L16</f>
        <v/>
      </c>
    </row>
    <row r="19">
      <c r="A19" s="164" t="inlineStr">
        <is>
          <t>Year 5</t>
        </is>
      </c>
      <c r="B19">
        <f>DCF!M8</f>
        <v/>
      </c>
      <c r="C19">
        <f>DCF!M10</f>
        <v/>
      </c>
      <c r="D19" s="46">
        <f>DCF!M11</f>
        <v/>
      </c>
      <c r="E19">
        <f>DCF!M12</f>
        <v/>
      </c>
      <c r="F19">
        <f>DCF!M14</f>
        <v/>
      </c>
      <c r="G19">
        <f>DCF!M16</f>
        <v/>
      </c>
    </row>
    <row r="21">
      <c r="A21" s="37" t="inlineStr">
        <is>
          <t>Enterprise to Equity Value Bridge</t>
        </is>
      </c>
    </row>
    <row r="22">
      <c r="A22" s="37" t="inlineStr">
        <is>
          <t>PV of 5-Year FCFFs</t>
        </is>
      </c>
      <c r="B22">
        <f>DCF!D33</f>
        <v/>
      </c>
      <c r="C22">
        <f>MEDIAN(Comp_Valuation!I10:I15)</f>
        <v/>
      </c>
    </row>
    <row r="23">
      <c r="A23" s="37" t="inlineStr">
        <is>
          <t>Terminal Value</t>
        </is>
      </c>
      <c r="B23">
        <f>DCF!D29</f>
        <v/>
      </c>
      <c r="C23">
        <f>MEDIAN(Comp_Valuation!J10:J15)</f>
        <v/>
      </c>
    </row>
    <row r="24">
      <c r="A24" s="37" t="inlineStr">
        <is>
          <t>PV of Terminal Value</t>
        </is>
      </c>
      <c r="B24">
        <f>DCF!D34</f>
        <v/>
      </c>
    </row>
    <row r="25">
      <c r="A25" s="37" t="inlineStr">
        <is>
          <t>Enterprise Value (Operating Assets)</t>
        </is>
      </c>
      <c r="B25">
        <f>DCF!D35</f>
        <v/>
      </c>
    </row>
    <row r="26">
      <c r="A26" s="37" t="inlineStr">
        <is>
          <t>Add: Estimated Cash &amp; Liquid Assets</t>
        </is>
      </c>
      <c r="B26">
        <f>DCF!D37</f>
        <v/>
      </c>
    </row>
    <row r="27">
      <c r="A27" s="37" t="inlineStr">
        <is>
          <t>Less: Total Debt &amp; Borrowings</t>
        </is>
      </c>
      <c r="B27">
        <f>DCF!D38</f>
        <v/>
      </c>
    </row>
    <row r="28">
      <c r="A28" s="37" t="inlineStr">
        <is>
          <t>Net Equity Value</t>
        </is>
      </c>
      <c r="B28">
        <f>DCF!D39</f>
        <v/>
      </c>
    </row>
    <row r="29">
      <c r="A29" s="37" t="inlineStr">
        <is>
          <t>Shares Outstanding</t>
        </is>
      </c>
      <c r="B29">
        <f>DCF!D40</f>
        <v/>
      </c>
    </row>
    <row r="30">
      <c r="A30" s="37" t="inlineStr">
        <is>
          <t>Intrinsic Value per Share</t>
        </is>
      </c>
      <c r="B30">
        <f>DCF!D42</f>
        <v/>
      </c>
    </row>
    <row r="31">
      <c r="A31" s="37" t="inlineStr">
        <is>
          <t>Current Market Price</t>
        </is>
      </c>
      <c r="B31">
        <f>DCF!D44</f>
        <v/>
      </c>
    </row>
    <row r="32">
      <c r="A32" s="37" t="inlineStr">
        <is>
          <t>Margin of Safety / Discount</t>
        </is>
      </c>
      <c r="B32" s="46">
        <f>(B30-B31)/B31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1" min="1" max="1"/>
    <col width="13.44140625" customWidth="1" style="171" min="2" max="6"/>
    <col width="14.77734375" bestFit="1" customWidth="1" style="171" min="7" max="7"/>
    <col width="13.44140625" customWidth="1" style="171" min="8" max="11"/>
    <col width="13.33203125" customWidth="1" style="171" min="12" max="12"/>
    <col width="12.109375" customWidth="1" style="171" min="13" max="14"/>
    <col width="8.77734375" customWidth="1" style="171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9">
        <f>'Data Sheet'!B17</f>
        <v/>
      </c>
      <c r="C4" s="179">
        <f>'Data Sheet'!C17</f>
        <v/>
      </c>
      <c r="D4" s="179">
        <f>'Data Sheet'!D17</f>
        <v/>
      </c>
      <c r="E4" s="179">
        <f>'Data Sheet'!E17</f>
        <v/>
      </c>
      <c r="F4" s="179">
        <f>'Data Sheet'!F17</f>
        <v/>
      </c>
      <c r="G4" s="179">
        <f>'Data Sheet'!G17</f>
        <v/>
      </c>
      <c r="H4" s="179">
        <f>'Data Sheet'!H17</f>
        <v/>
      </c>
      <c r="I4" s="179">
        <f>'Data Sheet'!I17</f>
        <v/>
      </c>
      <c r="J4" s="179">
        <f>'Data Sheet'!J17</f>
        <v/>
      </c>
      <c r="K4" s="179">
        <f>'Data Sheet'!K17</f>
        <v/>
      </c>
      <c r="L4" s="179">
        <f>SUM(Quarters!H4:K4)</f>
        <v/>
      </c>
      <c r="M4" s="179">
        <f>$K4+M23*K4</f>
        <v/>
      </c>
      <c r="N4" s="179">
        <f>$K4+N23*L4</f>
        <v/>
      </c>
    </row>
    <row r="5">
      <c r="A5" t="inlineStr">
        <is>
          <t>Expenses</t>
        </is>
      </c>
      <c r="B5" s="180">
        <f>SUM('Data Sheet'!B18,'Data Sheet'!B20:B24, -1*'Data Sheet'!B19)</f>
        <v/>
      </c>
      <c r="C5" s="180">
        <f>SUM('Data Sheet'!C18,'Data Sheet'!C20:C24, -1*'Data Sheet'!C19)</f>
        <v/>
      </c>
      <c r="D5" s="180">
        <f>SUM('Data Sheet'!D18,'Data Sheet'!D20:D24, -1*'Data Sheet'!D19)</f>
        <v/>
      </c>
      <c r="E5" s="180">
        <f>SUM('Data Sheet'!E18,'Data Sheet'!E20:E24, -1*'Data Sheet'!E19)</f>
        <v/>
      </c>
      <c r="F5" s="180">
        <f>SUM('Data Sheet'!F18,'Data Sheet'!F20:F24, -1*'Data Sheet'!F19)</f>
        <v/>
      </c>
      <c r="G5" s="180">
        <f>SUM('Data Sheet'!G18,'Data Sheet'!G20:G24, -1*'Data Sheet'!G19)</f>
        <v/>
      </c>
      <c r="H5" s="180">
        <f>SUM('Data Sheet'!H18,'Data Sheet'!H20:H24, -1*'Data Sheet'!H19)</f>
        <v/>
      </c>
      <c r="I5" s="180">
        <f>SUM('Data Sheet'!I18,'Data Sheet'!I20:I24, -1*'Data Sheet'!I19)</f>
        <v/>
      </c>
      <c r="J5" s="180">
        <f>SUM('Data Sheet'!J18,'Data Sheet'!J20:J24, -1*'Data Sheet'!J19)</f>
        <v/>
      </c>
      <c r="K5" s="180">
        <f>SUM('Data Sheet'!K18,'Data Sheet'!K20:K24, -1*'Data Sheet'!K19)</f>
        <v/>
      </c>
      <c r="L5" s="180">
        <f>SUM(Quarters!H5:K5)</f>
        <v/>
      </c>
      <c r="M5" s="180">
        <f>M4-M6</f>
        <v/>
      </c>
      <c r="N5" s="180">
        <f>N4-N6</f>
        <v/>
      </c>
    </row>
    <row r="6" customFormat="1" s="37">
      <c r="A6" s="37" t="inlineStr">
        <is>
          <t>Operating Profit</t>
        </is>
      </c>
      <c r="B6" s="179">
        <f>B4-B5</f>
        <v/>
      </c>
      <c r="C6" s="179">
        <f>C4-C5</f>
        <v/>
      </c>
      <c r="D6" s="179">
        <f>D4-D5</f>
        <v/>
      </c>
      <c r="E6" s="179">
        <f>E4-E5</f>
        <v/>
      </c>
      <c r="F6" s="179">
        <f>F4-F5</f>
        <v/>
      </c>
      <c r="G6" s="179">
        <f>G4-G5</f>
        <v/>
      </c>
      <c r="H6" s="179">
        <f>H4-H5</f>
        <v/>
      </c>
      <c r="I6" s="179">
        <f>I4-I5</f>
        <v/>
      </c>
      <c r="J6" s="179">
        <f>J4-J5</f>
        <v/>
      </c>
      <c r="K6" s="179">
        <f>K4-K5</f>
        <v/>
      </c>
      <c r="L6" s="179">
        <f>SUM(Quarters!H6:K6)</f>
        <v/>
      </c>
      <c r="M6" s="179">
        <f>M4*M24</f>
        <v/>
      </c>
      <c r="N6" s="179">
        <f>N4*N24</f>
        <v/>
      </c>
    </row>
    <row r="7">
      <c r="A7" t="inlineStr">
        <is>
          <t>Other Income</t>
        </is>
      </c>
      <c r="B7" s="180">
        <f>'Data Sheet'!B25</f>
        <v/>
      </c>
      <c r="C7" s="180">
        <f>'Data Sheet'!C25</f>
        <v/>
      </c>
      <c r="D7" s="180">
        <f>'Data Sheet'!D25</f>
        <v/>
      </c>
      <c r="E7" s="180">
        <f>'Data Sheet'!E25</f>
        <v/>
      </c>
      <c r="F7" s="180">
        <f>'Data Sheet'!F25</f>
        <v/>
      </c>
      <c r="G7" s="180">
        <f>'Data Sheet'!G25</f>
        <v/>
      </c>
      <c r="H7" s="180">
        <f>'Data Sheet'!H25</f>
        <v/>
      </c>
      <c r="I7" s="180">
        <f>'Data Sheet'!I25</f>
        <v/>
      </c>
      <c r="J7" s="180">
        <f>'Data Sheet'!J25</f>
        <v/>
      </c>
      <c r="K7" s="180">
        <f>'Data Sheet'!K25</f>
        <v/>
      </c>
      <c r="L7" s="180">
        <f>SUM(Quarters!H7:K7)</f>
        <v/>
      </c>
      <c r="M7" s="180" t="n">
        <v>0</v>
      </c>
      <c r="N7" s="180" t="n">
        <v>0</v>
      </c>
    </row>
    <row r="8">
      <c r="A8" t="inlineStr">
        <is>
          <t>Depreciation</t>
        </is>
      </c>
      <c r="B8" s="180">
        <f>'Data Sheet'!B26</f>
        <v/>
      </c>
      <c r="C8" s="180">
        <f>'Data Sheet'!C26</f>
        <v/>
      </c>
      <c r="D8" s="180">
        <f>'Data Sheet'!D26</f>
        <v/>
      </c>
      <c r="E8" s="180">
        <f>'Data Sheet'!E26</f>
        <v/>
      </c>
      <c r="F8" s="180">
        <f>'Data Sheet'!F26</f>
        <v/>
      </c>
      <c r="G8" s="180">
        <f>'Data Sheet'!G26</f>
        <v/>
      </c>
      <c r="H8" s="180">
        <f>'Data Sheet'!H26</f>
        <v/>
      </c>
      <c r="I8" s="180">
        <f>'Data Sheet'!I26</f>
        <v/>
      </c>
      <c r="J8" s="180">
        <f>'Data Sheet'!J26</f>
        <v/>
      </c>
      <c r="K8" s="180">
        <f>'Data Sheet'!K26</f>
        <v/>
      </c>
      <c r="L8" s="180">
        <f>SUM(Quarters!H8:K8)</f>
        <v/>
      </c>
      <c r="M8" s="180">
        <f>+$L8</f>
        <v/>
      </c>
      <c r="N8" s="180">
        <f>+$L8</f>
        <v/>
      </c>
    </row>
    <row r="9">
      <c r="A9" t="inlineStr">
        <is>
          <t>Interest</t>
        </is>
      </c>
      <c r="B9" s="180">
        <f>'Data Sheet'!B27</f>
        <v/>
      </c>
      <c r="C9" s="180">
        <f>'Data Sheet'!C27</f>
        <v/>
      </c>
      <c r="D9" s="180">
        <f>'Data Sheet'!D27</f>
        <v/>
      </c>
      <c r="E9" s="180">
        <f>'Data Sheet'!E27</f>
        <v/>
      </c>
      <c r="F9" s="180">
        <f>'Data Sheet'!F27</f>
        <v/>
      </c>
      <c r="G9" s="180">
        <f>'Data Sheet'!G27</f>
        <v/>
      </c>
      <c r="H9" s="180">
        <f>'Data Sheet'!H27</f>
        <v/>
      </c>
      <c r="I9" s="180">
        <f>'Data Sheet'!I27</f>
        <v/>
      </c>
      <c r="J9" s="180">
        <f>'Data Sheet'!J27</f>
        <v/>
      </c>
      <c r="K9" s="180">
        <f>'Data Sheet'!K27</f>
        <v/>
      </c>
      <c r="L9" s="180">
        <f>SUM(Quarters!H9:K9)</f>
        <v/>
      </c>
      <c r="M9" s="180">
        <f>+$L9</f>
        <v/>
      </c>
      <c r="N9" s="180">
        <f>+$L9</f>
        <v/>
      </c>
    </row>
    <row r="10">
      <c r="A10" t="inlineStr">
        <is>
          <t>Profit before tax</t>
        </is>
      </c>
      <c r="B10" s="180">
        <f>'Data Sheet'!B28</f>
        <v/>
      </c>
      <c r="C10" s="180">
        <f>'Data Sheet'!C28</f>
        <v/>
      </c>
      <c r="D10" s="180">
        <f>'Data Sheet'!D28</f>
        <v/>
      </c>
      <c r="E10" s="180">
        <f>'Data Sheet'!E28</f>
        <v/>
      </c>
      <c r="F10" s="180">
        <f>'Data Sheet'!F28</f>
        <v/>
      </c>
      <c r="G10" s="180">
        <f>'Data Sheet'!G28</f>
        <v/>
      </c>
      <c r="H10" s="180">
        <f>'Data Sheet'!H28</f>
        <v/>
      </c>
      <c r="I10" s="180">
        <f>'Data Sheet'!I28</f>
        <v/>
      </c>
      <c r="J10" s="180">
        <f>'Data Sheet'!J28</f>
        <v/>
      </c>
      <c r="K10" s="180">
        <f>'Data Sheet'!K28</f>
        <v/>
      </c>
      <c r="L10" s="180">
        <f>SUM(Quarters!H10:K10)</f>
        <v/>
      </c>
      <c r="M10" s="180">
        <f>M6+M7-SUM(M8:M9)</f>
        <v/>
      </c>
      <c r="N10" s="180">
        <f>N6+N7-SUM(N8:N9)</f>
        <v/>
      </c>
    </row>
    <row r="11">
      <c r="A11" t="inlineStr">
        <is>
          <t>Tax</t>
        </is>
      </c>
      <c r="B11" s="180">
        <f>'Data Sheet'!B29</f>
        <v/>
      </c>
      <c r="C11" s="180">
        <f>'Data Sheet'!C29</f>
        <v/>
      </c>
      <c r="D11" s="180">
        <f>'Data Sheet'!D29</f>
        <v/>
      </c>
      <c r="E11" s="180">
        <f>'Data Sheet'!E29</f>
        <v/>
      </c>
      <c r="F11" s="180">
        <f>'Data Sheet'!F29</f>
        <v/>
      </c>
      <c r="G11" s="180">
        <f>'Data Sheet'!G29</f>
        <v/>
      </c>
      <c r="H11" s="180">
        <f>'Data Sheet'!H29</f>
        <v/>
      </c>
      <c r="I11" s="180">
        <f>'Data Sheet'!I29</f>
        <v/>
      </c>
      <c r="J11" s="180">
        <f>'Data Sheet'!J29</f>
        <v/>
      </c>
      <c r="K11" s="180">
        <f>'Data Sheet'!K29</f>
        <v/>
      </c>
      <c r="L11" s="180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9">
        <f>'Data Sheet'!B30</f>
        <v/>
      </c>
      <c r="C12" s="179">
        <f>'Data Sheet'!C30</f>
        <v/>
      </c>
      <c r="D12" s="179">
        <f>'Data Sheet'!D30</f>
        <v/>
      </c>
      <c r="E12" s="179">
        <f>'Data Sheet'!E30</f>
        <v/>
      </c>
      <c r="F12" s="179">
        <f>'Data Sheet'!F30</f>
        <v/>
      </c>
      <c r="G12" s="179">
        <f>'Data Sheet'!G30</f>
        <v/>
      </c>
      <c r="H12" s="179">
        <f>'Data Sheet'!H30</f>
        <v/>
      </c>
      <c r="I12" s="179">
        <f>'Data Sheet'!I30</f>
        <v/>
      </c>
      <c r="J12" s="179">
        <f>'Data Sheet'!J30</f>
        <v/>
      </c>
      <c r="K12" s="179">
        <f>'Data Sheet'!K30</f>
        <v/>
      </c>
      <c r="L12" s="179">
        <f>SUM(Quarters!H12:K12)</f>
        <v/>
      </c>
      <c r="M12" s="179">
        <f>M10-M11*M10</f>
        <v/>
      </c>
      <c r="N12" s="179">
        <f>N10-N11*N10</f>
        <v/>
      </c>
    </row>
    <row r="13">
      <c r="A13" t="inlineStr">
        <is>
          <t>EPS</t>
        </is>
      </c>
      <c r="B13" s="180">
        <f>IF('Data Sheet'!B93&gt;0,B12/'Data Sheet'!B93,0)</f>
        <v/>
      </c>
      <c r="C13" s="180">
        <f>IF('Data Sheet'!C93&gt;0,C12/'Data Sheet'!C93,0)</f>
        <v/>
      </c>
      <c r="D13" s="180">
        <f>IF('Data Sheet'!D93&gt;0,D12/'Data Sheet'!D93,0)</f>
        <v/>
      </c>
      <c r="E13" s="180">
        <f>IF('Data Sheet'!E93&gt;0,E12/'Data Sheet'!E93,0)</f>
        <v/>
      </c>
      <c r="F13" s="180">
        <f>IF('Data Sheet'!F93&gt;0,F12/'Data Sheet'!F93,0)</f>
        <v/>
      </c>
      <c r="G13" s="180">
        <f>IF('Data Sheet'!G93&gt;0,G12/'Data Sheet'!G93,0)</f>
        <v/>
      </c>
      <c r="H13" s="180">
        <f>IF('Data Sheet'!H93&gt;0,H12/'Data Sheet'!H93,0)</f>
        <v/>
      </c>
      <c r="I13" s="180">
        <f>IF('Data Sheet'!I93&gt;0,I12/'Data Sheet'!I93,0)</f>
        <v/>
      </c>
      <c r="J13" s="180">
        <f>IF('Data Sheet'!J93&gt;0,J12/'Data Sheet'!J93,0)</f>
        <v/>
      </c>
      <c r="K13" s="180">
        <f>IF('Data Sheet'!K93&gt;0,K12/'Data Sheet'!K93,0)</f>
        <v/>
      </c>
      <c r="L13" s="180">
        <f>IF('Data Sheet'!$B6&gt;0,'Profit &amp; Loss'!L12/'Data Sheet'!$B6,0)</f>
        <v/>
      </c>
      <c r="M13" s="180">
        <f>IF('Data Sheet'!$B6&gt;0,'Profit &amp; Loss'!M12/'Data Sheet'!$B6,0)</f>
        <v/>
      </c>
      <c r="N13" s="180">
        <f>IF('Data Sheet'!$B6&gt;0,'Profit &amp; Loss'!N12/'Data Sheet'!$B6,0)</f>
        <v/>
      </c>
    </row>
    <row r="14">
      <c r="A14" t="inlineStr">
        <is>
          <t>Price to earning</t>
        </is>
      </c>
      <c r="B14" s="180">
        <f>IF(B15&gt;0,B15/B13,"")</f>
        <v/>
      </c>
      <c r="C14" s="180">
        <f>IF(C15&gt;0,C15/C13,"")</f>
        <v/>
      </c>
      <c r="D14" s="180">
        <f>IF(D15&gt;0,D15/D13,"")</f>
        <v/>
      </c>
      <c r="E14" s="180">
        <f>IF(E15&gt;0,E15/E13,"")</f>
        <v/>
      </c>
      <c r="F14" s="180">
        <f>IF(F15&gt;0,F15/F13,"")</f>
        <v/>
      </c>
      <c r="G14" s="180">
        <f>IF(G15&gt;0,G15/G13,"")</f>
        <v/>
      </c>
      <c r="H14" s="180">
        <f>IF(H15&gt;0,H15/H13,"")</f>
        <v/>
      </c>
      <c r="I14" s="180">
        <f>IF(I15&gt;0,I15/I13,"")</f>
        <v/>
      </c>
      <c r="J14" s="180">
        <f>IF(J15&gt;0,J15/J13,"")</f>
        <v/>
      </c>
      <c r="K14" s="180">
        <f>IF(K15&gt;0,K15/K13,"")</f>
        <v/>
      </c>
      <c r="L14" s="180">
        <f>IF(L13&gt;0,L15/L13,0)</f>
        <v/>
      </c>
      <c r="M14" s="180">
        <f>M25</f>
        <v/>
      </c>
      <c r="N14" s="180">
        <f>N25</f>
        <v/>
      </c>
    </row>
    <row r="15" customFormat="1" s="37">
      <c r="A15" s="37" t="inlineStr">
        <is>
          <t>Price</t>
        </is>
      </c>
      <c r="B15" s="179">
        <f>'Data Sheet'!B90</f>
        <v/>
      </c>
      <c r="C15" s="179">
        <f>'Data Sheet'!C90</f>
        <v/>
      </c>
      <c r="D15" s="179">
        <f>'Data Sheet'!D90</f>
        <v/>
      </c>
      <c r="E15" s="179">
        <f>'Data Sheet'!E90</f>
        <v/>
      </c>
      <c r="F15" s="179">
        <f>'Data Sheet'!F90</f>
        <v/>
      </c>
      <c r="G15" s="179">
        <f>'Data Sheet'!G90</f>
        <v/>
      </c>
      <c r="H15" s="179">
        <f>'Data Sheet'!H90</f>
        <v/>
      </c>
      <c r="I15" s="179">
        <f>'Data Sheet'!I90</f>
        <v/>
      </c>
      <c r="J15" s="179">
        <f>'Data Sheet'!J90</f>
        <v/>
      </c>
      <c r="K15" s="179">
        <f>'Data Sheet'!K90</f>
        <v/>
      </c>
      <c r="L15" s="179">
        <f>'Data Sheet'!B8</f>
        <v/>
      </c>
      <c r="M15" s="181">
        <f>M13*M14</f>
        <v/>
      </c>
      <c r="N15" s="182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0">
        <f>IF(ISERROR(AVERAGEIF(B14:$L14,"&gt;0")),"",AVERAGEIF(B14:$L14,"&gt;0"))</f>
        <v/>
      </c>
      <c r="I25" s="180">
        <f>IF(ISERROR(AVERAGEIF(E14:$L14,"&gt;0")),"",AVERAGEIF(E14:$L14,"&gt;0"))</f>
        <v/>
      </c>
      <c r="J25" s="180">
        <f>IF(ISERROR(AVERAGEIF(G14:$L14,"&gt;0")),"",AVERAGEIF(G14:$L14,"&gt;0"))</f>
        <v/>
      </c>
      <c r="K25" s="180">
        <f>IF(ISERROR(AVERAGEIF(I14:$L14,"&gt;0")),"",AVERAGEIF(I14:$L14,"&gt;0"))</f>
        <v/>
      </c>
      <c r="L25" s="180">
        <f>L14</f>
        <v/>
      </c>
      <c r="M25" s="179">
        <f>MAX(K25:L25)</f>
        <v/>
      </c>
      <c r="N25" s="179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1" min="1" max="1"/>
    <col width="13.44140625" bestFit="1" customWidth="1" style="171" min="2" max="11"/>
    <col width="8.77734375" customWidth="1" style="171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9">
        <f>'Data Sheet'!B42</f>
        <v/>
      </c>
      <c r="C4" s="179">
        <f>'Data Sheet'!C42</f>
        <v/>
      </c>
      <c r="D4" s="179">
        <f>'Data Sheet'!D42</f>
        <v/>
      </c>
      <c r="E4" s="179">
        <f>'Data Sheet'!E42</f>
        <v/>
      </c>
      <c r="F4" s="179">
        <f>'Data Sheet'!F42</f>
        <v/>
      </c>
      <c r="G4" s="179">
        <f>'Data Sheet'!G42</f>
        <v/>
      </c>
      <c r="H4" s="179">
        <f>'Data Sheet'!H42</f>
        <v/>
      </c>
      <c r="I4" s="179">
        <f>'Data Sheet'!I42</f>
        <v/>
      </c>
      <c r="J4" s="179">
        <f>'Data Sheet'!J42</f>
        <v/>
      </c>
      <c r="K4" s="179">
        <f>'Data Sheet'!K42</f>
        <v/>
      </c>
    </row>
    <row r="5">
      <c r="A5" t="inlineStr">
        <is>
          <t>Expenses</t>
        </is>
      </c>
      <c r="B5" s="180">
        <f>'Data Sheet'!B43</f>
        <v/>
      </c>
      <c r="C5" s="180">
        <f>'Data Sheet'!C43</f>
        <v/>
      </c>
      <c r="D5" s="180">
        <f>'Data Sheet'!D43</f>
        <v/>
      </c>
      <c r="E5" s="180">
        <f>'Data Sheet'!E43</f>
        <v/>
      </c>
      <c r="F5" s="180">
        <f>'Data Sheet'!F43</f>
        <v/>
      </c>
      <c r="G5" s="180">
        <f>'Data Sheet'!G43</f>
        <v/>
      </c>
      <c r="H5" s="180">
        <f>'Data Sheet'!H43</f>
        <v/>
      </c>
      <c r="I5" s="180">
        <f>'Data Sheet'!I43</f>
        <v/>
      </c>
      <c r="J5" s="180">
        <f>'Data Sheet'!J43</f>
        <v/>
      </c>
      <c r="K5" s="180">
        <f>'Data Sheet'!K43</f>
        <v/>
      </c>
    </row>
    <row r="6" customFormat="1" s="37">
      <c r="A6" s="37" t="inlineStr">
        <is>
          <t>Operating Profit</t>
        </is>
      </c>
      <c r="B6" s="179">
        <f>'Data Sheet'!B50</f>
        <v/>
      </c>
      <c r="C6" s="179">
        <f>'Data Sheet'!C50</f>
        <v/>
      </c>
      <c r="D6" s="179">
        <f>'Data Sheet'!D50</f>
        <v/>
      </c>
      <c r="E6" s="179">
        <f>'Data Sheet'!E50</f>
        <v/>
      </c>
      <c r="F6" s="179">
        <f>'Data Sheet'!F50</f>
        <v/>
      </c>
      <c r="G6" s="179">
        <f>'Data Sheet'!G50</f>
        <v/>
      </c>
      <c r="H6" s="179">
        <f>'Data Sheet'!H50</f>
        <v/>
      </c>
      <c r="I6" s="179">
        <f>'Data Sheet'!I50</f>
        <v/>
      </c>
      <c r="J6" s="179">
        <f>'Data Sheet'!J50</f>
        <v/>
      </c>
      <c r="K6" s="179">
        <f>'Data Sheet'!K50</f>
        <v/>
      </c>
    </row>
    <row r="7">
      <c r="A7" t="inlineStr">
        <is>
          <t>Other Income</t>
        </is>
      </c>
      <c r="B7" s="180">
        <f>'Data Sheet'!B44</f>
        <v/>
      </c>
      <c r="C7" s="180">
        <f>'Data Sheet'!C44</f>
        <v/>
      </c>
      <c r="D7" s="180">
        <f>'Data Sheet'!D44</f>
        <v/>
      </c>
      <c r="E7" s="180">
        <f>'Data Sheet'!E44</f>
        <v/>
      </c>
      <c r="F7" s="180">
        <f>'Data Sheet'!F44</f>
        <v/>
      </c>
      <c r="G7" s="180">
        <f>'Data Sheet'!G44</f>
        <v/>
      </c>
      <c r="H7" s="180">
        <f>'Data Sheet'!H44</f>
        <v/>
      </c>
      <c r="I7" s="180">
        <f>'Data Sheet'!I44</f>
        <v/>
      </c>
      <c r="J7" s="180">
        <f>'Data Sheet'!J44</f>
        <v/>
      </c>
      <c r="K7" s="180">
        <f>'Data Sheet'!K44</f>
        <v/>
      </c>
    </row>
    <row r="8">
      <c r="A8" t="inlineStr">
        <is>
          <t>Depreciation</t>
        </is>
      </c>
      <c r="B8" s="180">
        <f>'Data Sheet'!B45</f>
        <v/>
      </c>
      <c r="C8" s="180">
        <f>'Data Sheet'!C45</f>
        <v/>
      </c>
      <c r="D8" s="180">
        <f>'Data Sheet'!D45</f>
        <v/>
      </c>
      <c r="E8" s="180">
        <f>'Data Sheet'!E45</f>
        <v/>
      </c>
      <c r="F8" s="180">
        <f>'Data Sheet'!F45</f>
        <v/>
      </c>
      <c r="G8" s="180">
        <f>'Data Sheet'!G45</f>
        <v/>
      </c>
      <c r="H8" s="180">
        <f>'Data Sheet'!H45</f>
        <v/>
      </c>
      <c r="I8" s="180">
        <f>'Data Sheet'!I45</f>
        <v/>
      </c>
      <c r="J8" s="180">
        <f>'Data Sheet'!J45</f>
        <v/>
      </c>
      <c r="K8" s="180">
        <f>'Data Sheet'!K45</f>
        <v/>
      </c>
    </row>
    <row r="9">
      <c r="A9" t="inlineStr">
        <is>
          <t>Interest</t>
        </is>
      </c>
      <c r="B9" s="180">
        <f>'Data Sheet'!B46</f>
        <v/>
      </c>
      <c r="C9" s="180">
        <f>'Data Sheet'!C46</f>
        <v/>
      </c>
      <c r="D9" s="180">
        <f>'Data Sheet'!D46</f>
        <v/>
      </c>
      <c r="E9" s="180">
        <f>'Data Sheet'!E46</f>
        <v/>
      </c>
      <c r="F9" s="180">
        <f>'Data Sheet'!F46</f>
        <v/>
      </c>
      <c r="G9" s="180">
        <f>'Data Sheet'!G46</f>
        <v/>
      </c>
      <c r="H9" s="180">
        <f>'Data Sheet'!H46</f>
        <v/>
      </c>
      <c r="I9" s="180">
        <f>'Data Sheet'!I46</f>
        <v/>
      </c>
      <c r="J9" s="180">
        <f>'Data Sheet'!J46</f>
        <v/>
      </c>
      <c r="K9" s="180">
        <f>'Data Sheet'!K46</f>
        <v/>
      </c>
    </row>
    <row r="10">
      <c r="A10" t="inlineStr">
        <is>
          <t>Profit before tax</t>
        </is>
      </c>
      <c r="B10" s="180">
        <f>'Data Sheet'!B47</f>
        <v/>
      </c>
      <c r="C10" s="180">
        <f>'Data Sheet'!C47</f>
        <v/>
      </c>
      <c r="D10" s="180">
        <f>'Data Sheet'!D47</f>
        <v/>
      </c>
      <c r="E10" s="180">
        <f>'Data Sheet'!E47</f>
        <v/>
      </c>
      <c r="F10" s="180">
        <f>'Data Sheet'!F47</f>
        <v/>
      </c>
      <c r="G10" s="180">
        <f>'Data Sheet'!G47</f>
        <v/>
      </c>
      <c r="H10" s="180">
        <f>'Data Sheet'!H47</f>
        <v/>
      </c>
      <c r="I10" s="180">
        <f>'Data Sheet'!I47</f>
        <v/>
      </c>
      <c r="J10" s="180">
        <f>'Data Sheet'!J47</f>
        <v/>
      </c>
      <c r="K10" s="180">
        <f>'Data Sheet'!K47</f>
        <v/>
      </c>
    </row>
    <row r="11">
      <c r="A11" t="inlineStr">
        <is>
          <t>Tax</t>
        </is>
      </c>
      <c r="B11" s="180">
        <f>'Data Sheet'!B48</f>
        <v/>
      </c>
      <c r="C11" s="180">
        <f>'Data Sheet'!C48</f>
        <v/>
      </c>
      <c r="D11" s="180">
        <f>'Data Sheet'!D48</f>
        <v/>
      </c>
      <c r="E11" s="180">
        <f>'Data Sheet'!E48</f>
        <v/>
      </c>
      <c r="F11" s="180">
        <f>'Data Sheet'!F48</f>
        <v/>
      </c>
      <c r="G11" s="180">
        <f>'Data Sheet'!G48</f>
        <v/>
      </c>
      <c r="H11" s="180">
        <f>'Data Sheet'!H48</f>
        <v/>
      </c>
      <c r="I11" s="180">
        <f>'Data Sheet'!I48</f>
        <v/>
      </c>
      <c r="J11" s="180">
        <f>'Data Sheet'!J48</f>
        <v/>
      </c>
      <c r="K11" s="180">
        <f>'Data Sheet'!K48</f>
        <v/>
      </c>
    </row>
    <row r="12" customFormat="1" s="37">
      <c r="A12" s="37" t="inlineStr">
        <is>
          <t>Net profit</t>
        </is>
      </c>
      <c r="B12" s="179">
        <f>'Data Sheet'!B49</f>
        <v/>
      </c>
      <c r="C12" s="179">
        <f>'Data Sheet'!C49</f>
        <v/>
      </c>
      <c r="D12" s="179">
        <f>'Data Sheet'!D49</f>
        <v/>
      </c>
      <c r="E12" s="179">
        <f>'Data Sheet'!E49</f>
        <v/>
      </c>
      <c r="F12" s="179">
        <f>'Data Sheet'!F49</f>
        <v/>
      </c>
      <c r="G12" s="179">
        <f>'Data Sheet'!G49</f>
        <v/>
      </c>
      <c r="H12" s="179">
        <f>'Data Sheet'!H49</f>
        <v/>
      </c>
      <c r="I12" s="179">
        <f>'Data Sheet'!I49</f>
        <v/>
      </c>
      <c r="J12" s="179">
        <f>'Data Sheet'!J49</f>
        <v/>
      </c>
      <c r="K12" s="179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1" min="1" max="1"/>
    <col width="13.44140625" customWidth="1" style="171" min="2" max="2"/>
    <col width="15.44140625" customWidth="1" style="171" min="3" max="11"/>
    <col width="8.77734375" customWidth="1" style="171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1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83">
        <f>'Data Sheet'!B57</f>
        <v/>
      </c>
      <c r="C4" s="183">
        <f>'Data Sheet'!C57</f>
        <v/>
      </c>
      <c r="D4" s="183">
        <f>'Data Sheet'!D57</f>
        <v/>
      </c>
      <c r="E4" s="183">
        <f>'Data Sheet'!E57</f>
        <v/>
      </c>
      <c r="F4" s="183">
        <f>'Data Sheet'!F57</f>
        <v/>
      </c>
      <c r="G4" s="183">
        <f>'Data Sheet'!G57</f>
        <v/>
      </c>
      <c r="H4" s="183">
        <f>'Data Sheet'!H57</f>
        <v/>
      </c>
      <c r="I4" s="183">
        <f>'Data Sheet'!I57</f>
        <v/>
      </c>
      <c r="J4" s="183">
        <f>'Data Sheet'!J57</f>
        <v/>
      </c>
      <c r="K4" s="183">
        <f>'Data Sheet'!K57</f>
        <v/>
      </c>
    </row>
    <row r="5" s="171">
      <c r="A5" t="inlineStr">
        <is>
          <t>Reserves</t>
        </is>
      </c>
      <c r="B5" s="183">
        <f>'Data Sheet'!B58</f>
        <v/>
      </c>
      <c r="C5" s="183">
        <f>'Data Sheet'!C58</f>
        <v/>
      </c>
      <c r="D5" s="183">
        <f>'Data Sheet'!D58</f>
        <v/>
      </c>
      <c r="E5" s="183">
        <f>'Data Sheet'!E58</f>
        <v/>
      </c>
      <c r="F5" s="183">
        <f>'Data Sheet'!F58</f>
        <v/>
      </c>
      <c r="G5" s="183">
        <f>'Data Sheet'!G58</f>
        <v/>
      </c>
      <c r="H5" s="183">
        <f>'Data Sheet'!H58</f>
        <v/>
      </c>
      <c r="I5" s="183">
        <f>'Data Sheet'!I58</f>
        <v/>
      </c>
      <c r="J5" s="183">
        <f>'Data Sheet'!J58</f>
        <v/>
      </c>
      <c r="K5" s="183">
        <f>'Data Sheet'!K58</f>
        <v/>
      </c>
    </row>
    <row r="6">
      <c r="A6" t="inlineStr">
        <is>
          <t>Borrowings</t>
        </is>
      </c>
      <c r="B6" s="183">
        <f>'Data Sheet'!B59</f>
        <v/>
      </c>
      <c r="C6" s="183">
        <f>'Data Sheet'!C59</f>
        <v/>
      </c>
      <c r="D6" s="183">
        <f>'Data Sheet'!D59</f>
        <v/>
      </c>
      <c r="E6" s="183">
        <f>'Data Sheet'!E59</f>
        <v/>
      </c>
      <c r="F6" s="183">
        <f>'Data Sheet'!F59</f>
        <v/>
      </c>
      <c r="G6" s="183">
        <f>'Data Sheet'!G59</f>
        <v/>
      </c>
      <c r="H6" s="183">
        <f>'Data Sheet'!H59</f>
        <v/>
      </c>
      <c r="I6" s="183">
        <f>'Data Sheet'!I59</f>
        <v/>
      </c>
      <c r="J6" s="183">
        <f>'Data Sheet'!J59</f>
        <v/>
      </c>
      <c r="K6" s="183">
        <f>'Data Sheet'!K59</f>
        <v/>
      </c>
    </row>
    <row r="7" s="171">
      <c r="A7" t="inlineStr">
        <is>
          <t>Other Liabilities</t>
        </is>
      </c>
      <c r="B7" s="183">
        <f>'Data Sheet'!B60</f>
        <v/>
      </c>
      <c r="C7" s="183">
        <f>'Data Sheet'!C60</f>
        <v/>
      </c>
      <c r="D7" s="183">
        <f>'Data Sheet'!D60</f>
        <v/>
      </c>
      <c r="E7" s="183">
        <f>'Data Sheet'!E60</f>
        <v/>
      </c>
      <c r="F7" s="183">
        <f>'Data Sheet'!F60</f>
        <v/>
      </c>
      <c r="G7" s="183">
        <f>'Data Sheet'!G60</f>
        <v/>
      </c>
      <c r="H7" s="183">
        <f>'Data Sheet'!H60</f>
        <v/>
      </c>
      <c r="I7" s="183">
        <f>'Data Sheet'!I60</f>
        <v/>
      </c>
      <c r="J7" s="183">
        <f>'Data Sheet'!J60</f>
        <v/>
      </c>
      <c r="K7" s="183">
        <f>'Data Sheet'!K60</f>
        <v/>
      </c>
    </row>
    <row r="8" customFormat="1" s="37">
      <c r="A8" s="37" t="inlineStr">
        <is>
          <t>Total</t>
        </is>
      </c>
      <c r="B8" s="184">
        <f>'Data Sheet'!B61</f>
        <v/>
      </c>
      <c r="C8" s="184">
        <f>'Data Sheet'!C61</f>
        <v/>
      </c>
      <c r="D8" s="184">
        <f>'Data Sheet'!D61</f>
        <v/>
      </c>
      <c r="E8" s="184">
        <f>'Data Sheet'!E61</f>
        <v/>
      </c>
      <c r="F8" s="184">
        <f>'Data Sheet'!F61</f>
        <v/>
      </c>
      <c r="G8" s="184">
        <f>'Data Sheet'!G61</f>
        <v/>
      </c>
      <c r="H8" s="184">
        <f>'Data Sheet'!H61</f>
        <v/>
      </c>
      <c r="I8" s="184">
        <f>'Data Sheet'!I61</f>
        <v/>
      </c>
      <c r="J8" s="184">
        <f>'Data Sheet'!J61</f>
        <v/>
      </c>
      <c r="K8" s="184">
        <f>'Data Sheet'!K61</f>
        <v/>
      </c>
    </row>
    <row r="9" customFormat="1" s="37">
      <c r="B9" s="184" t="n"/>
      <c r="C9" s="184" t="n"/>
      <c r="D9" s="184" t="n"/>
      <c r="E9" s="184" t="n"/>
      <c r="F9" s="184" t="n"/>
      <c r="G9" s="184" t="n"/>
      <c r="H9" s="184" t="n"/>
      <c r="I9" s="184" t="n"/>
      <c r="J9" s="184" t="n"/>
      <c r="K9" s="184" t="n"/>
    </row>
    <row r="10">
      <c r="A10" t="inlineStr">
        <is>
          <t>Net Block</t>
        </is>
      </c>
      <c r="B10" s="183">
        <f>'Data Sheet'!B62</f>
        <v/>
      </c>
      <c r="C10" s="183">
        <f>'Data Sheet'!C62</f>
        <v/>
      </c>
      <c r="D10" s="183">
        <f>'Data Sheet'!D62</f>
        <v/>
      </c>
      <c r="E10" s="183">
        <f>'Data Sheet'!E62</f>
        <v/>
      </c>
      <c r="F10" s="183">
        <f>'Data Sheet'!F62</f>
        <v/>
      </c>
      <c r="G10" s="183">
        <f>'Data Sheet'!G62</f>
        <v/>
      </c>
      <c r="H10" s="183">
        <f>'Data Sheet'!H62</f>
        <v/>
      </c>
      <c r="I10" s="183">
        <f>'Data Sheet'!I62</f>
        <v/>
      </c>
      <c r="J10" s="183">
        <f>'Data Sheet'!J62</f>
        <v/>
      </c>
      <c r="K10" s="183">
        <f>'Data Sheet'!K62</f>
        <v/>
      </c>
    </row>
    <row r="11">
      <c r="A11" t="inlineStr">
        <is>
          <t>Capital Work in Progress</t>
        </is>
      </c>
      <c r="B11" s="183">
        <f>'Data Sheet'!B63</f>
        <v/>
      </c>
      <c r="C11" s="183">
        <f>'Data Sheet'!C63</f>
        <v/>
      </c>
      <c r="D11" s="183">
        <f>'Data Sheet'!D63</f>
        <v/>
      </c>
      <c r="E11" s="183">
        <f>'Data Sheet'!E63</f>
        <v/>
      </c>
      <c r="F11" s="183">
        <f>'Data Sheet'!F63</f>
        <v/>
      </c>
      <c r="G11" s="183">
        <f>'Data Sheet'!G63</f>
        <v/>
      </c>
      <c r="H11" s="183">
        <f>'Data Sheet'!H63</f>
        <v/>
      </c>
      <c r="I11" s="183">
        <f>'Data Sheet'!I63</f>
        <v/>
      </c>
      <c r="J11" s="183">
        <f>'Data Sheet'!J63</f>
        <v/>
      </c>
      <c r="K11" s="183">
        <f>'Data Sheet'!K63</f>
        <v/>
      </c>
    </row>
    <row r="12">
      <c r="A12" t="inlineStr">
        <is>
          <t>Investments</t>
        </is>
      </c>
      <c r="B12" s="183">
        <f>'Data Sheet'!B64</f>
        <v/>
      </c>
      <c r="C12" s="183">
        <f>'Data Sheet'!C64</f>
        <v/>
      </c>
      <c r="D12" s="183">
        <f>'Data Sheet'!D64</f>
        <v/>
      </c>
      <c r="E12" s="183">
        <f>'Data Sheet'!E64</f>
        <v/>
      </c>
      <c r="F12" s="183">
        <f>'Data Sheet'!F64</f>
        <v/>
      </c>
      <c r="G12" s="183">
        <f>'Data Sheet'!G64</f>
        <v/>
      </c>
      <c r="H12" s="183">
        <f>'Data Sheet'!H64</f>
        <v/>
      </c>
      <c r="I12" s="183">
        <f>'Data Sheet'!I64</f>
        <v/>
      </c>
      <c r="J12" s="183">
        <f>'Data Sheet'!J64</f>
        <v/>
      </c>
      <c r="K12" s="183">
        <f>'Data Sheet'!K64</f>
        <v/>
      </c>
    </row>
    <row r="13">
      <c r="A13" t="inlineStr">
        <is>
          <t>Other Assets</t>
        </is>
      </c>
      <c r="B13" s="183">
        <f>'Data Sheet'!B65</f>
        <v/>
      </c>
      <c r="C13" s="183">
        <f>'Data Sheet'!C65</f>
        <v/>
      </c>
      <c r="D13" s="183">
        <f>'Data Sheet'!D65</f>
        <v/>
      </c>
      <c r="E13" s="183">
        <f>'Data Sheet'!E65</f>
        <v/>
      </c>
      <c r="F13" s="183">
        <f>'Data Sheet'!F65</f>
        <v/>
      </c>
      <c r="G13" s="183">
        <f>'Data Sheet'!G65</f>
        <v/>
      </c>
      <c r="H13" s="183">
        <f>'Data Sheet'!H65</f>
        <v/>
      </c>
      <c r="I13" s="183">
        <f>'Data Sheet'!I65</f>
        <v/>
      </c>
      <c r="J13" s="183">
        <f>'Data Sheet'!J65</f>
        <v/>
      </c>
      <c r="K13" s="183">
        <f>'Data Sheet'!K65</f>
        <v/>
      </c>
    </row>
    <row r="14" customFormat="1" s="37">
      <c r="A14" s="37" t="inlineStr">
        <is>
          <t>Total</t>
        </is>
      </c>
      <c r="B14" s="183">
        <f>'Data Sheet'!B66</f>
        <v/>
      </c>
      <c r="C14" s="183">
        <f>'Data Sheet'!C66</f>
        <v/>
      </c>
      <c r="D14" s="183">
        <f>'Data Sheet'!D66</f>
        <v/>
      </c>
      <c r="E14" s="183">
        <f>'Data Sheet'!E66</f>
        <v/>
      </c>
      <c r="F14" s="183">
        <f>'Data Sheet'!F66</f>
        <v/>
      </c>
      <c r="G14" s="183">
        <f>'Data Sheet'!G66</f>
        <v/>
      </c>
      <c r="H14" s="183">
        <f>'Data Sheet'!H66</f>
        <v/>
      </c>
      <c r="I14" s="183">
        <f>'Data Sheet'!I66</f>
        <v/>
      </c>
      <c r="J14" s="183">
        <f>'Data Sheet'!J66</f>
        <v/>
      </c>
      <c r="K14" s="183">
        <f>'Data Sheet'!K66</f>
        <v/>
      </c>
    </row>
    <row r="15">
      <c r="B15" s="185" t="n"/>
      <c r="C15" s="185" t="n"/>
      <c r="D15" s="185" t="n"/>
      <c r="E15" s="185" t="n"/>
      <c r="F15" s="185" t="n"/>
      <c r="G15" s="185" t="n"/>
      <c r="H15" s="185" t="n"/>
      <c r="I15" s="185" t="n"/>
      <c r="J15" s="185" t="n"/>
      <c r="K15" s="185" t="n"/>
    </row>
    <row r="16">
      <c r="A16" t="inlineStr">
        <is>
          <t>Working Capital</t>
        </is>
      </c>
      <c r="B16" s="185">
        <f>B13-B7</f>
        <v/>
      </c>
      <c r="C16" s="185">
        <f>C13-C7</f>
        <v/>
      </c>
      <c r="D16" s="185">
        <f>D13-D7</f>
        <v/>
      </c>
      <c r="E16" s="185">
        <f>E13-E7</f>
        <v/>
      </c>
      <c r="F16" s="185">
        <f>F13-F7</f>
        <v/>
      </c>
      <c r="G16" s="185">
        <f>G13-G7</f>
        <v/>
      </c>
      <c r="H16" s="185">
        <f>H13-H7</f>
        <v/>
      </c>
      <c r="I16" s="185">
        <f>I13-I7</f>
        <v/>
      </c>
      <c r="J16" s="185">
        <f>J13-J7</f>
        <v/>
      </c>
      <c r="K16" s="185">
        <f>K13-K7</f>
        <v/>
      </c>
    </row>
    <row r="17">
      <c r="A17" t="inlineStr">
        <is>
          <t>Debtors</t>
        </is>
      </c>
      <c r="B17" s="185">
        <f>'Data Sheet'!B67</f>
        <v/>
      </c>
      <c r="C17" s="185">
        <f>'Data Sheet'!C67</f>
        <v/>
      </c>
      <c r="D17" s="185">
        <f>'Data Sheet'!D67</f>
        <v/>
      </c>
      <c r="E17" s="185">
        <f>'Data Sheet'!E67</f>
        <v/>
      </c>
      <c r="F17" s="185">
        <f>'Data Sheet'!F67</f>
        <v/>
      </c>
      <c r="G17" s="185">
        <f>'Data Sheet'!G67</f>
        <v/>
      </c>
      <c r="H17" s="185">
        <f>'Data Sheet'!H67</f>
        <v/>
      </c>
      <c r="I17" s="185">
        <f>'Data Sheet'!I67</f>
        <v/>
      </c>
      <c r="J17" s="185">
        <f>'Data Sheet'!J67</f>
        <v/>
      </c>
      <c r="K17" s="185">
        <f>'Data Sheet'!K67</f>
        <v/>
      </c>
    </row>
    <row r="18">
      <c r="A18" t="inlineStr">
        <is>
          <t>Inventory</t>
        </is>
      </c>
      <c r="B18" s="185">
        <f>'Data Sheet'!B68</f>
        <v/>
      </c>
      <c r="C18" s="185">
        <f>'Data Sheet'!C68</f>
        <v/>
      </c>
      <c r="D18" s="185">
        <f>'Data Sheet'!D68</f>
        <v/>
      </c>
      <c r="E18" s="185">
        <f>'Data Sheet'!E68</f>
        <v/>
      </c>
      <c r="F18" s="185">
        <f>'Data Sheet'!F68</f>
        <v/>
      </c>
      <c r="G18" s="185">
        <f>'Data Sheet'!G68</f>
        <v/>
      </c>
      <c r="H18" s="185">
        <f>'Data Sheet'!H68</f>
        <v/>
      </c>
      <c r="I18" s="185">
        <f>'Data Sheet'!I68</f>
        <v/>
      </c>
      <c r="J18" s="185">
        <f>'Data Sheet'!J68</f>
        <v/>
      </c>
      <c r="K18" s="185">
        <f>'Data Sheet'!K68</f>
        <v/>
      </c>
    </row>
    <row r="20">
      <c r="A20" t="inlineStr">
        <is>
          <t>Debtor Days</t>
        </is>
      </c>
      <c r="B20" s="185">
        <f>IF('Profit &amp; Loss'!B4&gt;0,'Balance Sheet'!B17/('Profit &amp; Loss'!B4/365),0)</f>
        <v/>
      </c>
      <c r="C20" s="185">
        <f>IF('Profit &amp; Loss'!C4&gt;0,'Balance Sheet'!C17/('Profit &amp; Loss'!C4/365),0)</f>
        <v/>
      </c>
      <c r="D20" s="185">
        <f>IF('Profit &amp; Loss'!D4&gt;0,'Balance Sheet'!D17/('Profit &amp; Loss'!D4/365),0)</f>
        <v/>
      </c>
      <c r="E20" s="185">
        <f>IF('Profit &amp; Loss'!E4&gt;0,'Balance Sheet'!E17/('Profit &amp; Loss'!E4/365),0)</f>
        <v/>
      </c>
      <c r="F20" s="185">
        <f>IF('Profit &amp; Loss'!F4&gt;0,'Balance Sheet'!F17/('Profit &amp; Loss'!F4/365),0)</f>
        <v/>
      </c>
      <c r="G20" s="185">
        <f>IF('Profit &amp; Loss'!G4&gt;0,'Balance Sheet'!G17/('Profit &amp; Loss'!G4/365),0)</f>
        <v/>
      </c>
      <c r="H20" s="185">
        <f>IF('Profit &amp; Loss'!H4&gt;0,'Balance Sheet'!H17/('Profit &amp; Loss'!H4/365),0)</f>
        <v/>
      </c>
      <c r="I20" s="185">
        <f>IF('Profit &amp; Loss'!I4&gt;0,'Balance Sheet'!I17/('Profit &amp; Loss'!I4/365),0)</f>
        <v/>
      </c>
      <c r="J20" s="185">
        <f>IF('Profit &amp; Loss'!J4&gt;0,'Balance Sheet'!J17/('Profit &amp; Loss'!J4/365),0)</f>
        <v/>
      </c>
      <c r="K20" s="185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85">
        <f>IF('Balance Sheet'!B18&gt;0,'Profit &amp; Loss'!B4/'Balance Sheet'!B18,0)</f>
        <v/>
      </c>
      <c r="C21" s="185">
        <f>IF('Balance Sheet'!C18&gt;0,'Profit &amp; Loss'!C4/'Balance Sheet'!C18,0)</f>
        <v/>
      </c>
      <c r="D21" s="185">
        <f>IF('Balance Sheet'!D18&gt;0,'Profit &amp; Loss'!D4/'Balance Sheet'!D18,0)</f>
        <v/>
      </c>
      <c r="E21" s="185">
        <f>IF('Balance Sheet'!E18&gt;0,'Profit &amp; Loss'!E4/'Balance Sheet'!E18,0)</f>
        <v/>
      </c>
      <c r="F21" s="185">
        <f>IF('Balance Sheet'!F18&gt;0,'Profit &amp; Loss'!F4/'Balance Sheet'!F18,0)</f>
        <v/>
      </c>
      <c r="G21" s="185">
        <f>IF('Balance Sheet'!G18&gt;0,'Profit &amp; Loss'!G4/'Balance Sheet'!G18,0)</f>
        <v/>
      </c>
      <c r="H21" s="185">
        <f>IF('Balance Sheet'!H18&gt;0,'Profit &amp; Loss'!H4/'Balance Sheet'!H18,0)</f>
        <v/>
      </c>
      <c r="I21" s="185">
        <f>IF('Balance Sheet'!I18&gt;0,'Profit &amp; Loss'!I4/'Balance Sheet'!I18,0)</f>
        <v/>
      </c>
      <c r="J21" s="185">
        <f>IF('Balance Sheet'!J18&gt;0,'Profit &amp; Loss'!J4/'Balance Sheet'!J18,0)</f>
        <v/>
      </c>
      <c r="K21" s="185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1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1" min="1" max="1"/>
    <col width="13.44140625" customWidth="1" style="171" min="2" max="6"/>
    <col width="13.44140625" bestFit="1" customWidth="1" style="171" min="7" max="11"/>
    <col width="8.77734375" customWidth="1" style="171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9">
        <f>'Data Sheet'!B82</f>
        <v/>
      </c>
      <c r="C4" s="179">
        <f>'Data Sheet'!C82</f>
        <v/>
      </c>
      <c r="D4" s="179">
        <f>'Data Sheet'!D82</f>
        <v/>
      </c>
      <c r="E4" s="179">
        <f>'Data Sheet'!E82</f>
        <v/>
      </c>
      <c r="F4" s="179">
        <f>'Data Sheet'!F82</f>
        <v/>
      </c>
      <c r="G4" s="179">
        <f>'Data Sheet'!G82</f>
        <v/>
      </c>
      <c r="H4" s="179">
        <f>'Data Sheet'!H82</f>
        <v/>
      </c>
      <c r="I4" s="179">
        <f>'Data Sheet'!I82</f>
        <v/>
      </c>
      <c r="J4" s="179">
        <f>'Data Sheet'!J82</f>
        <v/>
      </c>
      <c r="K4" s="179">
        <f>'Data Sheet'!K82</f>
        <v/>
      </c>
    </row>
    <row r="5">
      <c r="A5" t="inlineStr">
        <is>
          <t>Cash from Investing Activity</t>
        </is>
      </c>
      <c r="B5" s="180">
        <f>'Data Sheet'!B83</f>
        <v/>
      </c>
      <c r="C5" s="180">
        <f>'Data Sheet'!C83</f>
        <v/>
      </c>
      <c r="D5" s="180">
        <f>'Data Sheet'!D83</f>
        <v/>
      </c>
      <c r="E5" s="180">
        <f>'Data Sheet'!E83</f>
        <v/>
      </c>
      <c r="F5" s="180">
        <f>'Data Sheet'!F83</f>
        <v/>
      </c>
      <c r="G5" s="180">
        <f>'Data Sheet'!G83</f>
        <v/>
      </c>
      <c r="H5" s="180">
        <f>'Data Sheet'!H83</f>
        <v/>
      </c>
      <c r="I5" s="180">
        <f>'Data Sheet'!I83</f>
        <v/>
      </c>
      <c r="J5" s="180">
        <f>'Data Sheet'!J83</f>
        <v/>
      </c>
      <c r="K5" s="180">
        <f>'Data Sheet'!K83</f>
        <v/>
      </c>
    </row>
    <row r="6">
      <c r="A6" t="inlineStr">
        <is>
          <t>Cash from Financing Activity</t>
        </is>
      </c>
      <c r="B6" s="180">
        <f>'Data Sheet'!B84</f>
        <v/>
      </c>
      <c r="C6" s="180">
        <f>'Data Sheet'!C84</f>
        <v/>
      </c>
      <c r="D6" s="180">
        <f>'Data Sheet'!D84</f>
        <v/>
      </c>
      <c r="E6" s="180">
        <f>'Data Sheet'!E84</f>
        <v/>
      </c>
      <c r="F6" s="180">
        <f>'Data Sheet'!F84</f>
        <v/>
      </c>
      <c r="G6" s="180">
        <f>'Data Sheet'!G84</f>
        <v/>
      </c>
      <c r="H6" s="180">
        <f>'Data Sheet'!H84</f>
        <v/>
      </c>
      <c r="I6" s="180">
        <f>'Data Sheet'!I84</f>
        <v/>
      </c>
      <c r="J6" s="180">
        <f>'Data Sheet'!J84</f>
        <v/>
      </c>
      <c r="K6" s="180">
        <f>'Data Sheet'!K84</f>
        <v/>
      </c>
    </row>
    <row r="7" customFormat="1" s="37">
      <c r="A7" s="37" t="inlineStr">
        <is>
          <t>Net Cash Flow</t>
        </is>
      </c>
      <c r="B7" s="179">
        <f>'Data Sheet'!B85</f>
        <v/>
      </c>
      <c r="C7" s="179">
        <f>'Data Sheet'!C85</f>
        <v/>
      </c>
      <c r="D7" s="179">
        <f>'Data Sheet'!D85</f>
        <v/>
      </c>
      <c r="E7" s="179">
        <f>'Data Sheet'!E85</f>
        <v/>
      </c>
      <c r="F7" s="179">
        <f>'Data Sheet'!F85</f>
        <v/>
      </c>
      <c r="G7" s="179">
        <f>'Data Sheet'!G85</f>
        <v/>
      </c>
      <c r="H7" s="179">
        <f>'Data Sheet'!H85</f>
        <v/>
      </c>
      <c r="I7" s="179">
        <f>'Data Sheet'!I85</f>
        <v/>
      </c>
      <c r="J7" s="179">
        <f>'Data Sheet'!J85</f>
        <v/>
      </c>
      <c r="K7" s="179">
        <f>'Data Sheet'!K85</f>
        <v/>
      </c>
    </row>
    <row r="8"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</row>
    <row r="24" s="171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1" min="2" max="2"/>
    <col width="13.33203125" customWidth="1" style="26" min="3" max="3"/>
    <col width="8.77734375" customWidth="1" style="171" min="4" max="5"/>
    <col width="6.77734375" customWidth="1" style="171" min="6" max="6"/>
    <col width="8.77734375" customWidth="1" style="171" min="7" max="16384"/>
  </cols>
  <sheetData>
    <row r="1" ht="21" customHeight="1" s="171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1" min="1" max="1"/>
    <col width="27.33203125" customWidth="1" style="171" min="2" max="2"/>
    <col width="9.6640625" bestFit="1" customWidth="1" style="171" min="3" max="3"/>
  </cols>
  <sheetData>
    <row r="2">
      <c r="B2" s="161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1"/>
    <row r="6">
      <c r="B6" s="186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87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87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87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87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87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87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87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87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87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87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87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87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87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87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87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1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1"/>
    <row r="27">
      <c r="B27" s="186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87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87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87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87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86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87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87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87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87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87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87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87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85" min="1" max="1"/>
    <col width="13.44140625" bestFit="1" customWidth="1" style="185" min="2" max="11"/>
    <col width="8.77734375" customWidth="1" style="185" min="12" max="16384"/>
  </cols>
  <sheetData>
    <row r="1" customFormat="1" s="179">
      <c r="A1" s="179" t="inlineStr">
        <is>
          <t>COMPANY NAME</t>
        </is>
      </c>
      <c r="B1" s="179" t="inlineStr">
        <is>
          <t>ADANI ENTERPRISES LTD</t>
        </is>
      </c>
      <c r="E1" s="188">
        <f>IF(B2&lt;&gt;B3, "A NEW VERSION OF THE WORKSHEET IS AVAILABLE", "")</f>
        <v/>
      </c>
    </row>
    <row r="2">
      <c r="A2" s="179" t="inlineStr">
        <is>
          <t>LATEST VERSION</t>
        </is>
      </c>
      <c r="B2" s="185" t="n">
        <v>2.1</v>
      </c>
      <c r="E2" s="189" t="inlineStr">
        <is>
          <t>PLEASE DO NOT MAKE ANY CHANGES TO THIS SHEET</t>
        </is>
      </c>
    </row>
    <row r="3">
      <c r="A3" s="179" t="inlineStr">
        <is>
          <t>CURRENT VERSION</t>
        </is>
      </c>
      <c r="B3" s="185" t="n">
        <v>2.1</v>
      </c>
    </row>
    <row r="4">
      <c r="A4" s="179" t="n"/>
    </row>
    <row r="5">
      <c r="A5" s="179" t="inlineStr">
        <is>
          <t>META</t>
        </is>
      </c>
    </row>
    <row r="6">
      <c r="A6" s="185" t="inlineStr">
        <is>
          <t>Number of shares</t>
        </is>
      </c>
      <c r="B6" s="185">
        <f>IF(B9&gt;0, B9/B8, 0)</f>
        <v/>
      </c>
    </row>
    <row r="7">
      <c r="A7" s="185" t="inlineStr">
        <is>
          <t>Face Value</t>
        </is>
      </c>
      <c r="B7" t="n">
        <v>1</v>
      </c>
    </row>
    <row r="8">
      <c r="A8" s="185" t="inlineStr">
        <is>
          <t>Current Price</t>
        </is>
      </c>
      <c r="B8" t="n">
        <v>2999</v>
      </c>
    </row>
    <row r="9">
      <c r="A9" s="185" t="inlineStr">
        <is>
          <t>Market Capitalization</t>
        </is>
      </c>
      <c r="B9" t="n">
        <v>405442.9999999999</v>
      </c>
    </row>
    <row r="15">
      <c r="A15" s="179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0">
      <c r="A17" s="180" t="inlineStr">
        <is>
          <t>Sales</t>
        </is>
      </c>
      <c r="B17" t="n">
        <v>36532.86</v>
      </c>
      <c r="C17" t="n">
        <v>35923.92</v>
      </c>
      <c r="D17" t="n">
        <v>40378.66</v>
      </c>
      <c r="E17" t="n">
        <v>43402.56</v>
      </c>
      <c r="F17" t="n">
        <v>39537.13</v>
      </c>
      <c r="G17" t="n">
        <v>69420.17999999999</v>
      </c>
      <c r="H17" t="n">
        <v>127539.5</v>
      </c>
      <c r="I17" t="n">
        <v>96420.98</v>
      </c>
      <c r="J17" t="n">
        <v>97894.75</v>
      </c>
      <c r="K17" t="n">
        <v>100468.61</v>
      </c>
    </row>
    <row r="18" customFormat="1" s="180">
      <c r="A18" s="185" t="inlineStr">
        <is>
          <t>Raw Material Cost</t>
        </is>
      </c>
      <c r="B18" t="n">
        <v>30945.16</v>
      </c>
      <c r="C18" t="n">
        <v>30771.08</v>
      </c>
      <c r="D18" t="n">
        <v>33821.4</v>
      </c>
      <c r="E18" t="n">
        <v>34350.2</v>
      </c>
      <c r="F18" t="n">
        <v>29791.08</v>
      </c>
      <c r="G18" t="n">
        <v>57651.32</v>
      </c>
      <c r="H18" t="n">
        <v>93814.06</v>
      </c>
      <c r="I18" t="n">
        <v>51507.72</v>
      </c>
      <c r="J18" t="n">
        <v>49524.73</v>
      </c>
      <c r="K18" t="n">
        <v>56933.41</v>
      </c>
    </row>
    <row r="19" customFormat="1" s="180">
      <c r="A19" s="185" t="inlineStr">
        <is>
          <t>Change in Inventory</t>
        </is>
      </c>
      <c r="B19" t="n">
        <v>-36.38</v>
      </c>
      <c r="C19" t="n">
        <v>772.74</v>
      </c>
      <c r="D19" t="n">
        <v>499.99</v>
      </c>
      <c r="E19" t="n">
        <v>-310.13</v>
      </c>
      <c r="F19" t="n">
        <v>-456.74</v>
      </c>
      <c r="G19" t="n">
        <v>3933.82</v>
      </c>
      <c r="H19" t="n">
        <v>327.16</v>
      </c>
      <c r="I19" t="n">
        <v>1116.49</v>
      </c>
      <c r="J19" t="n">
        <v>-1844.54</v>
      </c>
      <c r="K19" t="n">
        <v>2824.59</v>
      </c>
    </row>
    <row r="20" customFormat="1" s="180">
      <c r="A20" s="185" t="inlineStr">
        <is>
          <t>Power and Fuel</t>
        </is>
      </c>
      <c r="B20" t="n">
        <v>7.42</v>
      </c>
      <c r="C20" t="n">
        <v>2.91</v>
      </c>
      <c r="D20" t="n">
        <v>5.74</v>
      </c>
      <c r="E20" t="n">
        <v>12.22</v>
      </c>
      <c r="F20" t="n">
        <v>13.4</v>
      </c>
      <c r="G20" t="n">
        <v>58.98</v>
      </c>
      <c r="H20" t="n">
        <v>18.42</v>
      </c>
      <c r="I20" t="n">
        <v>26.46</v>
      </c>
      <c r="J20" t="n">
        <v>2037.48</v>
      </c>
      <c r="K20" t="n">
        <v>2142.7</v>
      </c>
    </row>
    <row r="21" customFormat="1" s="180">
      <c r="A21" s="185" t="inlineStr">
        <is>
          <t>Other Mfr. Exp</t>
        </is>
      </c>
      <c r="B21" t="n">
        <v>1910.37</v>
      </c>
      <c r="C21" t="n">
        <v>2204.89</v>
      </c>
      <c r="D21" t="n">
        <v>2551.28</v>
      </c>
      <c r="E21" t="n">
        <v>3115.25</v>
      </c>
      <c r="F21" t="n">
        <v>4357.88</v>
      </c>
      <c r="G21" t="n">
        <v>7793.57</v>
      </c>
      <c r="H21" t="n">
        <v>14377.83</v>
      </c>
      <c r="I21" t="n">
        <v>22793.04</v>
      </c>
      <c r="J21" t="n">
        <v>16964.51</v>
      </c>
      <c r="K21" t="n">
        <v>15610.12</v>
      </c>
    </row>
    <row r="22" customFormat="1" s="180">
      <c r="A22" s="185" t="inlineStr">
        <is>
          <t>Employee Cost</t>
        </is>
      </c>
      <c r="B22" t="n">
        <v>511.48</v>
      </c>
      <c r="C22" t="n">
        <v>568.97</v>
      </c>
      <c r="D22" t="n">
        <v>657.1799999999999</v>
      </c>
      <c r="E22" t="n">
        <v>683.28</v>
      </c>
      <c r="F22" t="n">
        <v>830.36</v>
      </c>
      <c r="G22" t="n">
        <v>1182.1</v>
      </c>
      <c r="H22" t="n">
        <v>1879.07</v>
      </c>
      <c r="I22" t="n">
        <v>2332.96</v>
      </c>
      <c r="J22" t="n">
        <v>3121.84</v>
      </c>
      <c r="K22" t="n">
        <v>3661.56</v>
      </c>
    </row>
    <row r="23" customFormat="1" s="180">
      <c r="A23" s="185" t="inlineStr">
        <is>
          <t>Selling and admin</t>
        </is>
      </c>
      <c r="B23" t="n">
        <v>1004.69</v>
      </c>
      <c r="C23" t="n">
        <v>928.28</v>
      </c>
      <c r="D23" t="n">
        <v>1230.62</v>
      </c>
      <c r="E23" t="n">
        <v>1954.57</v>
      </c>
      <c r="F23" t="n">
        <v>1306.48</v>
      </c>
      <c r="G23" t="n">
        <v>2412.38</v>
      </c>
      <c r="H23" t="n">
        <v>8135.29</v>
      </c>
      <c r="I23" t="n">
        <v>8272.860000000001</v>
      </c>
      <c r="J23" t="n">
        <v>9245.98</v>
      </c>
      <c r="K23" t="n">
        <v>9817.24</v>
      </c>
    </row>
    <row r="24" customFormat="1" s="180">
      <c r="A24" s="185" t="inlineStr">
        <is>
          <t>Other Expenses</t>
        </is>
      </c>
      <c r="B24" t="n">
        <v>215.13</v>
      </c>
      <c r="C24" t="n">
        <v>182.82</v>
      </c>
      <c r="D24" t="n">
        <v>643.09</v>
      </c>
      <c r="E24" t="n">
        <v>682.52</v>
      </c>
      <c r="F24" t="n">
        <v>275.54</v>
      </c>
      <c r="G24" t="n">
        <v>542.05</v>
      </c>
      <c r="H24" t="n">
        <v>824.3</v>
      </c>
      <c r="I24" t="n">
        <v>1227.83</v>
      </c>
      <c r="J24" t="n">
        <v>903.64</v>
      </c>
      <c r="K24" t="n">
        <v>1137.39</v>
      </c>
    </row>
    <row r="25" customFormat="1" s="180">
      <c r="A25" s="180" t="inlineStr">
        <is>
          <t>Other Income</t>
        </is>
      </c>
      <c r="B25" t="n">
        <v>749.41</v>
      </c>
      <c r="C25" t="n">
        <v>363.21</v>
      </c>
      <c r="D25" t="n">
        <v>504.22</v>
      </c>
      <c r="E25" t="n">
        <v>872.3200000000001</v>
      </c>
      <c r="F25" t="n">
        <v>494.31</v>
      </c>
      <c r="G25" t="n">
        <v>1012.11</v>
      </c>
      <c r="H25" t="n">
        <v>834.23</v>
      </c>
      <c r="I25" t="n">
        <v>1146.39</v>
      </c>
      <c r="J25" t="n">
        <v>6403.1</v>
      </c>
      <c r="K25" t="n">
        <v>11688.34</v>
      </c>
    </row>
    <row r="26" customFormat="1" s="180">
      <c r="A26" s="180" t="inlineStr">
        <is>
          <t>Depreciation</t>
        </is>
      </c>
      <c r="B26" t="n">
        <v>315.46</v>
      </c>
      <c r="C26" t="n">
        <v>663.92</v>
      </c>
      <c r="D26" t="n">
        <v>389.77</v>
      </c>
      <c r="E26" t="n">
        <v>472.06</v>
      </c>
      <c r="F26" t="n">
        <v>537.14</v>
      </c>
      <c r="G26" t="n">
        <v>1247.78</v>
      </c>
      <c r="H26" t="n">
        <v>2436.14</v>
      </c>
      <c r="I26" t="n">
        <v>3042.15</v>
      </c>
      <c r="J26" t="n">
        <v>4211.33</v>
      </c>
      <c r="K26" t="n">
        <v>6135.34</v>
      </c>
    </row>
    <row r="27" customFormat="1" s="180">
      <c r="A27" s="180" t="inlineStr">
        <is>
          <t>Interest</t>
        </is>
      </c>
      <c r="B27" t="n">
        <v>1257.31</v>
      </c>
      <c r="C27" t="n">
        <v>1250.17</v>
      </c>
      <c r="D27" t="n">
        <v>1625.07</v>
      </c>
      <c r="E27" t="n">
        <v>1572.32</v>
      </c>
      <c r="F27" t="n">
        <v>1376.85</v>
      </c>
      <c r="G27" t="n">
        <v>2525.88</v>
      </c>
      <c r="H27" t="n">
        <v>3968.9</v>
      </c>
      <c r="I27" t="n">
        <v>4554.7</v>
      </c>
      <c r="J27" t="n">
        <v>5978.02</v>
      </c>
      <c r="K27" t="n">
        <v>6019.12</v>
      </c>
    </row>
    <row r="28" customFormat="1" s="180">
      <c r="A28" s="180" t="inlineStr">
        <is>
          <t>Profit before tax</t>
        </is>
      </c>
      <c r="B28" t="n">
        <v>1078.87</v>
      </c>
      <c r="C28" t="n">
        <v>486.83</v>
      </c>
      <c r="D28" t="n">
        <v>458.72</v>
      </c>
      <c r="E28" t="n">
        <v>1122.33</v>
      </c>
      <c r="F28" t="n">
        <v>1085.97</v>
      </c>
      <c r="G28" t="n">
        <v>952.05</v>
      </c>
      <c r="H28" t="n">
        <v>3246.88</v>
      </c>
      <c r="I28" t="n">
        <v>4926.14</v>
      </c>
      <c r="J28" t="n">
        <v>10465.78</v>
      </c>
      <c r="K28" t="n">
        <v>13524.66</v>
      </c>
    </row>
    <row r="29" customFormat="1" s="180">
      <c r="A29" s="180" t="inlineStr">
        <is>
          <t>Tax</t>
        </is>
      </c>
      <c r="B29" t="n">
        <v>271.15</v>
      </c>
      <c r="C29" t="n">
        <v>112.11</v>
      </c>
      <c r="D29" t="n">
        <v>144.54</v>
      </c>
      <c r="E29" t="n">
        <v>324.33</v>
      </c>
      <c r="F29" t="n">
        <v>339.65</v>
      </c>
      <c r="G29" t="n">
        <v>476.68</v>
      </c>
      <c r="H29" t="n">
        <v>1037.94</v>
      </c>
      <c r="I29" t="n">
        <v>1631.51</v>
      </c>
      <c r="J29" t="n">
        <v>2968.52</v>
      </c>
      <c r="K29" t="n">
        <v>3831.15</v>
      </c>
    </row>
    <row r="30" customFormat="1" s="180">
      <c r="A30" s="180" t="inlineStr">
        <is>
          <t>Net profit</t>
        </is>
      </c>
      <c r="B30" t="n">
        <v>987.74</v>
      </c>
      <c r="C30" t="n">
        <v>757.25</v>
      </c>
      <c r="D30" t="n">
        <v>717.14</v>
      </c>
      <c r="E30" t="n">
        <v>1138.17</v>
      </c>
      <c r="F30" t="n">
        <v>922.64</v>
      </c>
      <c r="G30" t="n">
        <v>776.5599999999999</v>
      </c>
      <c r="H30" t="n">
        <v>2463.98</v>
      </c>
      <c r="I30" t="n">
        <v>3239.55</v>
      </c>
      <c r="J30" t="n">
        <v>7111.96</v>
      </c>
      <c r="K30" t="n">
        <v>9339.469999999999</v>
      </c>
    </row>
    <row r="31" customFormat="1" s="180">
      <c r="A31" s="180" t="inlineStr">
        <is>
          <t>Dividend Amount</t>
        </is>
      </c>
      <c r="B31" t="n">
        <v>43.99</v>
      </c>
      <c r="C31" t="n">
        <v>43.99</v>
      </c>
      <c r="D31" t="n">
        <v>43.99</v>
      </c>
      <c r="E31" t="n">
        <v>109.98</v>
      </c>
      <c r="F31" t="n">
        <v>109.98</v>
      </c>
      <c r="G31" t="n">
        <v>109.98</v>
      </c>
      <c r="H31" t="n">
        <v>136.8</v>
      </c>
      <c r="I31" t="n">
        <v>148.2</v>
      </c>
      <c r="J31" t="n">
        <v>150.05</v>
      </c>
      <c r="K31" t="n">
        <v>168.01</v>
      </c>
    </row>
    <row r="32" customFormat="1" s="180">
      <c r="A32" s="180" t="inlineStr">
        <is>
          <t>EBITDA</t>
        </is>
      </c>
      <c r="B32" s="180" t="n">
        <v>2651.64</v>
      </c>
      <c r="C32" s="180" t="n">
        <v>2400.92</v>
      </c>
      <c r="D32" s="180" t="n">
        <v>2473.56</v>
      </c>
      <c r="E32" s="180" t="n">
        <v>3166.71</v>
      </c>
      <c r="F32" s="180" t="n">
        <v>2999.96</v>
      </c>
      <c r="G32" s="180" t="n">
        <v>4725.71</v>
      </c>
      <c r="H32" s="180" t="n">
        <v>9651.92</v>
      </c>
      <c r="I32" s="180" t="n">
        <v>12522.99</v>
      </c>
      <c r="J32" s="180" t="n">
        <v>20655.13</v>
      </c>
      <c r="K32" s="180" t="n">
        <v>25679.12</v>
      </c>
    </row>
    <row r="33">
      <c r="A33" s="180" t="n"/>
    </row>
    <row r="34">
      <c r="A34" s="180" t="n"/>
    </row>
    <row r="35">
      <c r="A35" s="180" t="n"/>
    </row>
    <row r="36">
      <c r="A36" s="180" t="n"/>
    </row>
    <row r="37">
      <c r="A37" s="180" t="n"/>
    </row>
    <row r="38">
      <c r="A38" s="180" t="n"/>
    </row>
    <row r="39">
      <c r="A39" s="180" t="n"/>
    </row>
    <row r="40">
      <c r="A40" s="179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0">
      <c r="A42" s="180" t="inlineStr">
        <is>
          <t>Sales</t>
        </is>
      </c>
      <c r="B42" t="n">
        <v>29180.02</v>
      </c>
      <c r="C42" t="n">
        <v>25472.4</v>
      </c>
      <c r="D42" t="n">
        <v>22608.07</v>
      </c>
      <c r="E42" t="n">
        <v>22848.42</v>
      </c>
      <c r="F42" t="n">
        <v>26965.86</v>
      </c>
      <c r="G42" t="n">
        <v>21961.2</v>
      </c>
      <c r="H42" t="n">
        <v>21248.51</v>
      </c>
      <c r="I42" t="n">
        <v>24819.59</v>
      </c>
      <c r="J42" t="n">
        <v>32439.31</v>
      </c>
      <c r="K42" t="n">
        <v>32923.98</v>
      </c>
    </row>
    <row r="43" customFormat="1" s="180">
      <c r="A43" s="180" t="inlineStr">
        <is>
          <t>Expenses</t>
        </is>
      </c>
      <c r="B43" t="n">
        <v>25984.58</v>
      </c>
      <c r="C43" t="n">
        <v>21766.59</v>
      </c>
      <c r="D43" t="n">
        <v>18842.27</v>
      </c>
      <c r="E43" t="n">
        <v>19778.01</v>
      </c>
      <c r="F43" t="n">
        <v>23255.85</v>
      </c>
      <c r="G43" t="n">
        <v>18650.91</v>
      </c>
      <c r="H43" t="n">
        <v>17941.95</v>
      </c>
      <c r="I43" t="n">
        <v>21178.07</v>
      </c>
      <c r="J43" t="n">
        <v>28708.56</v>
      </c>
      <c r="K43" t="n">
        <v>27904.69</v>
      </c>
    </row>
    <row r="44" customFormat="1" s="180">
      <c r="A44" s="180" t="inlineStr">
        <is>
          <t>Other Income</t>
        </is>
      </c>
      <c r="B44" t="n">
        <v>-175.65</v>
      </c>
      <c r="C44" t="n">
        <v>590.5599999999999</v>
      </c>
      <c r="D44" t="n">
        <v>582.5700000000001</v>
      </c>
      <c r="E44" t="n">
        <v>648.46</v>
      </c>
      <c r="F44" t="n">
        <v>4581.51</v>
      </c>
      <c r="G44" t="n">
        <v>475.42</v>
      </c>
      <c r="H44" t="n">
        <v>4178.84</v>
      </c>
      <c r="I44" t="n">
        <v>6287.94</v>
      </c>
      <c r="J44" t="n">
        <v>747.8</v>
      </c>
      <c r="K44" t="n">
        <v>-2021.74</v>
      </c>
    </row>
    <row r="45" customFormat="1" s="180">
      <c r="A45" s="180" t="inlineStr">
        <is>
          <t>Depreciation</t>
        </is>
      </c>
      <c r="B45" t="n">
        <v>811.47</v>
      </c>
      <c r="C45" t="n">
        <v>934.08</v>
      </c>
      <c r="D45" t="n">
        <v>1035.19</v>
      </c>
      <c r="E45" t="n">
        <v>1005.65</v>
      </c>
      <c r="F45" t="n">
        <v>1236.41</v>
      </c>
      <c r="G45" t="n">
        <v>1283.95</v>
      </c>
      <c r="H45" t="n">
        <v>1376.55</v>
      </c>
      <c r="I45" t="n">
        <v>1371.59</v>
      </c>
      <c r="J45" t="n">
        <v>2103.25</v>
      </c>
      <c r="K45" t="n">
        <v>1926</v>
      </c>
    </row>
    <row r="46" customFormat="1" s="180">
      <c r="A46" s="180" t="inlineStr">
        <is>
          <t>Interest</t>
        </is>
      </c>
      <c r="B46" t="n">
        <v>1512.62</v>
      </c>
      <c r="C46" t="n">
        <v>1130.49</v>
      </c>
      <c r="D46" t="n">
        <v>909.83</v>
      </c>
      <c r="E46" t="n">
        <v>2141.32</v>
      </c>
      <c r="F46" t="n">
        <v>1796.38</v>
      </c>
      <c r="G46" t="n">
        <v>1035.48</v>
      </c>
      <c r="H46" t="n">
        <v>1711.22</v>
      </c>
      <c r="I46" t="n">
        <v>1625.94</v>
      </c>
      <c r="J46" t="n">
        <v>1646.48</v>
      </c>
      <c r="K46" t="n">
        <v>2420.93</v>
      </c>
    </row>
    <row r="47" customFormat="1" s="180">
      <c r="A47" s="180" t="inlineStr">
        <is>
          <t>Profit before tax</t>
        </is>
      </c>
      <c r="B47" t="n">
        <v>695.7</v>
      </c>
      <c r="C47" t="n">
        <v>2231.8</v>
      </c>
      <c r="D47" t="n">
        <v>2403.35</v>
      </c>
      <c r="E47" t="n">
        <v>571.9</v>
      </c>
      <c r="F47" t="n">
        <v>5258.73</v>
      </c>
      <c r="G47" t="n">
        <v>1466.28</v>
      </c>
      <c r="H47" t="n">
        <v>4397.63</v>
      </c>
      <c r="I47" t="n">
        <v>6931.93</v>
      </c>
      <c r="J47" t="n">
        <v>728.8200000000001</v>
      </c>
      <c r="K47" t="n">
        <v>-1349.38</v>
      </c>
    </row>
    <row r="48" customFormat="1" s="180">
      <c r="A48" s="180" t="inlineStr">
        <is>
          <t>Tax</t>
        </is>
      </c>
      <c r="B48" t="n">
        <v>430.12</v>
      </c>
      <c r="C48" t="n">
        <v>583.6</v>
      </c>
      <c r="D48" t="n">
        <v>512.37</v>
      </c>
      <c r="E48" t="n">
        <v>588.4400000000001</v>
      </c>
      <c r="F48" t="n">
        <v>1284.11</v>
      </c>
      <c r="G48" t="n">
        <v>571.25</v>
      </c>
      <c r="H48" t="n">
        <v>1001.07</v>
      </c>
      <c r="I48" t="n">
        <v>1405.11</v>
      </c>
      <c r="J48" t="n">
        <v>853.72</v>
      </c>
      <c r="K48" t="n">
        <v>219.04</v>
      </c>
    </row>
    <row r="49" customFormat="1" s="180">
      <c r="A49" s="180" t="inlineStr">
        <is>
          <t>Net profit</t>
        </is>
      </c>
      <c r="B49" t="n">
        <v>450.58</v>
      </c>
      <c r="C49" t="n">
        <v>1454.5</v>
      </c>
      <c r="D49" t="n">
        <v>1741.75</v>
      </c>
      <c r="E49" t="n">
        <v>57.83</v>
      </c>
      <c r="F49" t="n">
        <v>3844.91</v>
      </c>
      <c r="G49" t="n">
        <v>885.23</v>
      </c>
      <c r="H49" t="n">
        <v>3198.75</v>
      </c>
      <c r="I49" t="n">
        <v>5627.02</v>
      </c>
      <c r="J49" t="n">
        <v>-104.93</v>
      </c>
      <c r="K49" t="n">
        <v>-1160.23</v>
      </c>
    </row>
    <row r="50">
      <c r="A50" s="180" t="inlineStr">
        <is>
          <t>Operating Profit</t>
        </is>
      </c>
      <c r="B50" t="n">
        <v>3195.44</v>
      </c>
      <c r="C50" t="n">
        <v>3705.81</v>
      </c>
      <c r="D50" t="n">
        <v>3765.8</v>
      </c>
      <c r="E50" t="n">
        <v>3070.41</v>
      </c>
      <c r="F50" t="n">
        <v>3710.01</v>
      </c>
      <c r="G50" t="n">
        <v>3310.29</v>
      </c>
      <c r="H50" t="n">
        <v>3306.56</v>
      </c>
      <c r="I50" t="n">
        <v>3641.52</v>
      </c>
      <c r="J50" t="n">
        <v>3730.75</v>
      </c>
      <c r="K50" t="n">
        <v>5019.29</v>
      </c>
    </row>
    <row r="51">
      <c r="A51" s="180" t="n"/>
    </row>
    <row r="52">
      <c r="A52" s="180" t="n"/>
    </row>
    <row r="53">
      <c r="A53" s="180" t="n"/>
    </row>
    <row r="54">
      <c r="A54" s="180" t="n"/>
    </row>
    <row r="55">
      <c r="A55" s="179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0" t="inlineStr">
        <is>
          <t>Equity Share Capital</t>
        </is>
      </c>
      <c r="B57" t="n">
        <v>109.98</v>
      </c>
      <c r="C57" t="n">
        <v>109.98</v>
      </c>
      <c r="D57" t="n">
        <v>109.98</v>
      </c>
      <c r="E57" t="n">
        <v>109.98</v>
      </c>
      <c r="F57" t="n">
        <v>109.98</v>
      </c>
      <c r="G57" t="n">
        <v>109.98</v>
      </c>
      <c r="H57" t="n">
        <v>114</v>
      </c>
      <c r="I57" t="n">
        <v>114</v>
      </c>
      <c r="J57" t="n">
        <v>115.42</v>
      </c>
      <c r="K57" t="n">
        <v>129.24</v>
      </c>
    </row>
    <row r="58">
      <c r="A58" s="180" t="inlineStr">
        <is>
          <t>Reserves</t>
        </is>
      </c>
      <c r="B58" t="n">
        <v>14025.99</v>
      </c>
      <c r="C58" t="n">
        <v>14979.19</v>
      </c>
      <c r="D58" t="n">
        <v>14645.96</v>
      </c>
      <c r="E58" t="n">
        <v>16836.59</v>
      </c>
      <c r="F58" t="n">
        <v>17048.59</v>
      </c>
      <c r="G58" t="n">
        <v>22146.53</v>
      </c>
      <c r="H58" t="n">
        <v>32937.01</v>
      </c>
      <c r="I58" t="n">
        <v>38962.09</v>
      </c>
      <c r="J58" t="n">
        <v>50198.55</v>
      </c>
      <c r="K58" t="n">
        <v>80796.71000000001</v>
      </c>
    </row>
    <row r="59">
      <c r="A59" s="180" t="inlineStr">
        <is>
          <t>Borrowings</t>
        </is>
      </c>
      <c r="B59" t="n">
        <v>20845.72</v>
      </c>
      <c r="C59" t="n">
        <v>17636.69</v>
      </c>
      <c r="D59" t="n">
        <v>11243.2</v>
      </c>
      <c r="E59" t="n">
        <v>12419.3</v>
      </c>
      <c r="F59" t="n">
        <v>16227.06</v>
      </c>
      <c r="G59" t="n">
        <v>41604.03</v>
      </c>
      <c r="H59" t="n">
        <v>53200.46</v>
      </c>
      <c r="I59" t="n">
        <v>65310.15</v>
      </c>
      <c r="J59" t="n">
        <v>91472.60000000001</v>
      </c>
      <c r="K59" t="n">
        <v>106621.79</v>
      </c>
    </row>
    <row r="60">
      <c r="A60" s="180" t="inlineStr">
        <is>
          <t>Other Liabilities</t>
        </is>
      </c>
      <c r="B60" t="n">
        <v>12629.78</v>
      </c>
      <c r="C60" t="n">
        <v>23679.48</v>
      </c>
      <c r="D60" t="n">
        <v>16537.04</v>
      </c>
      <c r="E60" t="n">
        <v>17509.19</v>
      </c>
      <c r="F60" t="n">
        <v>18231.09</v>
      </c>
      <c r="G60" t="n">
        <v>37725.82</v>
      </c>
      <c r="H60" t="n">
        <v>55027.01</v>
      </c>
      <c r="I60" t="n">
        <v>56200</v>
      </c>
      <c r="J60" t="n">
        <v>56056.31</v>
      </c>
      <c r="K60" t="n">
        <v>73320.64</v>
      </c>
    </row>
    <row r="61" customFormat="1" s="179">
      <c r="A61" s="179" t="inlineStr">
        <is>
          <t>Total</t>
        </is>
      </c>
      <c r="B61" t="n">
        <v>47611.47</v>
      </c>
      <c r="C61" t="n">
        <v>56405.34</v>
      </c>
      <c r="D61" t="n">
        <v>42536.18</v>
      </c>
      <c r="E61" t="n">
        <v>46875.06</v>
      </c>
      <c r="F61" t="n">
        <v>51616.72</v>
      </c>
      <c r="G61" t="n">
        <v>101586.36</v>
      </c>
      <c r="H61" t="n">
        <v>141278.48</v>
      </c>
      <c r="I61" t="n">
        <v>160586.24</v>
      </c>
      <c r="J61" t="n">
        <v>197842.88</v>
      </c>
      <c r="K61" t="n">
        <v>260868.38</v>
      </c>
    </row>
    <row r="62">
      <c r="A62" s="180" t="inlineStr">
        <is>
          <t>Net Block</t>
        </is>
      </c>
      <c r="B62" t="n">
        <v>13667.98</v>
      </c>
      <c r="C62" t="n">
        <v>10555.19</v>
      </c>
      <c r="D62" t="n">
        <v>9020.110000000001</v>
      </c>
      <c r="E62" t="n">
        <v>10476.46</v>
      </c>
      <c r="F62" t="n">
        <v>10837.61</v>
      </c>
      <c r="G62" t="n">
        <v>30122.77</v>
      </c>
      <c r="H62" t="n">
        <v>56881.13</v>
      </c>
      <c r="I62" t="n">
        <v>65978.3</v>
      </c>
      <c r="J62" t="n">
        <v>77260.14</v>
      </c>
      <c r="K62" t="n">
        <v>115173.81</v>
      </c>
    </row>
    <row r="63">
      <c r="A63" s="180" t="inlineStr">
        <is>
          <t>Capital Work in Progress</t>
        </is>
      </c>
      <c r="B63" t="n">
        <v>7731.49</v>
      </c>
      <c r="C63" t="n">
        <v>5525.87</v>
      </c>
      <c r="D63" t="n">
        <v>5764.92</v>
      </c>
      <c r="E63" t="n">
        <v>7346.73</v>
      </c>
      <c r="F63" t="n">
        <v>8825.459999999999</v>
      </c>
      <c r="G63" t="n">
        <v>23544.42</v>
      </c>
      <c r="H63" t="n">
        <v>24025.21</v>
      </c>
      <c r="I63" t="n">
        <v>35179.5</v>
      </c>
      <c r="J63" t="n">
        <v>51515.81</v>
      </c>
      <c r="K63" t="n">
        <v>51753.42</v>
      </c>
    </row>
    <row r="64">
      <c r="A64" s="180" t="inlineStr">
        <is>
          <t>Investments</t>
        </is>
      </c>
      <c r="B64" t="n">
        <v>1041.75</v>
      </c>
      <c r="C64" t="n">
        <v>1460.72</v>
      </c>
      <c r="D64" t="n">
        <v>1511.35</v>
      </c>
      <c r="E64" t="n">
        <v>1952.49</v>
      </c>
      <c r="F64" t="n">
        <v>5502.94</v>
      </c>
      <c r="G64" t="n">
        <v>4292.21</v>
      </c>
      <c r="H64" t="n">
        <v>6310.17</v>
      </c>
      <c r="I64" t="n">
        <v>8700.690000000001</v>
      </c>
      <c r="J64" t="n">
        <v>9886.610000000001</v>
      </c>
      <c r="K64" t="n">
        <v>9428.370000000001</v>
      </c>
    </row>
    <row r="65">
      <c r="A65" s="180" t="inlineStr">
        <is>
          <t>Other Assets</t>
        </is>
      </c>
      <c r="B65" t="n">
        <v>25170.25</v>
      </c>
      <c r="C65" t="n">
        <v>38863.56</v>
      </c>
      <c r="D65" t="n">
        <v>26239.8</v>
      </c>
      <c r="E65" t="n">
        <v>27099.38</v>
      </c>
      <c r="F65" t="n">
        <v>26450.71</v>
      </c>
      <c r="G65" t="n">
        <v>43626.96</v>
      </c>
      <c r="H65" t="n">
        <v>54061.97</v>
      </c>
      <c r="I65" t="n">
        <v>50727.75</v>
      </c>
      <c r="J65" t="n">
        <v>59180.32</v>
      </c>
      <c r="K65" t="n">
        <v>84512.78</v>
      </c>
    </row>
    <row r="66" customFormat="1" s="179">
      <c r="A66" s="179" t="inlineStr">
        <is>
          <t>Total</t>
        </is>
      </c>
      <c r="B66" t="n">
        <v>47611.47</v>
      </c>
      <c r="C66" t="n">
        <v>56405.34</v>
      </c>
      <c r="D66" t="n">
        <v>42536.18</v>
      </c>
      <c r="E66" t="n">
        <v>46875.06</v>
      </c>
      <c r="F66" t="n">
        <v>51616.72</v>
      </c>
      <c r="G66" t="n">
        <v>101586.36</v>
      </c>
      <c r="H66" t="n">
        <v>141278.48</v>
      </c>
      <c r="I66" t="n">
        <v>160586.24</v>
      </c>
      <c r="J66" t="n">
        <v>197842.88</v>
      </c>
      <c r="K66" t="n">
        <v>260868.38</v>
      </c>
    </row>
    <row r="67" customFormat="1" s="180">
      <c r="A67" s="180" t="inlineStr">
        <is>
          <t>Receivables</t>
        </is>
      </c>
      <c r="B67" t="n">
        <v>12741.75</v>
      </c>
      <c r="C67" t="n">
        <v>12098.77</v>
      </c>
      <c r="D67" t="n">
        <v>14307.03</v>
      </c>
      <c r="E67" t="n">
        <v>13146.53</v>
      </c>
      <c r="F67" t="n">
        <v>11982.65</v>
      </c>
      <c r="G67" t="n">
        <v>13712.19</v>
      </c>
      <c r="H67" t="n">
        <v>12552.88</v>
      </c>
      <c r="I67" t="n">
        <v>9792.93</v>
      </c>
      <c r="J67" t="n">
        <v>9616.469999999999</v>
      </c>
      <c r="K67" t="n">
        <v>12542.61</v>
      </c>
    </row>
    <row r="68">
      <c r="A68" s="180" t="inlineStr">
        <is>
          <t>Inventory</t>
        </is>
      </c>
      <c r="B68" t="n">
        <v>1651.9</v>
      </c>
      <c r="C68" t="n">
        <v>2342.56</v>
      </c>
      <c r="D68" t="n">
        <v>2668.82</v>
      </c>
      <c r="E68" t="n">
        <v>2562.37</v>
      </c>
      <c r="F68" t="n">
        <v>1757.04</v>
      </c>
      <c r="G68" t="n">
        <v>6788.28</v>
      </c>
      <c r="H68" t="n">
        <v>6918.05</v>
      </c>
      <c r="I68" t="n">
        <v>9486.860000000001</v>
      </c>
      <c r="J68" t="n">
        <v>10287.39</v>
      </c>
      <c r="K68" t="n">
        <v>18712.98</v>
      </c>
    </row>
    <row r="69">
      <c r="A69" s="185" t="inlineStr">
        <is>
          <t>Cash &amp; Bank</t>
        </is>
      </c>
      <c r="B69" t="n">
        <v>1715.09</v>
      </c>
      <c r="C69" t="n">
        <v>1884.25</v>
      </c>
      <c r="D69" t="n">
        <v>1709.28</v>
      </c>
      <c r="E69" t="n">
        <v>3376.68</v>
      </c>
      <c r="F69" t="n">
        <v>1810.82</v>
      </c>
      <c r="G69" t="n">
        <v>3915.86</v>
      </c>
      <c r="H69" t="n">
        <v>5373.69</v>
      </c>
      <c r="I69" t="n">
        <v>7068.48</v>
      </c>
      <c r="J69" t="n">
        <v>6962.46</v>
      </c>
      <c r="K69" t="n">
        <v>21128.25</v>
      </c>
    </row>
    <row r="70">
      <c r="A70" s="185" t="inlineStr">
        <is>
          <t>No. of Equity Shares</t>
        </is>
      </c>
      <c r="B70" t="n">
        <v>1099810083</v>
      </c>
      <c r="C70" t="n">
        <v>1099810083</v>
      </c>
      <c r="D70" t="n">
        <v>1099810083</v>
      </c>
      <c r="E70" t="n">
        <v>1099810083</v>
      </c>
      <c r="F70" t="n">
        <v>1099810083</v>
      </c>
      <c r="G70" t="n">
        <v>1099810083</v>
      </c>
      <c r="H70" t="n">
        <v>1140001121</v>
      </c>
      <c r="I70" t="n">
        <v>1140001121</v>
      </c>
      <c r="J70" t="n">
        <v>1154180729</v>
      </c>
      <c r="K70" t="n">
        <v>1351927309.103034</v>
      </c>
    </row>
    <row r="71">
      <c r="A71" s="185" t="inlineStr">
        <is>
          <t>New Bonus Shares</t>
        </is>
      </c>
    </row>
    <row r="72">
      <c r="A72" s="185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180" t="n"/>
      <c r="B74" s="185" t="n">
        <v>9061.51</v>
      </c>
      <c r="C74" s="185" t="n">
        <v>22537.98</v>
      </c>
      <c r="D74" s="185" t="n">
        <v>7554.669999999998</v>
      </c>
      <c r="E74" s="185" t="n">
        <v>8013.799999999999</v>
      </c>
      <c r="F74" s="185" t="n">
        <v>10900.2</v>
      </c>
      <c r="G74" s="185" t="n">
        <v>19210.63</v>
      </c>
      <c r="H74" s="185" t="n">
        <v>29217.35</v>
      </c>
      <c r="I74" s="185" t="n">
        <v>24379.48</v>
      </c>
      <c r="J74" s="185" t="n">
        <v>32314</v>
      </c>
      <c r="K74" s="185" t="n">
        <v>41447.77</v>
      </c>
    </row>
    <row r="75">
      <c r="A75" s="180" t="inlineStr">
        <is>
          <t>Other Assets</t>
        </is>
      </c>
    </row>
    <row r="76">
      <c r="A76" s="180" t="n"/>
    </row>
    <row r="77">
      <c r="A77" s="180" t="n"/>
    </row>
    <row r="78">
      <c r="A78" s="180" t="n"/>
    </row>
    <row r="79">
      <c r="A79" s="180" t="n"/>
    </row>
    <row r="80">
      <c r="A80" s="179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9">
      <c r="A82" s="180" t="inlineStr">
        <is>
          <t>Cash from Operating Activity</t>
        </is>
      </c>
      <c r="B82" t="n">
        <v>774.0700000000001</v>
      </c>
      <c r="C82" t="n">
        <v>2942.39</v>
      </c>
      <c r="D82" t="n">
        <v>3235.92</v>
      </c>
      <c r="E82" t="n">
        <v>2453.56</v>
      </c>
      <c r="F82" t="n">
        <v>4043.31</v>
      </c>
      <c r="G82" t="n">
        <v>1385.28</v>
      </c>
      <c r="H82" t="n">
        <v>17626.46</v>
      </c>
      <c r="I82" t="n">
        <v>10312.19</v>
      </c>
      <c r="J82" t="n">
        <v>4513.1</v>
      </c>
      <c r="K82" t="n">
        <v>2356.91</v>
      </c>
    </row>
    <row r="83" customFormat="1" s="180">
      <c r="A83" s="180" t="inlineStr">
        <is>
          <t>Cash from Investing Activity</t>
        </is>
      </c>
      <c r="B83" t="n">
        <v>-1459.77</v>
      </c>
      <c r="C83" t="n">
        <v>-7648.85</v>
      </c>
      <c r="D83" t="n">
        <v>2486.91</v>
      </c>
      <c r="E83" t="n">
        <v>-1081.85</v>
      </c>
      <c r="F83" t="n">
        <v>-8610.66</v>
      </c>
      <c r="G83" t="n">
        <v>-17040.62</v>
      </c>
      <c r="H83" t="n">
        <v>-15458.84</v>
      </c>
      <c r="I83" t="n">
        <v>-18766.65</v>
      </c>
      <c r="J83" t="n">
        <v>-26417.33</v>
      </c>
      <c r="K83" t="n">
        <v>-27680.49</v>
      </c>
    </row>
    <row r="84" customFormat="1" s="180">
      <c r="A84" s="180" t="inlineStr">
        <is>
          <t>Cash from Financing Activity</t>
        </is>
      </c>
      <c r="B84" t="n">
        <v>715.8200000000001</v>
      </c>
      <c r="C84" t="n">
        <v>5119.57</v>
      </c>
      <c r="D84" t="n">
        <v>-6158.41</v>
      </c>
      <c r="E84" t="n">
        <v>-220.9</v>
      </c>
      <c r="F84" t="n">
        <v>3108.81</v>
      </c>
      <c r="G84" t="n">
        <v>15901.42</v>
      </c>
      <c r="H84" t="n">
        <v>-1197.52</v>
      </c>
      <c r="I84" t="n">
        <v>8878.68</v>
      </c>
      <c r="J84" t="n">
        <v>22655.34</v>
      </c>
      <c r="K84" t="n">
        <v>28484.47</v>
      </c>
    </row>
    <row r="85" customFormat="1" s="179">
      <c r="A85" s="180" t="inlineStr">
        <is>
          <t>Net Cash Flow</t>
        </is>
      </c>
      <c r="B85" t="n">
        <v>30.12</v>
      </c>
      <c r="C85" t="n">
        <v>413.11</v>
      </c>
      <c r="D85" t="n">
        <v>-435.58</v>
      </c>
      <c r="E85" t="n">
        <v>1150.81</v>
      </c>
      <c r="F85" t="n">
        <v>-1458.54</v>
      </c>
      <c r="G85" t="n">
        <v>246.08</v>
      </c>
      <c r="H85" t="n">
        <v>970.1</v>
      </c>
      <c r="I85" t="n">
        <v>424.22</v>
      </c>
      <c r="J85" t="n">
        <v>751.11</v>
      </c>
      <c r="K85" t="n">
        <v>3160.89</v>
      </c>
    </row>
    <row r="86">
      <c r="A86" s="180" t="n"/>
    </row>
    <row r="87">
      <c r="A87" s="180" t="n"/>
    </row>
    <row r="88">
      <c r="A88" s="180" t="n"/>
    </row>
    <row r="89">
      <c r="A89" s="180" t="n"/>
    </row>
    <row r="90" customFormat="1" s="179">
      <c r="A90" s="179" t="inlineStr">
        <is>
          <t>PRICE:</t>
        </is>
      </c>
      <c r="B90" t="n">
        <v>70.31999999999999</v>
      </c>
      <c r="C90" t="n">
        <v>101.31</v>
      </c>
      <c r="D90" t="n">
        <v>142.27</v>
      </c>
      <c r="E90" t="n">
        <v>133.4</v>
      </c>
      <c r="F90" t="n">
        <v>999.6799999999999</v>
      </c>
      <c r="G90" t="n">
        <v>1953.27</v>
      </c>
      <c r="H90" t="n">
        <v>1697.04</v>
      </c>
      <c r="I90" t="n">
        <v>3099.54</v>
      </c>
      <c r="J90" t="n">
        <v>2245.13</v>
      </c>
      <c r="K90" t="n">
        <v>1758.8</v>
      </c>
    </row>
    <row r="92" customFormat="1" s="179">
      <c r="A92" s="179" t="inlineStr">
        <is>
          <t>DERIVED:</t>
        </is>
      </c>
    </row>
    <row r="93">
      <c r="A93" s="185" t="inlineStr">
        <is>
          <t>Adjusted Equity Shares in Cr</t>
        </is>
      </c>
      <c r="B93" s="190" t="n">
        <v>123.18</v>
      </c>
      <c r="C93" s="190" t="n">
        <v>123.18</v>
      </c>
      <c r="D93" s="190" t="n">
        <v>123.18</v>
      </c>
      <c r="E93" s="190" t="n">
        <v>123.18</v>
      </c>
      <c r="F93" s="190" t="n">
        <v>123.18</v>
      </c>
      <c r="G93" s="190" t="n">
        <v>123.18</v>
      </c>
      <c r="H93" s="190" t="n">
        <v>127.68</v>
      </c>
      <c r="I93" s="190" t="n">
        <v>127.68</v>
      </c>
      <c r="J93" s="190" t="n">
        <v>129.27</v>
      </c>
      <c r="K93" s="190" t="n">
        <v>129.16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1" min="1" max="1"/>
    <col width="26.44140625" customWidth="1" style="171" min="2" max="2"/>
    <col width="18.77734375" customWidth="1" style="171" min="16" max="16"/>
  </cols>
  <sheetData>
    <row r="2">
      <c r="B2" s="161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1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1" min="1" max="1"/>
    <col width="30.33203125" customWidth="1" style="171" min="2" max="2"/>
    <col width="12.109375" bestFit="1" customWidth="1" style="171" min="3" max="3"/>
    <col width="10.44140625" bestFit="1" customWidth="1" style="171" min="4" max="12"/>
  </cols>
  <sheetData>
    <row r="2">
      <c r="B2" s="161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87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87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87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87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87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87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87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87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87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 s="187">
        <f>'Data Sheet'!L75</f>
        <v/>
      </c>
      <c r="N60" s="187">
        <f>'Data Sheet'!M75</f>
        <v/>
      </c>
      <c r="O60" s="187">
        <f>'Data Sheet'!N75</f>
        <v/>
      </c>
    </row>
    <row r="61">
      <c r="B61" s="187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87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87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87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87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87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87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1" min="1" max="1"/>
    <col width="28.6640625" customWidth="1" style="171" min="2" max="2"/>
    <col width="10" bestFit="1" customWidth="1" style="171" min="3" max="5"/>
    <col width="10" bestFit="1" customWidth="1" style="171" min="14" max="14"/>
  </cols>
  <sheetData>
    <row r="2">
      <c r="B2" s="161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1" min="1" max="1"/>
    <col width="11.109375" bestFit="1" customWidth="1" style="171" min="2" max="2"/>
    <col width="9.6640625" bestFit="1" customWidth="1" style="171" min="3" max="3"/>
    <col width="12" customWidth="1" style="171" min="4" max="4"/>
    <col width="13.21875" customWidth="1" style="171" min="5" max="5"/>
    <col width="2" customWidth="1" style="171" min="6" max="6"/>
    <col width="11.21875" customWidth="1" style="171" min="7" max="7"/>
    <col width="12.109375" customWidth="1" style="171" min="9" max="9"/>
    <col width="12.44140625" customWidth="1" style="171" min="10" max="10"/>
    <col width="2" customWidth="1" style="171" min="11" max="11"/>
    <col width="12.33203125" customWidth="1" style="171" min="12" max="12"/>
    <col width="9.6640625" bestFit="1" customWidth="1" style="171" min="13" max="13"/>
    <col width="10.33203125" customWidth="1" style="171" min="14" max="14"/>
    <col width="15" customWidth="1" style="171" min="15" max="15"/>
  </cols>
  <sheetData>
    <row r="2">
      <c r="B2" s="164">
        <f>'Data Sheet'!$B$1&amp;" -"&amp;'Data Sheet'!A17&amp;" Forecasting"</f>
        <v/>
      </c>
      <c r="G2" s="164">
        <f>'Data Sheet'!$B$1&amp;" -"&amp;'Historical FS'!B19&amp;" Forecasting"</f>
        <v/>
      </c>
      <c r="L2" s="164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64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35923.92</v>
      </c>
      <c r="E6" s="36">
        <f>D6/D5-1</f>
        <v/>
      </c>
      <c r="G6">
        <f>G5+1</f>
        <v/>
      </c>
      <c r="H6" s="54" t="n">
        <v>43190</v>
      </c>
      <c r="I6" s="107" t="n">
        <v>2220.529999999991</v>
      </c>
      <c r="J6" s="36">
        <f>I6/I5-1</f>
        <v/>
      </c>
      <c r="L6">
        <f>L5+1</f>
        <v/>
      </c>
      <c r="M6" s="54" t="n">
        <v>43190</v>
      </c>
      <c r="N6" s="107" t="n">
        <v>194.3299999999905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40378.66</v>
      </c>
      <c r="E7" s="36">
        <f>D7/D6-1</f>
        <v/>
      </c>
      <c r="G7">
        <f>G6+1</f>
        <v/>
      </c>
      <c r="H7" s="54" t="n">
        <v>43555</v>
      </c>
      <c r="I7" s="107" t="n">
        <v>2612.430000000003</v>
      </c>
      <c r="J7" s="36">
        <f>I7/I6-1</f>
        <v/>
      </c>
      <c r="L7">
        <f>L6+1</f>
        <v/>
      </c>
      <c r="M7" s="54" t="n">
        <v>43555</v>
      </c>
      <c r="N7" s="107" t="n">
        <v>453.0500000000031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43402.56</v>
      </c>
      <c r="E8" s="36">
        <f>D8/D7-1</f>
        <v/>
      </c>
      <c r="G8">
        <f>G7+1</f>
        <v/>
      </c>
      <c r="H8" s="54" t="n">
        <v>43921</v>
      </c>
      <c r="I8" s="107" t="n">
        <v>2976.910000000003</v>
      </c>
      <c r="J8" s="36">
        <f>I8/I7-1</f>
        <v/>
      </c>
      <c r="L8">
        <f>L7+1</f>
        <v/>
      </c>
      <c r="M8" s="54" t="n">
        <v>43921</v>
      </c>
      <c r="N8" s="107" t="n">
        <v>608.2000000000037</v>
      </c>
      <c r="O8" s="36">
        <f>N8/N7-1</f>
        <v/>
      </c>
    </row>
    <row r="9">
      <c r="B9">
        <f>B8+1</f>
        <v/>
      </c>
      <c r="C9" s="54" t="n">
        <v>44286</v>
      </c>
      <c r="D9" s="107" t="n">
        <v>39537.13</v>
      </c>
      <c r="E9" s="36">
        <f>D9/D8-1</f>
        <v/>
      </c>
      <c r="G9">
        <f>G8+1</f>
        <v/>
      </c>
      <c r="H9" s="54" t="n">
        <v>44286</v>
      </c>
      <c r="I9" s="107" t="n">
        <v>2781.189999999998</v>
      </c>
      <c r="J9" s="36">
        <f>I9/I8-1</f>
        <v/>
      </c>
      <c r="L9">
        <f>L8+1</f>
        <v/>
      </c>
      <c r="M9" s="54" t="n">
        <v>44286</v>
      </c>
      <c r="N9" s="107" t="n">
        <v>527.5499999999985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69420.17999999999</v>
      </c>
      <c r="E10" s="36">
        <f>D10/D9-1</f>
        <v/>
      </c>
      <c r="G10">
        <f>G9+1</f>
        <v/>
      </c>
      <c r="H10" s="54" t="n">
        <v>44651</v>
      </c>
      <c r="I10" s="107" t="n">
        <v>4255.649999999991</v>
      </c>
      <c r="J10" s="36">
        <f>I10/I9-1</f>
        <v/>
      </c>
      <c r="L10">
        <f>L9+1</f>
        <v/>
      </c>
      <c r="M10" s="54" t="n">
        <v>44651</v>
      </c>
      <c r="N10" s="107" t="n">
        <v>5.309999999991589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127539.5</v>
      </c>
      <c r="E11" s="36">
        <f>D11/D10-1</f>
        <v/>
      </c>
      <c r="G11">
        <f>G10+1</f>
        <v/>
      </c>
      <c r="H11" s="54" t="n">
        <v>45016</v>
      </c>
      <c r="I11" s="107" t="n">
        <v>9641.989999999998</v>
      </c>
      <c r="J11" s="36">
        <f>I11/I10-1</f>
        <v/>
      </c>
      <c r="L11">
        <f>L10+1</f>
        <v/>
      </c>
      <c r="M11" s="54" t="n">
        <v>45016</v>
      </c>
      <c r="N11" s="107" t="n">
        <v>2199.009999999998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96420.98</v>
      </c>
      <c r="E12" s="36">
        <f>D12/D11-1</f>
        <v/>
      </c>
      <c r="G12">
        <f>G11+1</f>
        <v/>
      </c>
      <c r="H12" s="54" t="n">
        <v>45382</v>
      </c>
      <c r="I12" s="107" t="n">
        <v>12604.42999999999</v>
      </c>
      <c r="J12" s="36">
        <f>I12/I11-1</f>
        <v/>
      </c>
      <c r="L12">
        <f>L11+1</f>
        <v/>
      </c>
      <c r="M12" s="54" t="n">
        <v>45382</v>
      </c>
      <c r="N12" s="107" t="n">
        <v>3376.069999999993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97894.75</v>
      </c>
      <c r="E13" s="36">
        <f>D13/D12-1</f>
        <v/>
      </c>
      <c r="G13">
        <f>G12+1</f>
        <v/>
      </c>
      <c r="H13" s="54" t="n">
        <v>45747</v>
      </c>
      <c r="I13" s="107" t="n">
        <v>15155.67000000001</v>
      </c>
      <c r="J13" s="36">
        <f>I13/I12-1</f>
        <v/>
      </c>
      <c r="L13">
        <f>L12+1</f>
        <v/>
      </c>
      <c r="M13" s="54" t="n">
        <v>45747</v>
      </c>
      <c r="N13" s="107" t="n">
        <v>1997.800000000009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100468.61</v>
      </c>
      <c r="E14" s="36">
        <f>D14/D13-1</f>
        <v/>
      </c>
      <c r="G14">
        <f>G13+1</f>
        <v/>
      </c>
      <c r="H14" s="54">
        <f>H13+365</f>
        <v/>
      </c>
      <c r="I14" s="107" t="n">
        <v>15128.17</v>
      </c>
      <c r="J14" s="36">
        <f>I14/I13-1</f>
        <v/>
      </c>
      <c r="L14">
        <f>L13+1</f>
        <v/>
      </c>
      <c r="M14" s="54">
        <f>M13+365</f>
        <v/>
      </c>
      <c r="N14" s="107" t="n">
        <v>-857.4399999999964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1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1" min="1" max="1"/>
    <col width="11.5546875" customWidth="1" style="171" min="2" max="2"/>
    <col width="11.6640625" bestFit="1" customWidth="1" style="171" min="3" max="3"/>
    <col width="14.21875" customWidth="1" style="171" min="4" max="4"/>
    <col width="11.33203125" customWidth="1" style="171" min="6" max="6"/>
    <col width="12.33203125" customWidth="1" style="171" min="7" max="7"/>
    <col width="13.44140625" customWidth="1" style="171" min="8" max="8"/>
    <col width="13.6640625" customWidth="1" style="171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1" t="inlineStr">
        <is>
          <t>Nifty 50 Daily Returns</t>
        </is>
      </c>
      <c r="J7" s="161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 t="n">
        <v>285.05</v>
      </c>
      <c r="D10" s="164" t="inlineStr">
        <is>
          <t>-</t>
        </is>
      </c>
      <c r="F10" s="34">
        <f>'Raw Data'!G6</f>
        <v/>
      </c>
      <c r="G10">
        <f>'Raw Data'!J6</f>
        <v/>
      </c>
      <c r="H10" s="164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 t="n">
        <v>286.25</v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SLOPE(D10:D252,H10:H252)</f>
        <v/>
      </c>
    </row>
    <row r="12">
      <c r="B12" s="34">
        <f>'Raw Data'!G8</f>
        <v/>
      </c>
      <c r="C12" t="n">
        <v>284.65</v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_xlfn.COVARIANCE.S(D10:D252,H10:H252)/_xlfn.VAR.S(H10:H252)</f>
        <v/>
      </c>
    </row>
    <row r="13">
      <c r="B13" s="34">
        <f>'Raw Data'!G9</f>
        <v/>
      </c>
      <c r="C13" t="n">
        <v>285.85</v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 t="n">
        <v>283.45</v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 t="n">
        <v>281.3</v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 t="n">
        <v>280.8</v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 t="n">
        <v>281</v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 t="n">
        <v>282.7</v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 t="n">
        <v>280.7</v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 t="n">
        <v>279.35</v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 t="n">
        <v>276.65</v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 t="n">
        <v>275.55</v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 t="n">
        <v>279.65</v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 t="n">
        <v>281.75</v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 t="n">
        <v>282.05</v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 t="n">
        <v>280.65</v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 t="n">
        <v>288.75</v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 t="n">
        <v>288.25</v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 t="n">
        <v>289.95</v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 t="n">
        <v>289.9</v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 t="n">
        <v>290.3</v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 t="n">
        <v>286.95</v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 t="n">
        <v>290.7</v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 t="n">
        <v>290</v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 t="n">
        <v>290.35</v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 t="n">
        <v>290</v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 t="n">
        <v>291.25</v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 t="n">
        <v>292.5</v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 t="n">
        <v>291.15</v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 t="n">
        <v>290.75</v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 t="n">
        <v>291.65</v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 t="n">
        <v>287.9</v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 t="n">
        <v>285.1</v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 t="n">
        <v>282.4</v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 t="n">
        <v>283.65</v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 t="n">
        <v>280</v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 t="n">
        <v>279.45</v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 t="n">
        <v>280.7</v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 t="n">
        <v>280.3</v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 t="n">
        <v>277</v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 t="n">
        <v>283.25</v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 t="n">
        <v>279.65</v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 t="n">
        <v>286.9</v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 t="n">
        <v>291.95</v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 t="n">
        <v>301.65</v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 t="n">
        <v>303.95</v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 t="n">
        <v>301.7</v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 t="n">
        <v>308.05</v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 t="n">
        <v>307.55</v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 t="n">
        <v>310.3</v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 t="n">
        <v>310.15</v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 t="n">
        <v>309.45</v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 t="n">
        <v>307.2</v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 t="n">
        <v>304.45</v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 t="n">
        <v>300.7</v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 t="n">
        <v>305.85</v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 t="n">
        <v>307.45</v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 t="n">
        <v>307.4</v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 t="n">
        <v>310.7</v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 t="n">
        <v>311.45</v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 t="n">
        <v>311.1</v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 t="n">
        <v>314.9</v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 t="n">
        <v>316.25</v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 t="n">
        <v>304.45</v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 t="n">
        <v>303.85</v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 t="n">
        <v>301.6</v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 t="n">
        <v>305.3</v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 t="n">
        <v>305.5</v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 t="n">
        <v>309.65</v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 t="n">
        <v>305</v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 t="n">
        <v>306.8</v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 t="n">
        <v>303.4</v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 t="n">
        <v>302.05</v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 t="n">
        <v>298.65</v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 t="n">
        <v>304.25</v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 t="n">
        <v>303</v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 t="n">
        <v>302.45</v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 t="n">
        <v>298.45</v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 t="n">
        <v>294.85</v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 t="n">
        <v>292.85</v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 t="n">
        <v>291.7</v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 t="n">
        <v>287.7</v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 t="n">
        <v>294.7</v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 t="n">
        <v>295.7</v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 t="n">
        <v>291.25</v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 t="n">
        <v>290.45</v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 t="n">
        <v>299.95</v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 t="n">
        <v>298</v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 t="n">
        <v>304.05</v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 t="n">
        <v>304.85</v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 t="n">
        <v>308.25</v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 t="n">
        <v>301.45</v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 t="n">
        <v>304.1</v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 t="n">
        <v>309</v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 t="n">
        <v>309.05</v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 t="n">
        <v>306</v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 t="n">
        <v>309.7</v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 t="n">
        <v>311.5</v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 t="n">
        <v>311.95</v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 t="n">
        <v>314.9</v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 t="n">
        <v>313.6</v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 t="n">
        <v>318.3</v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 t="n">
        <v>319.75</v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 t="n">
        <v>323.5</v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 t="n">
        <v>325.4</v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 t="n">
        <v>327</v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 t="n">
        <v>326</v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 t="n">
        <v>332.45</v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 t="n">
        <v>325.45</v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 t="n">
        <v>317.95</v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 t="n">
        <v>313.75</v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 t="n">
        <v>317.45</v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 t="n">
        <v>318.25</v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 t="n">
        <v>321.4</v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 t="n">
        <v>322.8</v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 t="n">
        <v>325.8</v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 t="n">
        <v>310.2</v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 t="n">
        <v>313.85</v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 t="n">
        <v>316.65</v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 t="n">
        <v>314.7</v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 t="n">
        <v>309.45</v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 t="n">
        <v>322.15</v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 t="n">
        <v>318.6</v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 t="n">
        <v>321.15</v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 t="n">
        <v>318.65</v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 t="n">
        <v>323.4</v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 t="n">
        <v>324.85</v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 t="n">
        <v>324.75</v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 t="n">
        <v>326.3</v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 t="n">
        <v>333.2</v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 t="n">
        <v>329.2</v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 t="n">
        <v>334.75</v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 t="n">
        <v>334.7</v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 t="n">
        <v>338.4</v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 t="n">
        <v>337.15</v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 t="n">
        <v>340.9</v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 t="n">
        <v>341.25</v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 t="n">
        <v>342.45</v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 t="n">
        <v>349.7</v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 t="n">
        <v>350.05</v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 t="n">
        <v>363.85</v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 t="n">
        <v>403</v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 t="n">
        <v>400.6</v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 t="n">
        <v>402.6</v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 t="n">
        <v>404.15</v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 t="n">
        <v>406.6</v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 t="n">
        <v>407.35</v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 t="n">
        <v>402.7</v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 t="n">
        <v>401.05</v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 t="n">
        <v>400.4</v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 t="n">
        <v>399.8</v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 t="n">
        <v>401.7</v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 t="n">
        <v>402.3</v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 t="n">
        <v>400.1</v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 t="n">
        <v>402.9</v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 t="n">
        <v>403.15</v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 t="n">
        <v>401.05</v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 t="n">
        <v>402.3</v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 t="n">
        <v>404.95</v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 t="n">
        <v>403.05</v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 t="n">
        <v>400.5</v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 t="n">
        <v>400.95</v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 t="n">
        <v>404.25</v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 t="n">
        <v>404.25</v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 t="n">
        <v>404.3</v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 t="n">
        <v>402.3</v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 t="n">
        <v>400.8</v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 t="n">
        <v>403.55</v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 t="n">
        <v>407.85</v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 t="n">
        <v>405.45</v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 t="n">
        <v>403.55</v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 t="n">
        <v>405.85</v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 t="n">
        <v>407.1</v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 t="n">
        <v>408.15</v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 t="n">
        <v>405.7</v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 t="n">
        <v>407</v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 t="n">
        <v>406.85</v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 t="n">
        <v>405.55</v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 t="n">
        <v>404.05</v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 t="n">
        <v>407.5</v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 t="n">
        <v>408.9</v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 t="n">
        <v>413.95</v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 t="n">
        <v>420.35</v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 t="n">
        <v>418.75</v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 t="n">
        <v>421.6</v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 t="n">
        <v>417.9</v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 t="n">
        <v>420.65</v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 t="n">
        <v>416.8</v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 t="n">
        <v>415.95</v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 t="n">
        <v>412.85</v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 t="n">
        <v>413.05</v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 t="n">
        <v>412.15</v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 t="n">
        <v>405.15</v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 t="n">
        <v>399.9</v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 t="n">
        <v>396.8</v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 t="n">
        <v>399.25</v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 t="n">
        <v>402.8</v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 t="n">
        <v>399.9</v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 t="n">
        <v>399.75</v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 t="n">
        <v>399.8</v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 t="n">
        <v>400.75</v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 t="n">
        <v>404.3</v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 t="n">
        <v>405.6</v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 t="n">
        <v>401.55</v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 t="n">
        <v>407.25</v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 t="n">
        <v>405.1</v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 t="n">
        <v>400.1</v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 t="n">
        <v>401</v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 t="n">
        <v>403.2</v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 t="n">
        <v>406.95</v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 t="n">
        <v>410.65</v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 t="n">
        <v>411.55</v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 t="n">
        <v>409.3</v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 t="n">
        <v>413.1</v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 t="n">
        <v>412.65</v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 t="n">
        <v>413.75</v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 t="n">
        <v>415.05</v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 t="n">
        <v>413.05</v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 t="n">
        <v>410.05</v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 t="n">
        <v>407.55</v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 t="n">
        <v>407.35</v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 t="n">
        <v>415.9</v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 t="n">
        <v>411.75</v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 t="n">
        <v>406.75</v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 t="n">
        <v>405.85</v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 t="n">
        <v>409.75</v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 t="n">
        <v>400.9</v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 t="n">
        <v>403.35</v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 t="n">
        <v>399.35</v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 t="n">
        <v>398.3</v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 t="n">
        <v>405.55</v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 t="n">
        <v>406.05</v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 t="n">
        <v>409.1</v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 t="n">
        <v>406.3</v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 t="n">
        <v>411.45</v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 t="n">
        <v>414.1</v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 t="n">
        <v>416.35</v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 t="n">
        <v>416.85</v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 t="n">
        <v>414.5</v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 t="n">
        <v>413.6</v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 t="n">
        <v>412</v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 t="n">
        <v>414.15</v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 t="n"/>
    </row>
    <row r="254">
      <c r="B254" s="34" t="n"/>
    </row>
    <row r="255">
      <c r="B255" s="34" t="n"/>
    </row>
    <row r="256">
      <c r="B256" s="34" t="n"/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1" min="1" max="1"/>
    <col width="19.33203125" customWidth="1" style="171" min="2" max="2"/>
    <col width="12.44140625" customWidth="1" style="171" min="3" max="3"/>
    <col width="10.77734375" customWidth="1" style="171" min="4" max="4"/>
    <col width="10.109375" bestFit="1" customWidth="1" style="171" min="5" max="5"/>
    <col width="11.88671875" bestFit="1" customWidth="1" style="171" min="6" max="6"/>
    <col width="10" customWidth="1" style="171" min="10" max="10"/>
    <col width="10.88671875" customWidth="1" style="171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1"/>
    <row r="10">
      <c r="B10" t="inlineStr">
        <is>
          <t>Peer Comps</t>
        </is>
      </c>
    </row>
    <row r="11">
      <c r="B11" s="57" t="n"/>
      <c r="C11" s="57" t="n"/>
      <c r="D11" s="57" t="n"/>
      <c r="E11" s="191" t="inlineStr">
        <is>
          <t>Total Debt</t>
        </is>
      </c>
      <c r="F11" s="191" t="inlineStr">
        <is>
          <t>Total Equity</t>
        </is>
      </c>
      <c r="G11" s="57" t="n"/>
      <c r="H11" s="191" t="inlineStr">
        <is>
          <t>Debt /Equity</t>
        </is>
      </c>
      <c r="I11" s="191" t="inlineStr">
        <is>
          <t>Debt /Capital</t>
        </is>
      </c>
      <c r="J11" s="191" t="inlineStr">
        <is>
          <t>Levered Beta</t>
        </is>
      </c>
      <c r="K11" s="191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6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G14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E14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F14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1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71" min="1" max="1"/>
    <col width="14" customWidth="1" style="171" min="2" max="2"/>
    <col width="10.44140625" bestFit="1" customWidth="1" style="171" min="8" max="8"/>
    <col width="11.44140625" customWidth="1" style="171" min="9" max="9"/>
    <col width="10.44140625" bestFit="1" customWidth="1" style="171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1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1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1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1" thickBot="1"/>
    <row r="21" ht="15" customHeight="1" s="171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1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1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71" thickBot="1"/>
    <row r="40" ht="15" customHeight="1" s="171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4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1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1"/>
    <row r="62" ht="15" customHeight="1" s="171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1" min="1" max="1"/>
    <col width="21.109375" customWidth="1" style="171" min="2" max="2"/>
    <col width="13.21875" customWidth="1" style="171" min="4" max="4"/>
    <col width="10.44140625" bestFit="1" customWidth="1" style="171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1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MAX(0.15, 'Intrinsic Valuation'!$L$55))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I10*(1-MIN(0.85, I11))</f>
        <v/>
      </c>
      <c r="J12" s="130">
        <f>J10*(1-MIN(0.85, J11))</f>
        <v/>
      </c>
      <c r="K12" s="130">
        <f>K10*(1-MIN(0.85, K11))</f>
        <v/>
      </c>
      <c r="L12" s="130">
        <f>L10*(1-MIN(0.85, L11))</f>
        <v/>
      </c>
      <c r="M12" s="130">
        <f>M10*(1-MIN(0.85, M11))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1"/>
    <row r="16" ht="15" customHeight="1" s="171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1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71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2999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71" min="1" max="1"/>
    <col width="9.88671875" bestFit="1" customWidth="1" style="171" min="7" max="7"/>
    <col width="12.33203125" bestFit="1" customWidth="1" style="171" min="14" max="14"/>
    <col width="14.6640625" bestFit="1" customWidth="1" style="171" min="15" max="15"/>
    <col width="13.21875" bestFit="1" customWidth="1" style="171" min="18" max="18"/>
    <col width="13.6640625" bestFit="1" customWidth="1" style="171" min="20" max="20"/>
    <col width="10.77734375" bestFit="1" customWidth="1" style="171" min="23" max="23"/>
    <col width="12.6640625" bestFit="1" customWidth="1" style="171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Adani Enterprises Ltd</t>
        </is>
      </c>
      <c r="Q24" t="inlineStr">
        <is>
          <t>India</t>
        </is>
      </c>
      <c r="R24" t="n">
        <v>106622</v>
      </c>
      <c r="S24" t="n">
        <v>405443</v>
      </c>
      <c r="T24" s="46" t="n">
        <v>0.3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Starlineps Enter</t>
        </is>
      </c>
      <c r="Q25">
        <f>Q24</f>
        <v/>
      </c>
      <c r="R25" t="n">
        <v>4</v>
      </c>
      <c r="S25" t="n">
        <v>357.27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Rajdarshan Inds</t>
        </is>
      </c>
      <c r="Q26">
        <f>Q25</f>
        <v/>
      </c>
      <c r="R26" t="n">
        <v>0.5</v>
      </c>
      <c r="S26" t="n">
        <v>10.27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Median: 2 Co.</t>
        </is>
      </c>
      <c r="Q27">
        <f>Q26</f>
        <v/>
      </c>
      <c r="R27" t="n">
        <v>0</v>
      </c>
      <c r="S27" t="n">
        <v>202899.94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Peer 5</t>
        </is>
      </c>
      <c r="Q28">
        <f>Q27</f>
        <v/>
      </c>
      <c r="R28" t="n">
        <v>0</v>
      </c>
      <c r="S28" t="n">
        <v>10000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1" min="1" max="1"/>
    <col width="17.109375" customWidth="1" style="171" min="2" max="2"/>
    <col width="10.6640625" customWidth="1" style="171" min="3" max="3"/>
    <col width="9.44140625" bestFit="1" customWidth="1" style="171" min="4" max="4"/>
    <col width="11.21875" customWidth="1" style="171" min="5" max="5"/>
    <col width="11.88671875" bestFit="1" customWidth="1" style="171" min="6" max="6"/>
    <col width="9.5546875" bestFit="1" customWidth="1" style="171" min="7" max="7"/>
    <col width="12.109375" customWidth="1" style="171" min="8" max="8"/>
    <col width="10.44140625" bestFit="1" customWidth="1" style="171" min="11" max="13"/>
    <col width="12.109375" customWidth="1" style="171" min="15" max="16"/>
    <col width="12.88671875" bestFit="1" customWidth="1" style="171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1"/>
    <row r="9">
      <c r="B9" s="84" t="n"/>
      <c r="C9" s="84" t="n"/>
      <c r="D9" s="167" t="inlineStr">
        <is>
          <t>Market Data</t>
        </is>
      </c>
      <c r="E9" s="192" t="n"/>
      <c r="F9" s="192" t="n"/>
      <c r="G9" s="192" t="n"/>
      <c r="H9" s="192" t="n"/>
      <c r="I9" s="192" t="n"/>
      <c r="J9" s="84" t="n"/>
      <c r="K9" s="167" t="inlineStr">
        <is>
          <t>Financials</t>
        </is>
      </c>
      <c r="L9" s="192" t="n"/>
      <c r="M9" s="192" t="n"/>
      <c r="N9" s="84" t="n"/>
      <c r="O9" s="167" t="inlineStr">
        <is>
          <t>Valuation</t>
        </is>
      </c>
      <c r="P9" s="192" t="n"/>
      <c r="Q9" s="192" t="n"/>
    </row>
    <row r="10" ht="30" customHeight="1" s="171">
      <c r="B10" s="84" t="inlineStr">
        <is>
          <t>Larsen &amp; Toubro</t>
        </is>
      </c>
      <c r="C10" s="84" t="n">
        <v>485000</v>
      </c>
      <c r="D10" s="85" t="n">
        <v>118000</v>
      </c>
      <c r="E10" s="85" t="n">
        <v>18000</v>
      </c>
      <c r="F10" s="85" t="n">
        <v>585000</v>
      </c>
      <c r="G10" s="85" t="n">
        <v>221000</v>
      </c>
      <c r="H10" s="85" t="n">
        <v>24500</v>
      </c>
      <c r="I10" s="84">
        <f>IF(G10&gt;0, F10/G10, "N/A")</f>
        <v/>
      </c>
      <c r="J10" s="84">
        <f>IF(H10&gt;0, F10/H10, "N/A")</f>
        <v/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1">
      <c r="B11" t="inlineStr">
        <is>
          <t>Reliance Industries</t>
        </is>
      </c>
      <c r="C11" t="n">
        <v>2015000</v>
      </c>
      <c r="D11" t="n">
        <v>310000</v>
      </c>
      <c r="E11" t="n">
        <v>85000</v>
      </c>
      <c r="F11" t="n">
        <v>2240000</v>
      </c>
      <c r="G11" t="n">
        <v>900000</v>
      </c>
      <c r="H11" t="n">
        <v>165000</v>
      </c>
      <c r="I11">
        <f>IF(G11&gt;0, F11/G11, "N/A")</f>
        <v/>
      </c>
      <c r="J11">
        <f>IF(H11&gt;0, F11/H11, "N/A")</f>
        <v/>
      </c>
    </row>
    <row r="12">
      <c r="B12" s="150" t="inlineStr">
        <is>
          <t>Adani Ports &amp; SEZ</t>
        </is>
      </c>
      <c r="C12" s="150" t="n">
        <v>315000</v>
      </c>
      <c r="D12" s="155" t="n">
        <v>45000</v>
      </c>
      <c r="E12" s="155" t="n">
        <v>8000</v>
      </c>
      <c r="F12" s="155" t="n">
        <v>352000</v>
      </c>
      <c r="G12" s="155" t="n">
        <v>27000</v>
      </c>
      <c r="H12" s="155" t="n">
        <v>15800</v>
      </c>
      <c r="I12" s="150">
        <f>IF(G12&gt;0, F12/G12, "N/A")</f>
        <v/>
      </c>
      <c r="J12" s="150">
        <f>IF(H12&gt;0, F12/H12, "N/A")</f>
        <v/>
      </c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 t="inlineStr">
        <is>
          <t>Tata Power Co.</t>
        </is>
      </c>
      <c r="C13" s="150" t="n">
        <v>138000</v>
      </c>
      <c r="D13" s="155" t="n">
        <v>52000</v>
      </c>
      <c r="E13" s="155" t="n">
        <v>4000</v>
      </c>
      <c r="F13" s="155" t="n">
        <v>186000</v>
      </c>
      <c r="G13" s="155" t="n">
        <v>62000</v>
      </c>
      <c r="H13" s="155" t="n">
        <v>12500</v>
      </c>
      <c r="I13" s="150">
        <f>IF(G13&gt;0, F13/G13, "N/A")</f>
        <v/>
      </c>
      <c r="J13" s="150">
        <f>IF(H13&gt;0, F13/H13, "N/A")</f>
        <v/>
      </c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 t="inlineStr">
        <is>
          <t>NTPC Ltd</t>
        </is>
      </c>
      <c r="C14" s="150" t="n">
        <v>395000</v>
      </c>
      <c r="D14" s="155" t="n">
        <v>210000</v>
      </c>
      <c r="E14" s="155" t="n">
        <v>7000</v>
      </c>
      <c r="F14" s="155" t="n">
        <v>598000</v>
      </c>
      <c r="G14" s="155" t="n">
        <v>178000</v>
      </c>
      <c r="H14" s="155" t="n">
        <v>51000</v>
      </c>
      <c r="I14" s="150">
        <f>IF(G14&gt;0, F14/G14, "N/A")</f>
        <v/>
      </c>
      <c r="J14" s="150">
        <f>IF(H14&gt;0, F14/H14, "N/A")</f>
        <v/>
      </c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 t="n"/>
      <c r="C15" s="150" t="n"/>
      <c r="D15" s="155" t="n"/>
      <c r="E15" s="155" t="n"/>
      <c r="F15" s="155" t="n"/>
      <c r="G15" s="155" t="n"/>
      <c r="H15" s="155" t="n"/>
      <c r="I15" s="150" t="n"/>
      <c r="J15" s="150" t="n"/>
      <c r="K15" s="155" t="n"/>
      <c r="L15" s="155" t="n"/>
      <c r="M15" s="155" t="n"/>
      <c r="N15" s="150" t="n"/>
      <c r="O15" s="151" t="n"/>
      <c r="P15" s="151" t="n"/>
      <c r="Q15" s="151" t="n"/>
    </row>
    <row r="16">
      <c r="B16" s="150" t="n"/>
      <c r="C16" s="150" t="n"/>
      <c r="D16" s="155" t="n"/>
      <c r="E16" s="155" t="n"/>
      <c r="F16" s="155" t="n"/>
      <c r="G16" s="155" t="n"/>
      <c r="H16" s="155" t="n"/>
      <c r="I16" s="150" t="n"/>
      <c r="J16" s="150" t="n"/>
      <c r="K16" s="155" t="n"/>
      <c r="L16" s="155" t="n"/>
      <c r="M16" s="155" t="n"/>
      <c r="N16" s="150" t="n"/>
      <c r="O16" s="151" t="n"/>
      <c r="P16" s="151" t="n"/>
      <c r="Q16" s="151" t="n"/>
    </row>
    <row r="17">
      <c r="B17" s="150" t="n"/>
      <c r="C17" s="150" t="n"/>
      <c r="D17" s="155" t="n"/>
      <c r="E17" s="155" t="n"/>
      <c r="F17" s="155" t="n"/>
      <c r="G17" s="155" t="n"/>
      <c r="H17" s="155" t="n"/>
      <c r="I17" s="150" t="n"/>
      <c r="J17" s="150" t="n"/>
      <c r="K17" s="155" t="n"/>
      <c r="L17" s="155" t="n"/>
      <c r="M17" s="155" t="n"/>
      <c r="N17" s="150" t="n"/>
      <c r="O17" s="151" t="n"/>
      <c r="P17" s="151" t="n"/>
      <c r="Q17" s="151" t="n"/>
    </row>
    <row r="18">
      <c r="B18" s="150" t="n"/>
      <c r="C18" s="150" t="n"/>
      <c r="D18" s="155" t="n"/>
      <c r="E18" s="155" t="n"/>
      <c r="F18" s="155" t="n"/>
      <c r="G18" s="155" t="n"/>
      <c r="H18" s="155" t="n"/>
      <c r="I18" s="150" t="n"/>
      <c r="J18" s="150" t="n"/>
      <c r="K18" s="155" t="n"/>
      <c r="L18" s="155" t="n"/>
      <c r="M18" s="155" t="n"/>
      <c r="N18" s="150" t="n"/>
      <c r="O18" s="151" t="n"/>
      <c r="P18" s="151" t="n"/>
      <c r="Q18" s="151" t="n"/>
    </row>
    <row r="19">
      <c r="B19" s="150" t="n"/>
      <c r="C19" s="150" t="n"/>
      <c r="D19" s="155" t="n"/>
      <c r="E19" s="155" t="n"/>
      <c r="F19" s="155" t="n"/>
      <c r="G19" s="155" t="n"/>
      <c r="H19" s="155" t="n"/>
      <c r="I19" s="150" t="n"/>
      <c r="J19" s="150" t="n"/>
      <c r="K19" s="155" t="n"/>
      <c r="L19" s="155" t="n"/>
      <c r="M19" s="155" t="n"/>
      <c r="N19" s="150" t="n"/>
      <c r="O19" s="151" t="n"/>
      <c r="P19" s="151" t="n"/>
      <c r="Q19" s="151" t="n"/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71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MAX(O13:O21)</f>
        <v/>
      </c>
      <c r="P23" s="86">
        <f>MAX(P13:P21)</f>
        <v/>
      </c>
      <c r="Q23" s="86">
        <f>MAX(Q13:Q21)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QUARTILE(O13:O21,1)</f>
        <v/>
      </c>
      <c r="P24" s="87">
        <f>QUARTILE(P13:P21,1)</f>
        <v/>
      </c>
      <c r="Q24" s="87">
        <f>QUARTILE(Q13:Q21,1)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MEDIAN(I10:I14)</f>
        <v/>
      </c>
      <c r="P25" s="153">
        <f>MEDIAN(J10:J14)</f>
        <v/>
      </c>
      <c r="Q25" s="153">
        <f>MEDIAN(Q13:Q21)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AVERAGE(I10:I14)</f>
        <v/>
      </c>
      <c r="P26" s="153">
        <f>AVERAGE(J10:J14)</f>
        <v/>
      </c>
      <c r="Q26" s="153">
        <f>AVERAGE(Q13:Q21)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QUARTILE(O13:O21,3)</f>
        <v/>
      </c>
      <c r="P27" s="87">
        <f>QUARTILE(P13:P21,3)</f>
        <v/>
      </c>
      <c r="Q27" s="87">
        <f>QUARTILE(Q13:Q21,3)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MIN(O13:O21)</f>
        <v/>
      </c>
      <c r="P28" s="86">
        <f>MIN(P13:P21)</f>
        <v/>
      </c>
      <c r="Q28" s="86">
        <f>MIN(Q13:Q21)</f>
        <v/>
      </c>
    </row>
    <row r="30">
      <c r="B30" s="84" t="inlineStr">
        <is>
          <t>Adani Enterprises Ltd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K12*O26</f>
        <v/>
      </c>
      <c r="P32" s="155">
        <f>L12*P26</f>
        <v/>
      </c>
      <c r="Q32" s="155">
        <f>M12*Q26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$G$12</f>
        <v/>
      </c>
      <c r="P33" s="155">
        <f>$G$12</f>
        <v/>
      </c>
      <c r="Q33" s="155">
        <f>$G$12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$E$12</f>
        <v/>
      </c>
      <c r="P35" s="155">
        <f>$E$12</f>
        <v/>
      </c>
      <c r="Q35" s="155">
        <f>$E$12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IF(O37&gt;$D$12,"Overvalued","Undervalued")</f>
        <v/>
      </c>
      <c r="P39">
        <f>IF(P37&gt;$D$12,"Overvalued","Undervalued")</f>
        <v/>
      </c>
      <c r="Q39">
        <f>IF(Q37&gt;$D$12,"Overvalued","Undervalued")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1" min="1" max="1"/>
    <col width="26.77734375" customWidth="1" style="171" min="2" max="2"/>
    <col width="11" bestFit="1" customWidth="1" style="171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1">
      <c r="A2" s="93" t="n"/>
      <c r="B2" s="193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1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1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71"/>
    <row r="15" ht="21" customHeight="1" s="171">
      <c r="B15" s="99" t="inlineStr">
        <is>
          <t>Financial Summary</t>
        </is>
      </c>
    </row>
    <row r="35" ht="18" customHeight="1" s="171">
      <c r="B35" s="101" t="inlineStr">
        <is>
          <t>Recent Updates</t>
        </is>
      </c>
    </row>
    <row r="37">
      <c r="A37" t="inlineStr">
        <is>
          <t>•</t>
        </is>
      </c>
      <c r="B37" s="169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9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9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9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9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9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1"/>
    <row r="54" ht="30.6" customHeight="1" s="171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1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1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1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1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1" min="1" max="1"/>
    <col width="26.77734375" customWidth="1" style="171" min="2" max="2"/>
    <col width="12.6640625" bestFit="1" customWidth="1" style="171" min="5" max="5"/>
    <col width="12.77734375" bestFit="1" customWidth="1" style="171" min="6" max="7"/>
    <col width="13.44140625" bestFit="1" customWidth="1" style="171" min="8" max="8"/>
    <col width="12.77734375" bestFit="1" customWidth="1" style="171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1">
      <c r="A2" s="93" t="n"/>
      <c r="B2" s="193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1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1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71"/>
    <row r="14" ht="21" customHeight="1" s="171">
      <c r="B14" s="99" t="inlineStr">
        <is>
          <t>Financial Summary</t>
        </is>
      </c>
    </row>
    <row r="34" ht="18" customHeight="1" s="171">
      <c r="B34" s="101" t="inlineStr">
        <is>
          <t>Recent Updates</t>
        </is>
      </c>
    </row>
    <row r="36">
      <c r="A36" t="inlineStr">
        <is>
          <t>•</t>
        </is>
      </c>
      <c r="B36" s="169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71">
      <c r="A38" t="inlineStr">
        <is>
          <t>•</t>
        </is>
      </c>
      <c r="B38" s="169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71">
      <c r="A40" t="inlineStr">
        <is>
          <t>•</t>
        </is>
      </c>
      <c r="B40" s="169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9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9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9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1"/>
    <row r="53" ht="30.6" customHeight="1" s="171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1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1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1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1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1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1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70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1" min="1" max="1"/>
    <col width="22.77734375" bestFit="1" customWidth="1" style="171" min="2" max="2"/>
    <col width="9.44140625" customWidth="1" style="171" min="12" max="12"/>
    <col width="22.77734375" bestFit="1" customWidth="1" style="171" min="17" max="17"/>
    <col width="25.77734375" bestFit="1" customWidth="1" style="171" min="18" max="18"/>
    <col width="14.77734375" customWidth="1" style="171" min="46" max="46"/>
    <col width="11.6640625" customWidth="1" style="171" min="47" max="47"/>
    <col width="12.6640625" customWidth="1" style="171" min="48" max="48"/>
    <col width="13.21875" customWidth="1" style="171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64465</v>
      </c>
      <c r="T4" s="73" t="n">
        <v>34008</v>
      </c>
      <c r="U4" s="73" t="n">
        <v>36533</v>
      </c>
      <c r="V4" s="73" t="n">
        <v>35924</v>
      </c>
      <c r="W4" s="73" t="n">
        <v>40379</v>
      </c>
      <c r="X4" s="73" t="n">
        <v>43403</v>
      </c>
      <c r="Y4" s="73" t="n">
        <v>39537</v>
      </c>
      <c r="Z4" s="73" t="n">
        <v>69420</v>
      </c>
      <c r="AA4" s="73" t="n">
        <v>127540</v>
      </c>
      <c r="AB4" s="73" t="n">
        <v>96421</v>
      </c>
      <c r="AC4" s="73" t="n">
        <v>97895</v>
      </c>
      <c r="AD4" s="73" t="n">
        <v>100469</v>
      </c>
      <c r="AE4" s="73" t="n">
        <v>111431</v>
      </c>
    </row>
    <row r="5">
      <c r="B5" s="35" t="inlineStr">
        <is>
          <t>Equity Capital</t>
        </is>
      </c>
      <c r="C5" t="n">
        <v>110</v>
      </c>
      <c r="D5" s="47" t="n">
        <v>110</v>
      </c>
      <c r="E5" s="47" t="n">
        <v>110</v>
      </c>
      <c r="F5" s="47" t="n">
        <v>110</v>
      </c>
      <c r="G5" s="47" t="n">
        <v>110</v>
      </c>
      <c r="H5" s="47" t="n">
        <v>110</v>
      </c>
      <c r="I5" s="47" t="n">
        <v>110</v>
      </c>
      <c r="J5" s="47" t="n">
        <v>110</v>
      </c>
      <c r="K5" s="47" t="n">
        <v>114</v>
      </c>
      <c r="L5" s="47" t="n">
        <v>114</v>
      </c>
      <c r="M5" s="47" t="n">
        <v>115</v>
      </c>
      <c r="N5" s="47" t="n">
        <v>129</v>
      </c>
      <c r="R5" t="inlineStr">
        <is>
          <t>Expenses +</t>
        </is>
      </c>
      <c r="S5" s="73" t="n">
        <v>52015</v>
      </c>
      <c r="T5" s="73" t="n">
        <v>32325</v>
      </c>
      <c r="U5" s="73" t="n">
        <v>34631</v>
      </c>
      <c r="V5" s="73" t="n">
        <v>33886</v>
      </c>
      <c r="W5" s="73" t="n">
        <v>38409</v>
      </c>
      <c r="X5" s="73" t="n">
        <v>41108</v>
      </c>
      <c r="Y5" s="73" t="n">
        <v>37031</v>
      </c>
      <c r="Z5" s="73" t="n">
        <v>65707</v>
      </c>
      <c r="AA5" s="73" t="n">
        <v>118722</v>
      </c>
      <c r="AB5" s="73" t="n">
        <v>85044</v>
      </c>
      <c r="AC5" s="73" t="n">
        <v>83643</v>
      </c>
      <c r="AD5" s="73" t="n">
        <v>86478</v>
      </c>
      <c r="AE5" s="73" t="n">
        <v>95733</v>
      </c>
    </row>
    <row r="6">
      <c r="B6" t="inlineStr">
        <is>
          <t>Reserves</t>
        </is>
      </c>
      <c r="C6" s="73" t="n">
        <v>25618</v>
      </c>
      <c r="D6" s="73" t="n">
        <v>13268</v>
      </c>
      <c r="E6" s="73" t="n">
        <v>14026</v>
      </c>
      <c r="F6" s="73" t="n">
        <v>14979</v>
      </c>
      <c r="G6" s="73" t="n">
        <v>14646</v>
      </c>
      <c r="H6" s="73" t="n">
        <v>16837</v>
      </c>
      <c r="I6" s="73" t="n">
        <v>17049</v>
      </c>
      <c r="J6" s="73" t="n">
        <v>22147</v>
      </c>
      <c r="K6" s="73" t="n">
        <v>32937</v>
      </c>
      <c r="L6" s="73" t="n">
        <v>38962</v>
      </c>
      <c r="M6" s="73" t="n">
        <v>50199</v>
      </c>
      <c r="N6" s="73" t="n">
        <v>80797</v>
      </c>
      <c r="O6" s="73" t="n"/>
      <c r="R6" t="inlineStr">
        <is>
          <t>Operating Profit</t>
        </is>
      </c>
      <c r="S6" s="73" t="n">
        <v>12450</v>
      </c>
      <c r="T6" s="73" t="n">
        <v>1684</v>
      </c>
      <c r="U6" s="73" t="n">
        <v>1902</v>
      </c>
      <c r="V6" s="73" t="n">
        <v>2038</v>
      </c>
      <c r="W6" s="73" t="n">
        <v>1969</v>
      </c>
      <c r="X6" s="73" t="n">
        <v>2294</v>
      </c>
      <c r="Y6" s="73" t="n">
        <v>2506</v>
      </c>
      <c r="Z6" s="73" t="n">
        <v>3714</v>
      </c>
      <c r="AA6" s="73" t="n">
        <v>8818</v>
      </c>
      <c r="AB6" s="73" t="n">
        <v>11377</v>
      </c>
      <c r="AC6" s="73" t="n">
        <v>14252</v>
      </c>
      <c r="AD6" s="73" t="n">
        <v>13991</v>
      </c>
      <c r="AE6" s="73" t="n">
        <v>15698</v>
      </c>
    </row>
    <row r="7">
      <c r="B7" s="73" t="inlineStr">
        <is>
          <t>Borrowings -</t>
        </is>
      </c>
      <c r="C7" s="73" t="n">
        <v>83571</v>
      </c>
      <c r="D7" s="73" t="n">
        <v>19169</v>
      </c>
      <c r="E7" s="73" t="n">
        <v>20846</v>
      </c>
      <c r="F7" s="73" t="n">
        <v>17637</v>
      </c>
      <c r="G7" s="73" t="n">
        <v>11243</v>
      </c>
      <c r="H7" s="73" t="n">
        <v>12419</v>
      </c>
      <c r="I7" s="73" t="n">
        <v>16227</v>
      </c>
      <c r="J7" s="73" t="n">
        <v>41604</v>
      </c>
      <c r="K7" s="73" t="n">
        <v>53200</v>
      </c>
      <c r="L7" s="73" t="n">
        <v>65310</v>
      </c>
      <c r="M7" s="73" t="n">
        <v>91473</v>
      </c>
      <c r="N7" s="73" t="n">
        <v>106622</v>
      </c>
      <c r="O7" s="73" t="n"/>
      <c r="R7" t="inlineStr">
        <is>
          <t>OPM %</t>
        </is>
      </c>
      <c r="S7" s="75" t="n">
        <v>19</v>
      </c>
      <c r="T7" s="75" t="n">
        <v>5</v>
      </c>
      <c r="U7" s="75" t="n">
        <v>5</v>
      </c>
      <c r="V7" s="75" t="n">
        <v>6</v>
      </c>
      <c r="W7" s="75" t="n">
        <v>4.9</v>
      </c>
      <c r="X7" s="75" t="n">
        <v>5</v>
      </c>
      <c r="Y7" s="75" t="n">
        <v>6</v>
      </c>
      <c r="Z7" s="75" t="n">
        <v>5</v>
      </c>
      <c r="AA7" s="75" t="n">
        <v>7</v>
      </c>
      <c r="AB7" s="75" t="n">
        <v>12</v>
      </c>
      <c r="AC7" s="75" t="n">
        <v>15</v>
      </c>
      <c r="AD7" s="75" t="n">
        <v>14</v>
      </c>
      <c r="AE7" s="75" t="n">
        <v>14</v>
      </c>
    </row>
    <row r="8">
      <c r="B8" s="73" t="inlineStr">
        <is>
          <t>Long term Borrowings</t>
        </is>
      </c>
      <c r="C8" s="73" t="n">
        <v>55487</v>
      </c>
      <c r="D8" s="73" t="n">
        <v>7009</v>
      </c>
      <c r="E8" s="73" t="n">
        <v>9173</v>
      </c>
      <c r="F8" s="73" t="n">
        <v>4273</v>
      </c>
      <c r="G8" s="73" t="n">
        <v>2992</v>
      </c>
      <c r="H8" s="73" t="n">
        <v>3516</v>
      </c>
      <c r="I8" s="73" t="n">
        <v>9523</v>
      </c>
      <c r="J8" s="73" t="n">
        <v>20803</v>
      </c>
      <c r="K8" s="73" t="n">
        <v>32590</v>
      </c>
      <c r="L8" s="73" t="n">
        <v>43718</v>
      </c>
      <c r="M8" s="73" t="n">
        <v>64601</v>
      </c>
      <c r="N8" s="73" t="n">
        <v>76166</v>
      </c>
      <c r="R8" t="inlineStr">
        <is>
          <t>Other Income +</t>
        </is>
      </c>
      <c r="S8" s="73" t="n">
        <v>792</v>
      </c>
      <c r="T8" s="73" t="n">
        <v>1044</v>
      </c>
      <c r="U8" s="73" t="n">
        <v>749</v>
      </c>
      <c r="V8" s="73" t="n">
        <v>363</v>
      </c>
      <c r="W8" s="73" t="n">
        <v>504</v>
      </c>
      <c r="X8" s="73" t="n">
        <v>872</v>
      </c>
      <c r="Y8" s="73" t="n">
        <v>494</v>
      </c>
      <c r="Z8" s="73" t="n">
        <v>1012</v>
      </c>
      <c r="AA8" s="73" t="n">
        <v>834</v>
      </c>
      <c r="AB8" s="73" t="n">
        <v>1146</v>
      </c>
      <c r="AC8" s="73" t="n">
        <v>6403</v>
      </c>
      <c r="AD8" s="73" t="n">
        <v>11688</v>
      </c>
      <c r="AE8" s="73" t="n">
        <v>9193</v>
      </c>
    </row>
    <row r="9">
      <c r="B9" t="inlineStr">
        <is>
          <t>Short term Borrowings</t>
        </is>
      </c>
      <c r="C9" t="n">
        <v>19413</v>
      </c>
      <c r="D9" t="n">
        <v>11006</v>
      </c>
      <c r="E9" t="n">
        <v>10680</v>
      </c>
      <c r="F9" t="n">
        <v>12599</v>
      </c>
      <c r="G9" t="n">
        <v>6959</v>
      </c>
      <c r="H9" t="n">
        <v>8137</v>
      </c>
      <c r="I9" t="n">
        <v>6528</v>
      </c>
      <c r="J9" t="n">
        <v>20220</v>
      </c>
      <c r="K9" t="n">
        <v>5730</v>
      </c>
      <c r="L9" t="n">
        <v>6406</v>
      </c>
      <c r="M9" t="n">
        <v>11289</v>
      </c>
      <c r="N9" s="73" t="n">
        <v>10536</v>
      </c>
      <c r="R9" t="inlineStr">
        <is>
          <t>Interest</t>
        </is>
      </c>
      <c r="S9" t="n">
        <v>7056</v>
      </c>
      <c r="T9" t="n">
        <v>1357</v>
      </c>
      <c r="U9" t="n">
        <v>1257</v>
      </c>
      <c r="V9" t="n">
        <v>1250</v>
      </c>
      <c r="W9" t="n">
        <v>1625</v>
      </c>
      <c r="X9" t="n">
        <v>1572</v>
      </c>
      <c r="Y9" t="n">
        <v>1377</v>
      </c>
      <c r="Z9" t="n">
        <v>2526</v>
      </c>
      <c r="AA9" t="n">
        <v>3969</v>
      </c>
      <c r="AB9" t="n">
        <v>4555</v>
      </c>
      <c r="AC9" t="n">
        <v>5978</v>
      </c>
      <c r="AD9" t="n">
        <v>6019</v>
      </c>
      <c r="AE9" t="n">
        <v>7405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176</v>
      </c>
      <c r="J10" t="n">
        <v>580</v>
      </c>
      <c r="K10" t="n">
        <v>14881</v>
      </c>
      <c r="L10" t="n">
        <v>15186</v>
      </c>
      <c r="M10" t="n">
        <v>15583</v>
      </c>
      <c r="N10" t="n">
        <v>19920</v>
      </c>
      <c r="O10" s="73" t="n"/>
      <c r="R10" t="inlineStr">
        <is>
          <t>Depreciation</t>
        </is>
      </c>
      <c r="S10" s="73" t="n">
        <v>3522</v>
      </c>
      <c r="T10" s="73" t="n">
        <v>314</v>
      </c>
      <c r="U10" s="73" t="n">
        <v>315</v>
      </c>
      <c r="V10" s="73" t="n">
        <v>664</v>
      </c>
      <c r="W10" s="73" t="n">
        <v>390</v>
      </c>
      <c r="X10" s="73" t="n">
        <v>472</v>
      </c>
      <c r="Y10" s="73" t="n">
        <v>537</v>
      </c>
      <c r="Z10" s="73" t="n">
        <v>1248</v>
      </c>
      <c r="AA10" s="73" t="n">
        <v>2436</v>
      </c>
      <c r="AB10" s="73" t="n">
        <v>3042</v>
      </c>
      <c r="AC10" s="73" t="n">
        <v>4211</v>
      </c>
      <c r="AD10" s="73" t="n">
        <v>6135</v>
      </c>
      <c r="AE10" s="73" t="n">
        <v>6777</v>
      </c>
    </row>
    <row r="11">
      <c r="B11" s="73" t="inlineStr">
        <is>
          <t>Other Borrowings</t>
        </is>
      </c>
      <c r="C11" s="73" t="n">
        <v>8671</v>
      </c>
      <c r="D11" s="73" t="n">
        <v>1154</v>
      </c>
      <c r="E11" s="73" t="n">
        <v>993</v>
      </c>
      <c r="F11" s="73" t="n">
        <v>764</v>
      </c>
      <c r="G11" s="73" t="n">
        <v>1292</v>
      </c>
      <c r="H11" s="73" t="n">
        <v>767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2663</v>
      </c>
      <c r="T11" s="73" t="n">
        <v>1056</v>
      </c>
      <c r="U11" s="73" t="n">
        <v>1079</v>
      </c>
      <c r="V11" s="73" t="n">
        <v>487</v>
      </c>
      <c r="W11" s="73" t="n">
        <v>459</v>
      </c>
      <c r="X11" s="73" t="n">
        <v>1122</v>
      </c>
      <c r="Y11" s="73" t="n">
        <v>1086</v>
      </c>
      <c r="Z11" s="73" t="n">
        <v>952</v>
      </c>
      <c r="AA11" s="73" t="n">
        <v>3247</v>
      </c>
      <c r="AB11" s="73" t="n">
        <v>4926</v>
      </c>
      <c r="AC11" s="73" t="n">
        <v>10466</v>
      </c>
      <c r="AD11" s="73" t="n">
        <v>13525</v>
      </c>
      <c r="AE11" s="73" t="n">
        <v>10709</v>
      </c>
    </row>
    <row r="12">
      <c r="B12" s="73" t="inlineStr">
        <is>
          <t>Other Liabilities -</t>
        </is>
      </c>
      <c r="C12" s="73" t="n">
        <v>21420</v>
      </c>
      <c r="D12" s="73" t="n">
        <v>9132</v>
      </c>
      <c r="E12" s="73" t="n">
        <v>12630</v>
      </c>
      <c r="F12" s="73" t="n">
        <v>23679</v>
      </c>
      <c r="G12" s="73" t="n">
        <v>16537</v>
      </c>
      <c r="H12" s="73" t="n">
        <v>17509</v>
      </c>
      <c r="I12" s="73" t="n">
        <v>18231</v>
      </c>
      <c r="J12" s="73" t="n">
        <v>37726</v>
      </c>
      <c r="K12" s="73" t="n">
        <v>55027</v>
      </c>
      <c r="L12" s="73" t="n">
        <v>56200</v>
      </c>
      <c r="M12" s="73" t="n">
        <v>56056</v>
      </c>
      <c r="N12" s="73" t="n">
        <v>73321</v>
      </c>
      <c r="R12" t="inlineStr">
        <is>
          <t>Tax %</t>
        </is>
      </c>
      <c r="S12" s="75" t="n">
        <v>14</v>
      </c>
      <c r="T12" s="75" t="n">
        <v>7</v>
      </c>
      <c r="U12" s="75" t="n">
        <v>25</v>
      </c>
      <c r="V12" s="75" t="n">
        <v>23</v>
      </c>
      <c r="W12" s="75" t="n">
        <v>32</v>
      </c>
      <c r="X12" s="75" t="n">
        <v>29</v>
      </c>
      <c r="Y12" s="75" t="n">
        <v>31</v>
      </c>
      <c r="Z12" s="75" t="n">
        <v>50</v>
      </c>
      <c r="AA12" s="75" t="n">
        <v>32</v>
      </c>
      <c r="AB12" s="75" t="n">
        <v>33</v>
      </c>
      <c r="AC12" s="75" t="n">
        <v>28</v>
      </c>
      <c r="AD12" s="75" t="n">
        <v>28</v>
      </c>
      <c r="AE12" t="n">
        <v>65535</v>
      </c>
    </row>
    <row r="13">
      <c r="B13" t="inlineStr">
        <is>
          <t>Non controlling int</t>
        </is>
      </c>
      <c r="C13" t="n">
        <v>4102</v>
      </c>
      <c r="D13" t="n">
        <v>85</v>
      </c>
      <c r="E13" t="n">
        <v>562</v>
      </c>
      <c r="F13" t="n">
        <v>778</v>
      </c>
      <c r="G13" t="n">
        <v>388</v>
      </c>
      <c r="H13" t="n">
        <v>1263</v>
      </c>
      <c r="I13" t="n">
        <v>1751</v>
      </c>
      <c r="J13" t="n">
        <v>4672</v>
      </c>
      <c r="K13" t="n">
        <v>4839</v>
      </c>
      <c r="L13" t="n">
        <v>5110</v>
      </c>
      <c r="M13" t="n">
        <v>6156</v>
      </c>
      <c r="N13" t="n">
        <v>8252</v>
      </c>
      <c r="O13" s="73" t="n"/>
      <c r="R13" t="inlineStr">
        <is>
          <t>Net Profit +</t>
        </is>
      </c>
      <c r="S13" s="73" t="n">
        <v>2298</v>
      </c>
      <c r="T13" s="73" t="n">
        <v>1000</v>
      </c>
      <c r="U13" s="73" t="n">
        <v>925</v>
      </c>
      <c r="V13" s="73" t="n">
        <v>594</v>
      </c>
      <c r="W13" s="73" t="n">
        <v>506</v>
      </c>
      <c r="X13" s="73" t="n">
        <v>1040</v>
      </c>
      <c r="Y13" s="73" t="n">
        <v>1046</v>
      </c>
      <c r="Z13" s="73" t="n">
        <v>788</v>
      </c>
      <c r="AA13" s="73" t="n">
        <v>2422</v>
      </c>
      <c r="AB13" s="73" t="n">
        <v>3335</v>
      </c>
      <c r="AC13" s="73" t="n">
        <v>8005</v>
      </c>
      <c r="AD13" s="73" t="n">
        <v>9951</v>
      </c>
      <c r="AE13" s="73" t="n">
        <v>7513</v>
      </c>
    </row>
    <row r="14">
      <c r="B14" s="73" t="inlineStr">
        <is>
          <t>Trade Payables</t>
        </is>
      </c>
      <c r="C14" s="73" t="n">
        <v>10383</v>
      </c>
      <c r="D14" s="73" t="n">
        <v>5347</v>
      </c>
      <c r="E14" s="73" t="n">
        <v>8555</v>
      </c>
      <c r="F14" s="73" t="n">
        <v>8549</v>
      </c>
      <c r="G14" s="73" t="n">
        <v>12117</v>
      </c>
      <c r="H14" s="73" t="n">
        <v>11999</v>
      </c>
      <c r="I14" s="73" t="n">
        <v>11756</v>
      </c>
      <c r="J14" s="73" t="n">
        <v>17648</v>
      </c>
      <c r="K14" s="73" t="n">
        <v>28547</v>
      </c>
      <c r="L14" s="73" t="n">
        <v>24669</v>
      </c>
      <c r="M14" s="73" t="n">
        <v>21214</v>
      </c>
      <c r="N14" s="73" t="n">
        <v>27370</v>
      </c>
      <c r="S14" t="n">
        <v>15.81</v>
      </c>
      <c r="T14" t="n">
        <v>8.210000000000001</v>
      </c>
      <c r="U14" t="n">
        <v>8.02</v>
      </c>
      <c r="V14" t="n">
        <v>6.15</v>
      </c>
      <c r="W14" t="n">
        <v>5.82</v>
      </c>
      <c r="X14" t="n">
        <v>9.24</v>
      </c>
      <c r="Y14" t="n">
        <v>7.49</v>
      </c>
      <c r="Z14" t="n">
        <v>6.3</v>
      </c>
      <c r="AA14" t="n">
        <v>19.3</v>
      </c>
      <c r="AB14" t="n">
        <v>25.37</v>
      </c>
      <c r="AC14" t="n">
        <v>55.02</v>
      </c>
      <c r="AD14" t="n">
        <v>72.31</v>
      </c>
      <c r="AE14" t="n">
        <v>58.54</v>
      </c>
    </row>
    <row r="15">
      <c r="B15" t="inlineStr">
        <is>
          <t>Advance from Customers</t>
        </is>
      </c>
      <c r="C15" t="n">
        <v>713</v>
      </c>
      <c r="D15" t="n">
        <v>1197</v>
      </c>
      <c r="E15" t="n">
        <v>1035</v>
      </c>
      <c r="F15" t="n">
        <v>1275</v>
      </c>
      <c r="G15" t="n">
        <v>1406</v>
      </c>
      <c r="H15" t="n">
        <v>1697</v>
      </c>
      <c r="I15" t="n">
        <v>1353</v>
      </c>
      <c r="J15" s="73" t="n">
        <v>1829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8</v>
      </c>
      <c r="T15" t="n">
        <v>4</v>
      </c>
      <c r="U15" t="n">
        <v>4</v>
      </c>
      <c r="V15" t="n">
        <v>6</v>
      </c>
      <c r="W15" t="n">
        <v>6</v>
      </c>
      <c r="X15" t="n">
        <v>10</v>
      </c>
      <c r="Y15" t="n">
        <v>12</v>
      </c>
      <c r="Z15" t="n">
        <v>14</v>
      </c>
      <c r="AA15" t="n">
        <v>6</v>
      </c>
      <c r="AB15" t="n">
        <v>5</v>
      </c>
      <c r="AC15" t="n">
        <v>2</v>
      </c>
      <c r="AD15" t="n">
        <v>2</v>
      </c>
      <c r="AE15" t="n">
        <v>65535</v>
      </c>
    </row>
    <row r="16">
      <c r="B16" s="73" t="inlineStr">
        <is>
          <t>Other liability items</t>
        </is>
      </c>
      <c r="C16" s="73" t="n">
        <v>6222</v>
      </c>
      <c r="D16" s="73" t="n">
        <v>2503</v>
      </c>
      <c r="E16" s="73" t="n">
        <v>2477</v>
      </c>
      <c r="F16" s="73" t="n">
        <v>13078</v>
      </c>
      <c r="G16" s="73" t="n">
        <v>2626</v>
      </c>
      <c r="H16" s="73" t="n">
        <v>2549</v>
      </c>
      <c r="I16" s="73" t="n">
        <v>3370</v>
      </c>
      <c r="J16" s="73" t="n">
        <v>13577</v>
      </c>
      <c r="K16" s="73" t="n">
        <v>21641</v>
      </c>
      <c r="L16" s="73" t="n">
        <v>26421</v>
      </c>
      <c r="M16" s="73" t="n">
        <v>28686</v>
      </c>
      <c r="N16" s="73" t="n">
        <v>37698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130718</v>
      </c>
      <c r="D18" s="71" t="n">
        <v>41679</v>
      </c>
      <c r="E18" s="71" t="n">
        <v>47611</v>
      </c>
      <c r="F18" s="71" t="n">
        <v>56405</v>
      </c>
      <c r="G18" s="71" t="n">
        <v>42536</v>
      </c>
      <c r="H18" s="71" t="n">
        <v>46875</v>
      </c>
      <c r="I18" s="71" t="n">
        <v>51617</v>
      </c>
      <c r="J18" s="71" t="n">
        <v>101586</v>
      </c>
      <c r="K18" s="71" t="n">
        <v>141278</v>
      </c>
      <c r="L18" s="71" t="n">
        <v>160586</v>
      </c>
      <c r="M18" s="71" t="n">
        <v>197843</v>
      </c>
      <c r="N18" s="71" t="n">
        <v>260868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8532</v>
      </c>
      <c r="T19" s="73" t="n">
        <v>5112</v>
      </c>
      <c r="U19" s="73" t="n">
        <v>774</v>
      </c>
      <c r="V19" s="73" t="n">
        <v>2942</v>
      </c>
      <c r="W19" s="73" t="n">
        <v>3236</v>
      </c>
      <c r="X19" s="73" t="n">
        <v>2454</v>
      </c>
      <c r="Y19" s="73" t="n">
        <v>4043</v>
      </c>
      <c r="Z19" s="73" t="n">
        <v>1385</v>
      </c>
      <c r="AA19" s="73" t="n">
        <v>17626</v>
      </c>
      <c r="AB19" s="73" t="n">
        <v>10312</v>
      </c>
      <c r="AC19" s="73" t="n">
        <v>4513</v>
      </c>
      <c r="AD19" s="73" t="n">
        <v>2357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12601</v>
      </c>
      <c r="T20" s="73" t="n">
        <v>1775</v>
      </c>
      <c r="U20" s="73" t="n">
        <v>2344</v>
      </c>
      <c r="V20" s="73" t="n">
        <v>3462</v>
      </c>
      <c r="W20" s="73" t="n">
        <v>2129</v>
      </c>
      <c r="X20" s="73" t="n">
        <v>3182</v>
      </c>
      <c r="Y20" s="73" t="n">
        <v>2355</v>
      </c>
      <c r="Z20" s="73" t="n">
        <v>4122</v>
      </c>
      <c r="AA20" s="73" t="n">
        <v>9191</v>
      </c>
      <c r="AB20" s="73" t="n">
        <v>12049</v>
      </c>
      <c r="AC20" s="73" t="n">
        <v>15445</v>
      </c>
      <c r="AD20" s="73" t="n">
        <v>15148</v>
      </c>
    </row>
    <row r="21">
      <c r="B21" s="73" t="inlineStr">
        <is>
          <t>Fixed Assets -</t>
        </is>
      </c>
      <c r="C21" s="73" t="n">
        <v>83834</v>
      </c>
      <c r="D21" s="73" t="n">
        <v>10473</v>
      </c>
      <c r="E21" s="73" t="n">
        <v>13668</v>
      </c>
      <c r="F21" s="73" t="n">
        <v>10555</v>
      </c>
      <c r="G21" s="73" t="n">
        <v>9020</v>
      </c>
      <c r="H21" s="73" t="n">
        <v>10476</v>
      </c>
      <c r="I21" s="73" t="n">
        <v>10838</v>
      </c>
      <c r="J21" s="73" t="n">
        <v>30123</v>
      </c>
      <c r="K21" s="73" t="n">
        <v>56881</v>
      </c>
      <c r="L21" s="73" t="n">
        <v>65978</v>
      </c>
      <c r="M21" s="73" t="n">
        <v>77260</v>
      </c>
      <c r="N21" s="73" t="n">
        <v>115174</v>
      </c>
      <c r="R21" t="inlineStr">
        <is>
          <t>Receivables</t>
        </is>
      </c>
      <c r="S21" t="n">
        <v>-5251</v>
      </c>
      <c r="T21" t="n">
        <v>2818</v>
      </c>
      <c r="U21" t="n">
        <v>-3965</v>
      </c>
      <c r="V21" t="n">
        <v>-532</v>
      </c>
      <c r="W21" t="n">
        <v>-2109</v>
      </c>
      <c r="X21" s="73" t="n">
        <v>455</v>
      </c>
      <c r="Y21" t="n">
        <v>-248</v>
      </c>
      <c r="Z21" t="n">
        <v>-2939</v>
      </c>
      <c r="AA21" t="n">
        <v>-2064</v>
      </c>
      <c r="AB21" t="n">
        <v>1320</v>
      </c>
      <c r="AC21" s="73" t="n">
        <v>-1454</v>
      </c>
      <c r="AD21" t="n">
        <v>-5299</v>
      </c>
    </row>
    <row r="22">
      <c r="B22" s="73" t="inlineStr">
        <is>
          <t>Land</t>
        </is>
      </c>
      <c r="C22" s="73" t="n">
        <v>2808</v>
      </c>
      <c r="D22" s="73" t="n">
        <v>1232</v>
      </c>
      <c r="E22" s="73" t="n">
        <v>1596</v>
      </c>
      <c r="F22" s="73" t="n">
        <v>1633</v>
      </c>
      <c r="G22" s="73" t="n">
        <v>1225</v>
      </c>
      <c r="H22" s="73" t="n">
        <v>1224</v>
      </c>
      <c r="I22" s="73" t="n">
        <v>986</v>
      </c>
      <c r="J22" s="73" t="n">
        <v>1313</v>
      </c>
      <c r="K22" s="73" t="n">
        <v>2731</v>
      </c>
      <c r="L22" s="73" t="n">
        <v>2122</v>
      </c>
      <c r="M22" s="73" t="n">
        <v>2630</v>
      </c>
      <c r="N22" s="73" t="n">
        <v>3087</v>
      </c>
      <c r="O22" s="73" t="n"/>
      <c r="R22" t="inlineStr">
        <is>
          <t>Inventory</t>
        </is>
      </c>
      <c r="S22" t="n">
        <v>-165</v>
      </c>
      <c r="T22" t="n">
        <v>-133</v>
      </c>
      <c r="U22" t="n">
        <v>-352</v>
      </c>
      <c r="V22" t="n">
        <v>-713</v>
      </c>
      <c r="W22" t="n">
        <v>-369</v>
      </c>
      <c r="X22" t="n">
        <v>173</v>
      </c>
      <c r="Y22" s="73" t="n">
        <v>343</v>
      </c>
      <c r="Z22" t="n">
        <v>-5024</v>
      </c>
      <c r="AA22" s="73" t="n">
        <v>-130</v>
      </c>
      <c r="AB22" s="73" t="n">
        <v>-2569</v>
      </c>
      <c r="AC22" s="73" t="n">
        <v>-767</v>
      </c>
      <c r="AD22" s="73" t="n">
        <v>-8340</v>
      </c>
    </row>
    <row r="23">
      <c r="B23" s="73" t="inlineStr">
        <is>
          <t>Building</t>
        </is>
      </c>
      <c r="C23" s="73" t="n">
        <v>5392</v>
      </c>
      <c r="D23" s="73" t="n">
        <v>487</v>
      </c>
      <c r="E23" s="73" t="n">
        <v>742</v>
      </c>
      <c r="F23" s="73" t="n">
        <v>1142</v>
      </c>
      <c r="G23" s="73" t="n">
        <v>1059</v>
      </c>
      <c r="H23" s="73" t="n">
        <v>1121</v>
      </c>
      <c r="I23" s="73" t="n">
        <v>1389</v>
      </c>
      <c r="J23" s="73" t="n">
        <v>11481</v>
      </c>
      <c r="K23" s="73" t="n">
        <v>14391</v>
      </c>
      <c r="L23" s="73" t="n">
        <v>18021</v>
      </c>
      <c r="M23" s="73" t="n">
        <v>20081</v>
      </c>
      <c r="N23" s="73" t="n">
        <v>39156</v>
      </c>
      <c r="O23" s="73" t="n"/>
      <c r="R23" t="inlineStr">
        <is>
          <t>Payables</t>
        </is>
      </c>
      <c r="S23" t="n">
        <v>2549</v>
      </c>
      <c r="T23" t="n">
        <v>81</v>
      </c>
      <c r="U23" t="n">
        <v>3395</v>
      </c>
      <c r="V23" s="73" t="n">
        <v>288</v>
      </c>
      <c r="W23" t="n">
        <v>4110</v>
      </c>
      <c r="X23" t="n">
        <v>-870</v>
      </c>
      <c r="Y23" s="73" t="n">
        <v>1985</v>
      </c>
      <c r="Z23" s="73" t="n">
        <v>7188</v>
      </c>
      <c r="AA23" s="73" t="n">
        <v>12806</v>
      </c>
      <c r="AB23" t="n">
        <v>-2846</v>
      </c>
      <c r="AC23" s="73" t="n">
        <v>-2955</v>
      </c>
      <c r="AD23" t="n">
        <v>6335</v>
      </c>
    </row>
    <row r="24">
      <c r="B24" s="73" t="inlineStr">
        <is>
          <t>Plant Machinery</t>
        </is>
      </c>
      <c r="C24" s="73" t="n">
        <v>69255</v>
      </c>
      <c r="D24" s="73" t="n">
        <v>3544</v>
      </c>
      <c r="E24" s="73" t="n">
        <v>6582</v>
      </c>
      <c r="F24" s="73" t="n">
        <v>3253</v>
      </c>
      <c r="G24" s="73" t="n">
        <v>2493</v>
      </c>
      <c r="H24" s="73" t="n">
        <v>3376</v>
      </c>
      <c r="I24" s="73" t="n">
        <v>3821</v>
      </c>
      <c r="J24" s="73" t="n">
        <v>5388</v>
      </c>
      <c r="K24" s="73" t="n">
        <v>9093</v>
      </c>
      <c r="L24" s="73" t="n">
        <v>15270</v>
      </c>
      <c r="M24" s="73" t="n">
        <v>23785</v>
      </c>
      <c r="N24" s="73" t="n">
        <v>32095</v>
      </c>
      <c r="R24" t="inlineStr">
        <is>
          <t>Working capital changes</t>
        </is>
      </c>
      <c r="S24" t="n">
        <v>-3235</v>
      </c>
      <c r="T24" t="n">
        <v>3568</v>
      </c>
      <c r="U24" t="n">
        <v>-1350</v>
      </c>
      <c r="V24" s="73" t="n">
        <v>-270</v>
      </c>
      <c r="W24" t="n">
        <v>1409</v>
      </c>
      <c r="X24" t="n">
        <v>-461</v>
      </c>
      <c r="Y24" t="n">
        <v>1800</v>
      </c>
      <c r="Z24" t="n">
        <v>-2532</v>
      </c>
      <c r="AA24" t="n">
        <v>9345</v>
      </c>
      <c r="AB24" s="73" t="n">
        <v>-29</v>
      </c>
      <c r="AC24" s="73" t="n">
        <v>-8837</v>
      </c>
      <c r="AD24" s="73" t="n">
        <v>-10079</v>
      </c>
    </row>
    <row r="25">
      <c r="B25" t="inlineStr">
        <is>
          <t>Equipments</t>
        </is>
      </c>
      <c r="C25" t="n">
        <v>155</v>
      </c>
      <c r="D25" t="n">
        <v>25</v>
      </c>
      <c r="E25" t="n">
        <v>38</v>
      </c>
      <c r="F25" t="n">
        <v>46</v>
      </c>
      <c r="G25" t="n">
        <v>45</v>
      </c>
      <c r="H25" t="n">
        <v>48</v>
      </c>
      <c r="I25" t="n">
        <v>66</v>
      </c>
      <c r="J25" t="n">
        <v>108</v>
      </c>
      <c r="K25" t="n">
        <v>182</v>
      </c>
      <c r="L25" t="n">
        <v>345</v>
      </c>
      <c r="M25" t="n">
        <v>666</v>
      </c>
      <c r="N25" t="n">
        <v>1065</v>
      </c>
      <c r="R25" t="inlineStr">
        <is>
          <t>Direct taxes</t>
        </is>
      </c>
      <c r="S25" s="73" t="n">
        <v>-834</v>
      </c>
      <c r="T25" s="73" t="n">
        <v>-231</v>
      </c>
      <c r="U25" s="73" t="n">
        <v>-220</v>
      </c>
      <c r="V25" s="73" t="n">
        <v>-250</v>
      </c>
      <c r="W25" s="73" t="n">
        <v>-211</v>
      </c>
      <c r="X25" s="73" t="n">
        <v>-267</v>
      </c>
      <c r="Y25" s="73" t="n">
        <v>-112</v>
      </c>
      <c r="Z25" s="73" t="n">
        <v>-205</v>
      </c>
      <c r="AA25" s="73" t="n">
        <v>-910</v>
      </c>
      <c r="AB25" s="73" t="n">
        <v>-1708</v>
      </c>
      <c r="AC25" s="73" t="n">
        <v>-2095</v>
      </c>
      <c r="AD25" s="73" t="n">
        <v>-2712</v>
      </c>
    </row>
    <row r="26">
      <c r="B26" s="73" t="inlineStr">
        <is>
          <t>Furniture n fittings</t>
        </is>
      </c>
      <c r="C26" s="73" t="n">
        <v>324</v>
      </c>
      <c r="D26" s="73" t="n">
        <v>92</v>
      </c>
      <c r="E26" s="73" t="n">
        <v>106</v>
      </c>
      <c r="F26" s="73" t="n">
        <v>172</v>
      </c>
      <c r="G26" s="73" t="n">
        <v>171</v>
      </c>
      <c r="H26" s="73" t="n">
        <v>186</v>
      </c>
      <c r="I26" s="73" t="n">
        <v>187</v>
      </c>
      <c r="J26" s="73" t="n">
        <v>565</v>
      </c>
      <c r="K26" s="73" t="n">
        <v>583</v>
      </c>
      <c r="L26" s="73" t="n">
        <v>898</v>
      </c>
      <c r="M26" s="73" t="n">
        <v>1516</v>
      </c>
      <c r="N26" s="73" t="n">
        <v>2146</v>
      </c>
      <c r="R26" t="inlineStr">
        <is>
          <t>Cash from Investing Activity -</t>
        </is>
      </c>
      <c r="S26" s="73" t="n">
        <v>-11465</v>
      </c>
      <c r="T26" s="73" t="n">
        <v>-1825</v>
      </c>
      <c r="U26" s="73" t="n">
        <v>-1460</v>
      </c>
      <c r="V26" s="73" t="n">
        <v>-7649</v>
      </c>
      <c r="W26" s="73" t="n">
        <v>2487</v>
      </c>
      <c r="X26" s="73" t="n">
        <v>-1082</v>
      </c>
      <c r="Y26" s="73" t="n">
        <v>-8611</v>
      </c>
      <c r="Z26" s="73" t="n">
        <v>-17041</v>
      </c>
      <c r="AA26" s="73" t="n">
        <v>-15459</v>
      </c>
      <c r="AB26" s="73" t="n">
        <v>-18767</v>
      </c>
      <c r="AC26" t="n">
        <v>-26417</v>
      </c>
      <c r="AD26" s="73" t="n">
        <v>-27680</v>
      </c>
    </row>
    <row r="27">
      <c r="B27" s="73" t="inlineStr">
        <is>
          <t>Railway sidings</t>
        </is>
      </c>
      <c r="C27" s="73" t="n">
        <v>1449</v>
      </c>
      <c r="D27" s="73" t="n">
        <v>74</v>
      </c>
      <c r="E27" s="73" t="n">
        <v>74</v>
      </c>
      <c r="F27" s="73" t="n">
        <v>74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12712</v>
      </c>
      <c r="L27" s="73" t="n">
        <v>13980</v>
      </c>
      <c r="M27" s="73" t="n">
        <v>13383</v>
      </c>
      <c r="N27" s="73" t="n">
        <v>16579</v>
      </c>
      <c r="R27" t="inlineStr">
        <is>
          <t>Fixed assets purchased</t>
        </is>
      </c>
      <c r="S27" s="73" t="n">
        <v>-9557</v>
      </c>
      <c r="T27" s="73" t="n">
        <v>-5920</v>
      </c>
      <c r="U27" s="73" t="n">
        <v>-4167</v>
      </c>
      <c r="V27" s="73" t="n">
        <v>-7305</v>
      </c>
      <c r="W27" s="73" t="n">
        <v>-1772</v>
      </c>
      <c r="X27" s="73" t="n">
        <v>-2901</v>
      </c>
      <c r="Y27" s="73" t="n">
        <v>-4139</v>
      </c>
      <c r="Z27" s="73" t="n">
        <v>-11647</v>
      </c>
      <c r="AA27" s="73" t="n">
        <v>-14725</v>
      </c>
      <c r="AB27" s="73" t="n">
        <v>-22366</v>
      </c>
      <c r="AC27" s="73" t="n">
        <v>-29879</v>
      </c>
      <c r="AD27" s="73" t="n">
        <v>-33369</v>
      </c>
    </row>
    <row r="28">
      <c r="B28" t="inlineStr">
        <is>
          <t>Vehicles</t>
        </is>
      </c>
      <c r="C28" t="n">
        <v>477</v>
      </c>
      <c r="D28" t="n">
        <v>25</v>
      </c>
      <c r="E28" t="n">
        <v>29</v>
      </c>
      <c r="F28" t="n">
        <v>35</v>
      </c>
      <c r="G28" t="n">
        <v>44</v>
      </c>
      <c r="H28" t="n">
        <v>54</v>
      </c>
      <c r="I28" t="n">
        <v>68</v>
      </c>
      <c r="J28" t="n">
        <v>436</v>
      </c>
      <c r="K28" t="n">
        <v>498</v>
      </c>
      <c r="L28" t="n">
        <v>554</v>
      </c>
      <c r="M28" t="n">
        <v>658</v>
      </c>
      <c r="N28" t="n">
        <v>908</v>
      </c>
      <c r="O28" s="73" t="n"/>
      <c r="R28" t="inlineStr">
        <is>
          <t>Fixed assets sold</t>
        </is>
      </c>
      <c r="S28" s="73" t="n">
        <v>405</v>
      </c>
      <c r="T28" s="73" t="n">
        <v>30</v>
      </c>
      <c r="U28" s="73" t="n">
        <v>20</v>
      </c>
      <c r="V28" s="73" t="n">
        <v>11</v>
      </c>
      <c r="W28" s="73" t="n">
        <v>7</v>
      </c>
      <c r="X28" s="73" t="n">
        <v>180</v>
      </c>
      <c r="Y28" s="73" t="n">
        <v>780</v>
      </c>
      <c r="Z28" s="73" t="n">
        <v>2</v>
      </c>
      <c r="AA28" s="73" t="n">
        <v>70</v>
      </c>
      <c r="AB28" t="n">
        <v>120</v>
      </c>
      <c r="AC28" s="73" t="n">
        <v>364</v>
      </c>
      <c r="AD28" s="73" t="n">
        <v>19</v>
      </c>
    </row>
    <row r="29">
      <c r="B29" t="inlineStr">
        <is>
          <t>Intangible Assets</t>
        </is>
      </c>
      <c r="C29" t="n">
        <v>2130</v>
      </c>
      <c r="D29" t="n">
        <v>80</v>
      </c>
      <c r="E29" t="n">
        <v>80</v>
      </c>
      <c r="F29" t="n">
        <v>80</v>
      </c>
      <c r="G29" t="n">
        <v>54</v>
      </c>
      <c r="H29" t="n">
        <v>139</v>
      </c>
      <c r="I29" s="73" t="n">
        <v>152</v>
      </c>
      <c r="J29" s="73" t="n">
        <v>301</v>
      </c>
      <c r="K29" s="73" t="n">
        <v>887</v>
      </c>
      <c r="L29" s="73" t="n">
        <v>1040</v>
      </c>
      <c r="M29" s="73" t="n">
        <v>1086</v>
      </c>
      <c r="N29" s="73" t="n">
        <v>899</v>
      </c>
      <c r="R29" t="inlineStr">
        <is>
          <t>Investments purchased</t>
        </is>
      </c>
      <c r="S29" s="73" t="n">
        <v>-401</v>
      </c>
      <c r="T29" s="73" t="n">
        <v>8</v>
      </c>
      <c r="U29" s="73" t="n">
        <v>-52</v>
      </c>
      <c r="V29" s="73" t="n">
        <v>0</v>
      </c>
      <c r="W29" s="73" t="n">
        <v>0</v>
      </c>
      <c r="X29" s="73" t="n">
        <v>-40</v>
      </c>
      <c r="Y29" s="73" t="n">
        <v>0</v>
      </c>
      <c r="Z29" s="73" t="n">
        <v>-32</v>
      </c>
      <c r="AA29" s="73" t="n">
        <v>-260</v>
      </c>
      <c r="AB29" s="73" t="n">
        <v>-1191</v>
      </c>
      <c r="AC29" s="73" t="n">
        <v>-1347</v>
      </c>
      <c r="AD29" s="73" t="n">
        <v>-1489</v>
      </c>
    </row>
    <row r="30">
      <c r="B30" t="inlineStr">
        <is>
          <t>Other fixed assets</t>
        </is>
      </c>
      <c r="C30" t="n">
        <v>11411</v>
      </c>
      <c r="D30" t="n">
        <v>3527</v>
      </c>
      <c r="E30" t="n">
        <v>3518</v>
      </c>
      <c r="F30" t="n">
        <v>3569</v>
      </c>
      <c r="G30" t="n">
        <v>3380</v>
      </c>
      <c r="H30" t="n">
        <v>4114</v>
      </c>
      <c r="I30" t="n">
        <v>5324</v>
      </c>
      <c r="J30" t="n">
        <v>12909</v>
      </c>
      <c r="K30" t="n">
        <v>19939</v>
      </c>
      <c r="L30" t="n">
        <v>20792</v>
      </c>
      <c r="M30" t="n">
        <v>24605</v>
      </c>
      <c r="N30" s="73" t="n">
        <v>35591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6</v>
      </c>
      <c r="W30" s="73" t="n">
        <v>243</v>
      </c>
      <c r="X30" s="73" t="n">
        <v>0</v>
      </c>
      <c r="Y30" s="73" t="n">
        <v>222</v>
      </c>
      <c r="Z30" s="73" t="n">
        <v>89</v>
      </c>
      <c r="AA30" s="73" t="n">
        <v>28</v>
      </c>
      <c r="AB30" s="73" t="n">
        <v>159</v>
      </c>
      <c r="AC30" s="73" t="n">
        <v>4751</v>
      </c>
      <c r="AD30" s="73" t="n">
        <v>10799</v>
      </c>
    </row>
    <row r="31">
      <c r="B31" t="inlineStr">
        <is>
          <t>Gross Block</t>
        </is>
      </c>
      <c r="C31" s="73" t="n">
        <v>96486</v>
      </c>
      <c r="D31" s="73" t="n">
        <v>10813</v>
      </c>
      <c r="E31" s="73" t="n">
        <v>14634</v>
      </c>
      <c r="F31" s="73" t="n">
        <v>11907</v>
      </c>
      <c r="G31" s="73" t="n">
        <v>10482</v>
      </c>
      <c r="H31" s="73" t="n">
        <v>12442</v>
      </c>
      <c r="I31" s="73" t="n">
        <v>13035</v>
      </c>
      <c r="J31" s="73" t="n">
        <v>33692</v>
      </c>
      <c r="K31" s="73" t="n">
        <v>62378</v>
      </c>
      <c r="L31" s="73" t="n">
        <v>74560</v>
      </c>
      <c r="M31" s="73" t="n">
        <v>89964</v>
      </c>
      <c r="N31" s="73" t="n">
        <v>134265</v>
      </c>
      <c r="O31" s="73" t="n"/>
      <c r="R31" t="inlineStr">
        <is>
          <t>Interest received</t>
        </is>
      </c>
      <c r="S31" t="n">
        <v>872</v>
      </c>
      <c r="T31" t="n">
        <v>754</v>
      </c>
      <c r="U31" s="73" t="n">
        <v>651</v>
      </c>
      <c r="V31" s="73" t="n">
        <v>547</v>
      </c>
      <c r="W31" s="73" t="n">
        <v>476</v>
      </c>
      <c r="X31" s="73" t="n">
        <v>459</v>
      </c>
      <c r="Y31" s="73" t="n">
        <v>322</v>
      </c>
      <c r="Z31" s="73" t="n">
        <v>821</v>
      </c>
      <c r="AA31" s="73" t="n">
        <v>608</v>
      </c>
      <c r="AB31" s="73" t="n">
        <v>1127</v>
      </c>
      <c r="AC31" s="73" t="n">
        <v>1184</v>
      </c>
      <c r="AD31" s="73" t="n">
        <v>1042</v>
      </c>
    </row>
    <row r="32">
      <c r="B32" s="73" t="inlineStr">
        <is>
          <t>Accumulated Depreciation</t>
        </is>
      </c>
      <c r="C32" s="73" t="n">
        <v>12652</v>
      </c>
      <c r="D32" s="73" t="n">
        <v>339</v>
      </c>
      <c r="E32" s="73" t="n">
        <v>966</v>
      </c>
      <c r="F32" s="73" t="n">
        <v>1352</v>
      </c>
      <c r="G32" s="73" t="n">
        <v>1462</v>
      </c>
      <c r="H32" s="73" t="n">
        <v>1965</v>
      </c>
      <c r="I32" s="73" t="n">
        <v>2197</v>
      </c>
      <c r="J32" s="73" t="n">
        <v>3570</v>
      </c>
      <c r="K32" s="73" t="n">
        <v>5497</v>
      </c>
      <c r="L32" s="73" t="n">
        <v>8582</v>
      </c>
      <c r="M32" s="73" t="n">
        <v>12703</v>
      </c>
      <c r="N32" s="73" t="n">
        <v>19091</v>
      </c>
      <c r="O32" s="73" t="n"/>
      <c r="R32" t="inlineStr">
        <is>
          <t>Dividends received</t>
        </is>
      </c>
      <c r="S32" t="n">
        <v>15</v>
      </c>
      <c r="T32" t="n">
        <v>177</v>
      </c>
      <c r="U32" s="73" t="n">
        <v>4</v>
      </c>
      <c r="V32" t="n">
        <v>4</v>
      </c>
      <c r="W32" t="n">
        <v>3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11</v>
      </c>
      <c r="AC32" s="73" t="n">
        <v>0</v>
      </c>
      <c r="AD32" s="73" t="n">
        <v>0</v>
      </c>
    </row>
    <row r="33">
      <c r="B33" t="inlineStr">
        <is>
          <t>Net Block</t>
        </is>
      </c>
      <c r="C33" s="73" t="n">
        <v>83834</v>
      </c>
      <c r="D33" s="73" t="n">
        <v>10473</v>
      </c>
      <c r="E33" s="73" t="n">
        <v>13668</v>
      </c>
      <c r="F33" s="73" t="n">
        <v>10555</v>
      </c>
      <c r="G33" s="73" t="n">
        <v>9020</v>
      </c>
      <c r="H33" s="73" t="n">
        <v>10476</v>
      </c>
      <c r="I33" s="73" t="n">
        <v>10838</v>
      </c>
      <c r="J33" s="73" t="n">
        <v>30123</v>
      </c>
      <c r="K33" s="73" t="n">
        <v>56881</v>
      </c>
      <c r="L33" s="73" t="n">
        <v>65978</v>
      </c>
      <c r="M33" s="73" t="n">
        <v>77260</v>
      </c>
      <c r="N33" s="73" t="n">
        <v>115174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-558</v>
      </c>
      <c r="T34" s="73" t="n">
        <v>3173</v>
      </c>
      <c r="U34" s="73" t="n">
        <v>2157</v>
      </c>
      <c r="V34" s="73" t="n">
        <v>-832</v>
      </c>
      <c r="W34" s="73" t="n">
        <v>2584</v>
      </c>
      <c r="X34" s="73" t="n">
        <v>1474</v>
      </c>
      <c r="Y34" s="73" t="n">
        <v>-2308</v>
      </c>
      <c r="Z34" s="73" t="n">
        <v>-4426</v>
      </c>
      <c r="AA34" s="73" t="n">
        <v>1105</v>
      </c>
      <c r="AB34" s="73" t="n">
        <v>4458</v>
      </c>
      <c r="AC34" s="73" t="n">
        <v>-208</v>
      </c>
      <c r="AD34" s="73" t="n">
        <v>-1708</v>
      </c>
    </row>
    <row r="35">
      <c r="B35" t="inlineStr">
        <is>
          <t>CWIP</t>
        </is>
      </c>
      <c r="C35" s="73" t="n">
        <v>6733</v>
      </c>
      <c r="D35" s="73" t="n">
        <v>7705</v>
      </c>
      <c r="E35" s="73" t="n">
        <v>7731</v>
      </c>
      <c r="F35" s="73" t="n">
        <v>5526</v>
      </c>
      <c r="G35" s="73" t="n">
        <v>5765</v>
      </c>
      <c r="H35" s="73" t="n">
        <v>7347</v>
      </c>
      <c r="I35" s="73" t="n">
        <v>8825</v>
      </c>
      <c r="J35" s="73" t="n">
        <v>23544</v>
      </c>
      <c r="K35" s="73" t="n">
        <v>24025</v>
      </c>
      <c r="L35" s="73" t="n">
        <v>35180</v>
      </c>
      <c r="M35" s="73" t="n">
        <v>51516</v>
      </c>
      <c r="N35" s="73" t="n">
        <v>51753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744</v>
      </c>
      <c r="D36" s="73" t="n">
        <v>805</v>
      </c>
      <c r="E36" s="73" t="n">
        <v>1042</v>
      </c>
      <c r="F36" s="73" t="n">
        <v>1461</v>
      </c>
      <c r="G36" s="73" t="n">
        <v>1511</v>
      </c>
      <c r="H36" s="73" t="n">
        <v>1952</v>
      </c>
      <c r="I36" s="73" t="n">
        <v>5503</v>
      </c>
      <c r="J36" s="73" t="n">
        <v>4292</v>
      </c>
      <c r="K36" s="73" t="n">
        <v>6310</v>
      </c>
      <c r="L36" s="73" t="n">
        <v>8701</v>
      </c>
      <c r="M36" s="73" t="n">
        <v>9887</v>
      </c>
      <c r="N36" s="73" t="n">
        <v>9428</v>
      </c>
      <c r="O36" s="73" t="n"/>
      <c r="R36" t="inlineStr">
        <is>
          <t>Other investing items</t>
        </is>
      </c>
      <c r="S36" s="73" t="n">
        <v>3445</v>
      </c>
      <c r="T36" s="73" t="n">
        <v>-3448</v>
      </c>
      <c r="U36" s="73" t="n">
        <v>716</v>
      </c>
      <c r="V36" s="73" t="n">
        <v>5120</v>
      </c>
      <c r="W36" s="73" t="n">
        <v>-6158</v>
      </c>
      <c r="X36" s="73" t="n">
        <v>-221</v>
      </c>
      <c r="Y36" s="73" t="n">
        <v>3109</v>
      </c>
      <c r="Z36" s="73" t="n">
        <v>15901</v>
      </c>
      <c r="AA36" t="n">
        <v>-1198</v>
      </c>
      <c r="AB36" s="73" t="n">
        <v>8879</v>
      </c>
      <c r="AC36" t="n">
        <v>22655</v>
      </c>
      <c r="AD36" s="73" t="n">
        <v>28484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7700</v>
      </c>
      <c r="AB37" s="73" t="n">
        <v>0</v>
      </c>
      <c r="AC37" s="73" t="n">
        <v>4168</v>
      </c>
      <c r="AD37" s="73" t="n">
        <v>24854</v>
      </c>
    </row>
    <row r="38">
      <c r="B38" t="inlineStr">
        <is>
          <t>Other Assets -</t>
        </is>
      </c>
      <c r="C38" s="73" t="n">
        <v>39407</v>
      </c>
      <c r="D38" s="73" t="n">
        <v>22696</v>
      </c>
      <c r="E38" s="73" t="n">
        <v>25170</v>
      </c>
      <c r="F38" s="73" t="n">
        <v>38864</v>
      </c>
      <c r="G38" s="73" t="n">
        <v>26240</v>
      </c>
      <c r="H38" s="73" t="n">
        <v>27099</v>
      </c>
      <c r="I38" s="73" t="n">
        <v>26451</v>
      </c>
      <c r="J38" s="73" t="n">
        <v>43627</v>
      </c>
      <c r="K38" s="73" t="n">
        <v>54062</v>
      </c>
      <c r="L38" s="73" t="n">
        <v>50728</v>
      </c>
      <c r="M38" s="73" t="n">
        <v>59180</v>
      </c>
      <c r="N38" s="73" t="n">
        <v>84513</v>
      </c>
      <c r="O38" s="73" t="n"/>
      <c r="R38" t="inlineStr">
        <is>
          <t>Proceeds from shares</t>
        </is>
      </c>
      <c r="S38" t="n">
        <v>30297</v>
      </c>
      <c r="T38" t="n">
        <v>4772</v>
      </c>
      <c r="U38" s="73" t="n">
        <v>4266</v>
      </c>
      <c r="V38" t="n">
        <v>15069</v>
      </c>
      <c r="W38" t="n">
        <v>3031</v>
      </c>
      <c r="X38" t="n">
        <v>4435</v>
      </c>
      <c r="Y38" t="n">
        <v>7520</v>
      </c>
      <c r="Z38" t="n">
        <v>18364</v>
      </c>
      <c r="AA38" s="73" t="n">
        <v>30339</v>
      </c>
      <c r="AB38" s="73" t="n">
        <v>22522</v>
      </c>
      <c r="AC38" t="n">
        <v>34819</v>
      </c>
      <c r="AD38" t="n">
        <v>40870</v>
      </c>
    </row>
    <row r="39">
      <c r="B39" t="inlineStr">
        <is>
          <t>Inventories</t>
        </is>
      </c>
      <c r="C39" s="73" t="n">
        <v>4082</v>
      </c>
      <c r="D39" s="73" t="n">
        <v>1300</v>
      </c>
      <c r="E39" s="73" t="n">
        <v>1652</v>
      </c>
      <c r="F39" s="73" t="n">
        <v>2343</v>
      </c>
      <c r="G39" s="73" t="n">
        <v>2669</v>
      </c>
      <c r="H39" s="73" t="n">
        <v>2562</v>
      </c>
      <c r="I39" s="73" t="n">
        <v>1757</v>
      </c>
      <c r="J39" s="73" t="n">
        <v>6788</v>
      </c>
      <c r="K39" s="73" t="n">
        <v>6918</v>
      </c>
      <c r="L39" s="73" t="n">
        <v>9487</v>
      </c>
      <c r="M39" s="73" t="n">
        <v>10287</v>
      </c>
      <c r="N39" s="73" t="n">
        <v>18713</v>
      </c>
      <c r="O39" s="73" t="n"/>
      <c r="R39" t="inlineStr">
        <is>
          <t>Proceeds from borrowings</t>
        </is>
      </c>
      <c r="S39" t="n">
        <v>-18760</v>
      </c>
      <c r="T39" t="n">
        <v>-6518</v>
      </c>
      <c r="U39" t="n">
        <v>-2547</v>
      </c>
      <c r="V39" t="n">
        <v>-8484</v>
      </c>
      <c r="W39" t="n">
        <v>-7636</v>
      </c>
      <c r="X39" t="n">
        <v>-3255</v>
      </c>
      <c r="Y39" t="n">
        <v>-3047</v>
      </c>
      <c r="Z39" t="n">
        <v>-270</v>
      </c>
      <c r="AA39" t="n">
        <v>-34403</v>
      </c>
      <c r="AB39" t="n">
        <v>-10717</v>
      </c>
      <c r="AC39" t="n">
        <v>-9910</v>
      </c>
      <c r="AD39" s="73" t="n">
        <v>-33623</v>
      </c>
    </row>
    <row r="40">
      <c r="B40" t="inlineStr">
        <is>
          <t>Trade receivables +</t>
        </is>
      </c>
      <c r="C40" s="73" t="n">
        <v>15319</v>
      </c>
      <c r="D40" s="73" t="n">
        <v>10187</v>
      </c>
      <c r="E40" s="73" t="n">
        <v>12742</v>
      </c>
      <c r="F40" s="73" t="n">
        <v>12099</v>
      </c>
      <c r="G40" s="73" t="n">
        <v>14307</v>
      </c>
      <c r="H40" s="73" t="n">
        <v>13147</v>
      </c>
      <c r="I40" s="73" t="n">
        <v>11983</v>
      </c>
      <c r="J40" s="73" t="n">
        <v>13712</v>
      </c>
      <c r="K40" s="73" t="n">
        <v>12553</v>
      </c>
      <c r="L40" s="73" t="n">
        <v>9793</v>
      </c>
      <c r="M40" s="73" t="n">
        <v>9616</v>
      </c>
      <c r="N40" s="73" t="n">
        <v>12543</v>
      </c>
      <c r="O40" s="73" t="n"/>
      <c r="R40" t="inlineStr">
        <is>
          <t>Repayment of borrowings</t>
        </is>
      </c>
      <c r="S40" t="n">
        <v>-7941</v>
      </c>
      <c r="T40" t="n">
        <v>-1494</v>
      </c>
      <c r="U40" t="n">
        <v>-1581</v>
      </c>
      <c r="V40" s="73" t="n">
        <v>-1726</v>
      </c>
      <c r="W40" t="n">
        <v>-1606</v>
      </c>
      <c r="X40" t="n">
        <v>-1532</v>
      </c>
      <c r="Y40" s="73" t="n">
        <v>-1212</v>
      </c>
      <c r="Z40" t="n">
        <v>-2601</v>
      </c>
      <c r="AA40" s="73" t="n">
        <v>-3342</v>
      </c>
      <c r="AB40" s="73" t="n">
        <v>-4055</v>
      </c>
      <c r="AC40" s="73" t="n">
        <v>-5599</v>
      </c>
      <c r="AD40" s="73" t="n">
        <v>-5102</v>
      </c>
    </row>
    <row r="41">
      <c r="B41" t="inlineStr">
        <is>
          <t>Cash Equivalents</t>
        </is>
      </c>
      <c r="C41" s="73" t="n">
        <v>3651</v>
      </c>
      <c r="D41" s="73" t="n">
        <v>1540</v>
      </c>
      <c r="E41" s="73" t="n">
        <v>1715</v>
      </c>
      <c r="F41" s="73" t="n">
        <v>1884</v>
      </c>
      <c r="G41" s="73" t="n">
        <v>1709</v>
      </c>
      <c r="H41" s="73" t="n">
        <v>3377</v>
      </c>
      <c r="I41" s="73" t="n">
        <v>1811</v>
      </c>
      <c r="J41" s="73" t="n">
        <v>3916</v>
      </c>
      <c r="K41" s="73" t="n">
        <v>5374</v>
      </c>
      <c r="L41" s="73" t="n">
        <v>7068</v>
      </c>
      <c r="M41" s="73" t="n">
        <v>6962</v>
      </c>
      <c r="N41" s="73" t="n">
        <v>11809</v>
      </c>
      <c r="O41" s="73" t="n"/>
      <c r="R41" t="inlineStr">
        <is>
          <t>Interest paid fin</t>
        </is>
      </c>
      <c r="S41" s="73" t="n">
        <v>-146</v>
      </c>
      <c r="T41" s="73" t="n">
        <v>-208</v>
      </c>
      <c r="U41" s="73" t="n">
        <v>0</v>
      </c>
      <c r="V41" s="73" t="n">
        <v>-53</v>
      </c>
      <c r="W41" s="73" t="n">
        <v>-53</v>
      </c>
      <c r="X41" s="73" t="n">
        <v>-186</v>
      </c>
      <c r="Y41" s="73" t="n">
        <v>0</v>
      </c>
      <c r="Z41" s="73" t="n">
        <v>-110</v>
      </c>
      <c r="AA41" s="73" t="n">
        <v>-114</v>
      </c>
      <c r="AB41" s="73" t="n">
        <v>-137</v>
      </c>
      <c r="AC41" s="73" t="n">
        <v>-148</v>
      </c>
      <c r="AD41" s="73" t="n">
        <v>-640</v>
      </c>
    </row>
    <row r="42">
      <c r="B42" t="inlineStr">
        <is>
          <t>Loans n Advances</t>
        </is>
      </c>
      <c r="C42" s="73" t="n">
        <v>290</v>
      </c>
      <c r="D42" s="73" t="n">
        <v>62</v>
      </c>
      <c r="E42" s="73" t="n">
        <v>4027</v>
      </c>
      <c r="F42" s="73" t="n">
        <v>4256</v>
      </c>
      <c r="G42" s="73" t="n">
        <v>2332</v>
      </c>
      <c r="H42" s="73" t="n">
        <v>2093</v>
      </c>
      <c r="I42" s="73" t="n">
        <v>1509</v>
      </c>
      <c r="J42" s="73" t="n">
        <v>1740</v>
      </c>
      <c r="K42" s="73" t="n">
        <v>4931</v>
      </c>
      <c r="L42" s="73" t="n">
        <v>1683</v>
      </c>
      <c r="M42" s="73" t="n">
        <v>1755</v>
      </c>
      <c r="N42" s="73" t="n">
        <v>2190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16065</v>
      </c>
      <c r="D43" s="73" t="n">
        <v>9607</v>
      </c>
      <c r="E43" s="73" t="n">
        <v>5034</v>
      </c>
      <c r="F43" s="73" t="n">
        <v>18282</v>
      </c>
      <c r="G43" s="73" t="n">
        <v>5222</v>
      </c>
      <c r="H43" s="73" t="n">
        <v>5921</v>
      </c>
      <c r="I43" s="73" t="n">
        <v>9392</v>
      </c>
      <c r="J43" s="73" t="n">
        <v>17470</v>
      </c>
      <c r="K43" s="73" t="n">
        <v>24286</v>
      </c>
      <c r="L43" s="73" t="n">
        <v>22696</v>
      </c>
      <c r="M43" s="73" t="n">
        <v>30559</v>
      </c>
      <c r="N43" s="73" t="n">
        <v>39258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130718</v>
      </c>
      <c r="D44" s="73" t="n">
        <v>41679</v>
      </c>
      <c r="E44" s="73" t="n">
        <v>47611</v>
      </c>
      <c r="F44" s="73" t="n">
        <v>56405</v>
      </c>
      <c r="G44" s="73" t="n">
        <v>42536</v>
      </c>
      <c r="H44" s="73" t="n">
        <v>46875</v>
      </c>
      <c r="I44" s="73" t="n">
        <v>51617</v>
      </c>
      <c r="J44" s="73" t="n">
        <v>101586</v>
      </c>
      <c r="K44" s="73" t="n">
        <v>141278</v>
      </c>
      <c r="L44" s="73" t="n">
        <v>160586</v>
      </c>
      <c r="M44" s="73" t="n">
        <v>197843</v>
      </c>
      <c r="N44" s="73" t="n">
        <v>260868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512</v>
      </c>
      <c r="T45" t="n">
        <v>-161</v>
      </c>
      <c r="U45" t="n">
        <v>30</v>
      </c>
      <c r="V45" t="n">
        <v>413</v>
      </c>
      <c r="W45" t="n">
        <v>-436</v>
      </c>
      <c r="X45" t="n">
        <v>1151</v>
      </c>
      <c r="Y45" t="n">
        <v>-1459</v>
      </c>
      <c r="Z45" t="n">
        <v>246</v>
      </c>
      <c r="AA45" t="n">
        <v>970</v>
      </c>
      <c r="AB45" t="n">
        <v>424</v>
      </c>
      <c r="AC45" t="n">
        <v>751</v>
      </c>
      <c r="AD45" t="n">
        <v>3161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Adani Enterprises Ltd</t>
        </is>
      </c>
      <c r="M56" t="n">
        <v>2999</v>
      </c>
      <c r="N56" t="n">
        <v>135.1927309103034</v>
      </c>
      <c r="AR56" t="n">
        <v>405442.61</v>
      </c>
      <c r="AS56">
        <f>AZ56-BA56</f>
        <v/>
      </c>
      <c r="AT56">
        <f>AR56+AS56</f>
        <v/>
      </c>
      <c r="AU56" t="n">
        <v>131695.92</v>
      </c>
      <c r="AV56">
        <f>AT56/AX56</f>
        <v/>
      </c>
      <c r="AW56" t="n">
        <v>14971</v>
      </c>
      <c r="AX56" t="n">
        <v>5.8</v>
      </c>
      <c r="AZ56" t="n">
        <v>106622</v>
      </c>
      <c r="BA56" t="n">
        <v>21128.25</v>
      </c>
    </row>
    <row r="57">
      <c r="K57" t="n">
        <v>1</v>
      </c>
      <c r="L57" t="inlineStr">
        <is>
          <t>Adani Enterp.</t>
        </is>
      </c>
      <c r="M57" t="n">
        <v>2999.1</v>
      </c>
      <c r="N57" t="n">
        <v>135.19</v>
      </c>
      <c r="AR57" t="n">
        <v>357.27</v>
      </c>
      <c r="AS57">
        <f>AZ57-BA57</f>
        <v/>
      </c>
      <c r="AT57">
        <f>AR57+AS57</f>
        <v/>
      </c>
      <c r="AU57" t="n">
        <v>80.68000000000001</v>
      </c>
      <c r="AV57">
        <f>AT57/AX57</f>
        <v/>
      </c>
      <c r="AW57" t="n">
        <v>1.56</v>
      </c>
      <c r="AX57" t="n">
        <v>7.05</v>
      </c>
      <c r="AZ57" t="n">
        <v>2399.06</v>
      </c>
      <c r="BA57" t="n">
        <v>3008.79</v>
      </c>
    </row>
    <row r="58">
      <c r="K58" t="n">
        <v>2</v>
      </c>
      <c r="L58" t="inlineStr">
        <is>
          <t>Starlineps Enter</t>
        </is>
      </c>
      <c r="M58" t="n">
        <v>8.289999999999999</v>
      </c>
      <c r="N58" t="n">
        <v>43.1</v>
      </c>
      <c r="AR58" t="n">
        <v>10.27</v>
      </c>
      <c r="AS58">
        <f>AZ58-BA58</f>
        <v/>
      </c>
      <c r="AT58">
        <f>AR58+AS58</f>
        <v/>
      </c>
      <c r="AU58" t="n">
        <v>1.2</v>
      </c>
      <c r="AV58">
        <f>AT58/AX58</f>
        <v/>
      </c>
      <c r="AW58" t="n">
        <v>1.44</v>
      </c>
      <c r="AX58" t="n">
        <v>0.19</v>
      </c>
      <c r="AZ58" t="n">
        <v>444.16</v>
      </c>
      <c r="BA58" t="n">
        <v>1340.87</v>
      </c>
    </row>
    <row r="59">
      <c r="K59" t="n">
        <v>3</v>
      </c>
      <c r="L59" t="inlineStr">
        <is>
          <t>Rajdarshan Inds</t>
        </is>
      </c>
      <c r="M59" t="n">
        <v>33.02</v>
      </c>
      <c r="N59" t="n">
        <v>0.31</v>
      </c>
      <c r="AR59" t="n">
        <v>202899.94</v>
      </c>
      <c r="AS59">
        <f>AZ59-BA59</f>
        <v/>
      </c>
      <c r="AT59">
        <f>AR59+AS59</f>
        <v/>
      </c>
      <c r="AU59" t="n">
        <v>65888.32000000001</v>
      </c>
      <c r="AV59">
        <f>AT59/AX59</f>
        <v/>
      </c>
      <c r="AW59" t="n">
        <v>3409.28</v>
      </c>
      <c r="AX59" t="n">
        <v>6.42</v>
      </c>
      <c r="AZ59" t="n">
        <v>2508.18</v>
      </c>
      <c r="BA59" t="n">
        <v>1998.49</v>
      </c>
    </row>
    <row r="60">
      <c r="K60" t="n">
        <v>4</v>
      </c>
      <c r="L60" t="inlineStr">
        <is>
          <t>Median: 2 Co.</t>
        </is>
      </c>
      <c r="M60" t="n">
        <v>1503.69</v>
      </c>
      <c r="N60" t="n">
        <v>134.93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1" min="2" max="2"/>
    <col width="23.44140625" customWidth="1" style="171" min="3" max="3"/>
    <col width="26.88671875" customWidth="1" style="171" min="4" max="4"/>
    <col width="24" customWidth="1" style="171" min="5" max="5"/>
  </cols>
  <sheetData>
    <row r="1" ht="15" customHeight="1" s="171" thickBot="1"/>
    <row r="2" ht="15" customHeight="1" s="171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1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1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1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1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1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1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1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1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1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1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1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1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1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1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1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1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1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1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1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1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1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1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1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1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1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1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1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1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1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1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1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1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1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1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1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1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1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1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1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1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1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1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1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1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1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1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1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1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1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1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1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1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1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1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1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1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1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1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1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1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1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1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1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1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1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1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1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1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1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1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1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1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1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1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1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1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1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1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1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1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1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1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1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1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1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1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1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1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1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1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1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1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1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1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1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1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1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1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1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1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1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1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1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1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1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1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1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1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1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1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1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1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1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1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1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1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1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1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1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1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1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1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1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1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1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1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1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1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1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1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1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1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1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1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1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1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1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1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1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1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1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1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1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1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1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1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1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1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1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1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1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1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1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1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1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1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1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1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1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1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1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1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1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1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1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1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1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1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1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1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1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1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1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1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1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1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1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1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1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1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1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1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1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1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1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1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1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1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1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1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1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1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1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1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1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1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1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1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1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1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1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1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1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1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1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1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1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1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1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1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1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1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1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1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1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1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1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1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1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1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1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1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1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1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1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1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1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1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1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1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1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1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1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1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1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1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1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1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1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1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1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1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1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1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1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1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1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1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1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1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1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1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1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1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1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1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1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1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1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1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1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1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1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1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1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1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1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1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1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1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1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1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1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1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1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1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1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1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1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1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1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1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1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1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1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1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1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1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1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1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1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1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1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1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1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1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1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1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1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1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1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1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1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1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1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1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1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1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1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1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1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1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1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1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1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1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1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1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1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1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1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1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1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1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1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1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1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1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1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1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1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1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1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1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1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1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1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1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1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1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1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1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1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1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1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1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1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1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1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1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1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1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1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1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1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1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1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1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1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1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1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1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1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1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1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1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1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1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1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1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1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1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1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1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1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1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1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1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1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1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1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1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1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1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1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1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1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1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1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1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1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1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1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1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1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1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1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1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1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1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1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1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1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1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1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1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1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1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1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1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1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1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1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1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1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1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1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1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1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1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1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1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1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1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1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1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1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1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1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1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1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1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1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1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1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1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1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1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1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1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1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1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1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1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1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1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1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1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1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1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1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1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1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1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1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1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1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1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1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1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1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1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1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1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1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1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1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1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1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1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1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1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1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1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1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1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1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1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1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1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1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1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1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1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1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1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1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1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1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1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1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1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1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1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1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1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1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1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1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1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1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1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1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1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1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1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1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1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1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1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1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1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1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1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1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1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1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1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1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1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1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1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1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1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1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1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1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1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1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1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1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1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1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1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1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1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1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1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1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1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1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1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1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1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1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1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1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1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1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1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1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1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1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1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1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1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1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1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1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1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1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1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1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1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1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1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1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1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1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1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1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1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1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1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1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1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1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1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1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1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1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1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1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1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1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1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1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1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1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1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1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1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1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1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1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1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1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1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1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1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1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1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1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1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1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1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1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1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1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1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1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1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1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1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1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1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1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1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1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1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1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1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1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1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1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1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1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1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1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1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1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1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1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1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1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1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1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1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1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1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1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1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1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1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1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1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1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1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1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1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1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1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1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1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1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1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1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1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1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1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1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1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1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1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1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1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1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1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1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1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1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1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1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1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1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1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1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1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1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1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1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1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1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1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1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1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1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1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1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1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1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1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1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1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1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1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1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1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1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1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1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1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1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1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1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1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1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1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1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1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1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1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1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1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1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1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1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1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1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1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1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1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1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1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1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1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1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1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1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1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1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1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1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1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1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1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1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1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1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1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1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1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1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1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1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1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1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1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1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1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1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1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1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1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1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1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1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1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1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1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1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1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1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1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1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1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1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1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1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1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1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1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1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1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1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1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1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1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1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1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1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1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1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1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1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1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1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1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1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1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1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1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1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1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1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1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1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1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1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1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1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1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1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1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1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1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1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1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1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1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1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1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1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1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1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1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1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1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1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1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1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1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1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1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1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1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1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1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1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1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1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1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1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1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1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1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1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1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1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1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1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1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1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1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1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1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1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1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1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1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1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1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1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1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1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1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1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1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1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1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1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1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1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1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1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1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1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1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1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1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1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1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1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1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1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1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1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1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1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1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1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1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1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1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1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1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1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1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1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1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1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1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1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1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1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1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1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1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1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1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1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1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1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1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1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1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1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1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1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1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1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1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1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1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1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1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1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1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1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1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1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1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1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1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1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1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1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1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1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1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1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1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1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1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1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1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1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1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1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1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1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1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1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1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1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1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1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1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1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1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1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1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1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1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1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1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1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1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1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1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1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1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1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1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1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1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1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1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1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1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1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1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1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1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1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1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1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1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1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1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1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1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1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1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1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1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1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1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1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1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1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1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1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1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1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1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1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1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1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1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1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1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1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1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1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1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1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1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1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1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1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1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1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1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1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1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1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1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1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1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1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1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1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1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1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1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1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1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1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1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1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1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1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1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1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1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1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1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1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1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1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1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1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1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1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1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1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1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1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1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1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1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1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1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1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1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1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1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1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1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1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1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1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1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1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1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1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1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1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1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1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1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1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1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1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1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1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1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1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1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1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1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1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1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1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1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1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1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1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1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1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1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1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1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1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1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1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1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1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1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1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1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1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1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1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1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1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1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1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1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1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1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1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1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1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1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1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1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1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1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1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1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1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1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1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1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1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1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1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1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1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1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1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1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1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1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1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1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1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1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1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1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1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1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1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1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1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1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1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1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1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1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1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1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1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1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1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1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1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1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1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1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1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1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1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1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1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1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1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1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1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1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1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1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1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1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1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1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1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1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1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1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1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1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1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1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1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1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1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1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1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1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1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1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1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1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1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1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1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1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1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1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1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1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1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1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1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1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1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1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1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1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1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1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1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1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1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1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1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1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1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1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1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1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1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1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1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1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1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1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1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1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1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1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1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1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1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1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1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1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1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1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1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1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1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1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1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1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1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1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1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1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1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1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1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1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1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1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1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1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1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1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1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1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1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1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1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1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1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1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1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1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1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1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1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1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1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1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1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1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1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1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1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1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1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1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1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1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1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1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1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1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1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1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1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1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1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1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1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1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1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1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1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1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1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1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1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1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1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1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1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1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1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1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1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1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1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1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1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1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1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1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1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1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1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1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1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1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1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1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1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1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1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1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1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1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1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1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1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1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1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1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1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1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1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1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1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1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1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1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1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1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1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1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1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1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1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1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1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1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1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1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1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1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1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1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1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1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1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1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1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1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1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1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1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1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1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1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1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1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1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1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1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1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1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1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1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1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1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1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1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1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1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1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1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1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1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1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1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1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1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1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1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1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1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1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1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1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1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1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1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1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1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1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1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1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1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1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1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1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1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1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1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1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1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1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1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1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1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1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1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1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1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1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1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1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1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1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1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1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1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1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1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1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1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1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1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1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1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1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1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1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1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1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1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1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1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1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1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1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1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1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1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1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1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1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1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1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1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1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1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1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1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1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1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1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1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1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1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1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1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1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1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1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1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1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1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1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1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1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1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1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1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1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1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1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1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1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1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1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1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1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1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1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1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1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1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1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1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1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1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1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1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1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1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1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1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1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1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1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1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1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1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1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1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1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1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1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1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1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1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1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1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1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1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1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1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1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1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1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1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1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1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1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1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1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1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1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1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1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1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1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1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1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1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1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1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1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1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1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1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1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1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1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1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1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1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1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1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1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1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1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1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1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1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1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1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1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1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1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1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1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1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1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1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1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1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1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1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1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1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1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1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1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1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1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1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1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1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1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1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1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1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1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1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1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1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1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1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1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1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1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1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1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1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1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1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1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1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1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1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1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1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1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1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1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1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1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1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1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1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1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1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1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1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1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1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1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1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1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1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1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1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1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1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1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1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1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1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1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1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1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1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1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1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1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1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1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1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1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1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1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1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1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1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1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1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1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1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1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1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1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1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1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1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1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1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1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1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1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1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1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1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1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1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1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1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1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1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1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1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1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1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1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1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1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1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1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1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1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1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1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1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1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1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1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1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1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1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1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1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1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1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1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1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1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1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1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1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1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1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1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1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1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1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1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1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1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1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1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1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1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1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1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1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1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1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1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1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1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1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1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1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1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1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1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1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1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1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1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1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1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1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1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1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1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1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1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1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1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1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1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1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1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1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1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1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1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1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1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1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1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1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1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1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1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1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1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1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1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1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1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1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1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1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1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1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1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1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1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1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1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1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1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1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1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1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1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1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1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1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1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1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1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1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1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1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1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1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1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1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1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1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1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1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1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1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1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1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1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1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1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1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1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1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1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1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1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1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1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1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1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1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1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1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1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1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1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1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1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1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1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1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1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1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1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1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1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1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1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1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1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1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1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1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1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1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1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1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1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1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1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1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1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1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1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1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1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1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1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1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1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1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1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1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1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1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1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1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1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1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1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1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1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1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1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1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1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1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1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1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1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1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1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1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1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1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1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1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1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1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1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1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1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1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1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1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1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1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1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1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1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1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1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1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1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1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1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1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1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1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1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1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1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1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1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1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1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1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1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1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1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1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1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1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1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1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1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1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1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1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1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1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1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1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1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1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1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1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1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1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1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1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1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1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1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1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1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1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1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1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1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1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1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1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1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1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1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1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1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1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1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1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1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1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1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1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1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1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1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1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1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1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1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1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1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1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1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1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1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1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1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1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1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1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1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1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1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1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1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1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1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1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1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1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1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1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1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1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1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1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1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1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1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1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1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1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1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1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1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1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1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1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1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1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1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1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1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1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1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1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1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1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1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1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1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1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1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1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1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1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1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1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1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1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1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1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1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1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1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1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1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1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1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1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1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1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1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1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1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1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1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1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1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1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1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1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1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1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1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1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1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1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1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1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1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1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1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1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1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1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1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1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1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1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1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1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1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1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1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1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1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1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1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1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1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1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1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1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1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1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1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1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1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1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1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1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1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1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1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1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1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1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1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1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1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1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1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1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1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1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1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1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1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1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1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1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1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1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1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1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1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1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1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1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1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1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1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1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1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1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1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1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1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1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1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1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1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1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1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1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1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1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1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1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1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1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1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1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1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1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1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1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1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1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1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1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1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1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1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1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1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1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1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1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1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1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1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1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1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1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1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1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1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1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1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1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1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1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1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1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1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1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1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1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1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1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1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1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1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1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1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1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1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1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1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1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1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1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1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1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1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1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1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1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1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1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1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1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1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1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1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1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1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1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1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1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1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1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1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1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1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1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1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1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1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1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1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1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1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1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1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1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1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1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1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1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1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1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1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1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1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1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1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1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1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1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1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1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1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1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1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1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1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1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1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1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1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1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1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1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1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1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1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1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1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1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1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1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1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1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1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1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1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1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1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1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1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1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1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1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1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1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1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1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1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1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1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1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1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1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1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1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1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1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1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1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1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1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1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1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1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1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1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1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1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1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1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1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1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1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1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1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1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1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1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1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1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1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1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1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1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1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1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1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1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1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1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1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1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1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1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1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1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1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1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1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1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1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1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1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1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1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1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1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1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1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1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1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1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1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1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1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1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1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1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1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1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1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1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1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1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1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1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1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1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1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1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1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1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1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1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1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1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1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1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1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1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1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1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1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1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1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1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1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1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1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1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1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1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1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1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1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1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1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1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1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1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1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1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1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1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1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1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1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1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1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1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1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1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1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1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1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1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1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1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1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1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1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1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1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1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1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1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1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1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1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1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1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1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1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1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1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1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1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1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1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1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1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1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1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1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1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1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1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1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1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1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1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1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1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1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1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1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1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1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1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1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1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1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1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1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1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1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1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1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1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1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1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1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1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1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1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1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1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1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1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1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1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1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1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1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1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1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1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1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1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1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1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1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1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1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1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1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1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1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1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1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1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1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1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1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1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1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1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1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1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1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1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1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1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1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1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1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1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1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1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1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1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1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1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1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1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1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1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1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1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1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1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1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1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1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1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1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1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1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1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1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1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1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1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1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1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1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1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1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1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1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1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1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1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1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1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1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1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1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1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1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1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1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1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1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1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1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1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1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1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1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1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1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1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1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1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1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1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1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1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1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1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1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1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1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1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1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1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1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1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1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1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1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1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1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1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1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1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1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1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1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1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1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1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1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1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1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1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1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1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1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1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1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1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1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1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1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1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1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1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1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1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1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1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1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1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1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1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1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1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1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1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1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1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1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1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1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1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1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1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1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1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1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1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1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1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1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1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1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1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1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1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1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1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1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1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1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1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1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1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1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1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1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1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1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1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1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1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1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1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1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1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1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1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1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1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1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1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1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1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1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1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1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1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1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1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1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1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1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1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1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1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1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1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1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1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1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1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1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1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1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1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1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1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1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1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1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1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1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1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1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1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1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1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1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1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1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1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1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1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1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1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1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1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1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1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1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1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1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1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1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1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1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1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1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1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1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1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1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1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1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1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1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1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1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1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1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1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1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1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1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1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1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1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1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1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1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1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1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1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1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1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1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1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1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1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1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1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1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1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1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1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1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1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1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1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1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1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1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1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1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1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1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1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1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1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1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1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1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1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1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1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1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1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1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1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1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1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1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1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1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1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1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1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1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1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1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1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1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1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1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1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1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1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1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1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1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1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1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1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1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1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1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1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1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1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1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1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1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1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1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1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1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1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1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1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1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1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1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1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1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1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1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1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1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1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1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1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1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1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1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1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1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1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1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1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1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1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1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1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1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1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1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1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1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1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1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1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1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1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1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1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1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1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1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1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1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1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1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1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1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1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1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1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1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1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1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1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1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1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1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1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1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1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1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1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1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1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1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1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1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1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1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1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1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1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1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1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1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1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1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1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1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1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1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1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1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1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1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1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1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1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1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1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1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1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1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1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1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1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1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1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1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1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1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1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1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1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1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1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1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1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1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1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1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1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1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1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1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1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1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1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1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1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1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1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1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1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1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1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1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1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1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1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1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1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1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1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1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1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1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1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1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1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1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1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1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1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1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1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1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1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1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1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1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1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1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1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1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1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1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1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1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1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1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1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1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1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1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1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1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1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1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1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1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1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1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1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1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1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1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1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1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1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1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1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1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1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1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1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1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1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1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1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1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1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1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1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1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1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1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1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1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1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1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1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1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1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1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1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1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1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1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1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1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1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1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1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1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1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1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1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1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1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1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1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1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1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1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1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1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1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1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1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1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1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1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1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1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1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1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1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1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1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1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1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1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1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1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1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1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1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1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1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1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1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1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1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1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1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1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1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1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1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1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1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1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1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1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1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1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1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1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1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1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1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1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1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1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1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1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1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1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1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1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1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1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1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1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1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1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1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1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1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1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1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1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1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1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1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1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1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1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1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1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1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1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1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1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1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1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1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1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1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1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1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1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1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1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1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1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1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1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1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1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1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1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1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1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1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1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1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1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1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1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1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1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1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1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1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1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1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1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1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1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1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1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1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1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1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1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1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1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1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1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1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1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1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1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1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1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1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1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1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1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1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1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1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1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1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1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1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1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1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1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1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1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1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1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1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1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1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1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1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1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1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1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1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1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1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1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1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1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1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1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1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1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1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1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1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1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1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1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1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1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1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1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1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1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1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1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1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1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1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1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1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1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1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1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1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1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1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1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1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1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1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1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1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1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1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1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1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1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1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1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1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1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1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1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1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1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1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1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1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1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1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1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1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1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1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1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1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1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1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1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1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1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1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1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1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1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1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1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1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1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1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1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1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1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1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1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1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1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1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1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1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1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1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1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1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1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1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1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1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1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1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1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1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1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1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1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1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1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1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1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1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1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1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1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1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1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1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1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1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1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1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1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1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1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1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1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1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1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1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1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1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1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1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1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1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1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1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1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1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1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1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1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1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1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1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1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1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1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1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1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1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1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1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1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1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1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1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1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1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1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1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1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1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1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1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1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1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1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1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1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1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1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1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1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1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1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1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1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1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1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1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1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1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1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1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1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1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1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1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1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1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1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1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1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1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1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1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1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1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1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1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1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1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1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1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1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1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1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1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1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1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1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1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1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1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1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1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1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1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1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1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1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1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1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1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1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1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1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1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1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1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1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1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1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1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1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1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1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1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1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1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1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1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1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1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1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1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1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1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1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1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1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1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1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1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1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1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1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1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1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1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1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1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1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1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1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1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1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1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1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1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1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1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1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1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1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1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1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1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1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1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1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1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1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1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1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1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1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1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1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1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1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1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1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1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1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1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1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1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1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1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1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1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1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1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1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1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1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1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1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1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1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1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1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1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1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1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1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1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1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1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1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1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1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1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1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1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1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1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1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1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1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1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1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1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1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1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1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1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1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1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1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1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1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1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1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1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1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1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1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1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1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1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1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1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1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1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1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1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1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1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1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1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1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1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1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1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1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1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1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1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1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1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1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1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1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1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1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1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1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1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1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1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1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1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1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1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1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1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1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1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1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1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1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1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1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1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1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1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1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1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1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1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1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1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1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1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1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1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1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1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1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1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1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1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1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1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1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1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1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1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1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1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1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1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1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1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1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1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1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1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1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1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1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1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1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1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1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1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1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1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1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1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1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1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1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1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1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1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1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1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1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1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1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1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1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1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1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1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1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1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1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1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1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1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1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1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1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1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1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1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1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1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1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1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1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1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1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1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1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1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1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1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1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1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1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1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1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1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1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1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1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1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1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1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1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1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1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1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1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1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1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1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1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1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1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1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1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1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1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1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1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1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1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1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1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1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1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1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1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1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1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1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1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1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1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1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1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1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1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1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1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1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1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1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1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1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1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1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1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1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1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1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1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1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1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1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1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1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1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1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1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1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1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1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1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1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1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1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1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1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1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1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1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1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1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1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1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1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1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1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1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1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1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1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1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1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1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1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1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1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1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1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1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1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1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1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1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1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1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1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1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1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1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1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1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1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1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1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1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1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1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1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1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1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1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1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1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1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1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1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1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1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1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1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1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1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1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1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1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1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1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1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1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1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1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1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1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1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1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1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1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1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1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1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1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1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1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1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1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1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1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1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1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1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1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1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1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1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1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1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1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1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1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1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1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1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1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1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1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1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1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1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1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1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1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1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1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1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1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1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1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1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1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1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1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1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1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1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1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1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1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1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1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1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1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1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1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1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1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1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1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1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1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1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1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1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1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1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1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1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1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1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1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1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1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1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1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1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1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1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1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1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1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1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1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1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1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1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1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1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1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1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1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1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1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1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1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1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1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1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1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1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1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1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1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1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1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1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1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1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1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1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1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1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1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1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1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1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1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1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1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1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1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1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1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1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1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1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1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1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1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1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1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1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1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1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1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1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1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1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1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1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1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1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1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1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1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1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1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1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1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1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1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1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1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1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1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1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1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1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1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1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1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1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1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1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1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1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1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1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1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1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1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1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1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1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1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1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1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1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1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1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1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1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1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1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1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1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1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1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1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1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1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1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1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1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1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1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1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1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1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1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1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1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1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1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1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1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1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1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1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1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1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1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1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1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1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1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1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1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1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1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1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1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1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1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1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1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1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1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1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1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1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1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1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1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1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1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1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1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1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1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1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1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1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1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1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1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1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1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1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1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1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1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1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1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1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1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1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1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1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1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1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1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1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1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1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1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1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1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1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1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1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1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1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1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1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1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1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1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1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1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1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1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1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1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1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1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1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1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1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1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1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1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1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1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1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1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1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1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1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1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1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1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1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1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1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1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1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1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1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1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1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1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1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1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1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1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1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1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1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1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1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1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1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1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1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1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1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1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1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1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1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1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1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1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1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1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1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1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1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1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1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1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1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1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1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1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1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1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1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1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1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1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1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1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1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1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1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1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1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1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1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1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1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1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1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1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1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1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1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1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1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1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1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1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1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1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1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1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1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1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1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1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1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1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1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1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1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1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1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1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1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1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1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1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1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1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1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1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1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1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1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1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1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1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1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1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1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1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1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1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1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1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1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1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1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1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1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1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1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1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1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1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1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1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1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1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1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1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1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1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1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1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1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1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1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1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1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1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1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1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1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1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1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1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1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1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1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1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1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1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1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1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1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1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1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1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1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1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1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1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1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1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1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1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1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1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1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1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1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1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1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1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1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1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1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1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1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1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1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1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1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1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1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1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1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1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1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1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1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1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1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1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1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1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1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1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1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1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1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1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1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1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1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1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1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1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1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1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1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1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1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1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1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1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1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1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1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1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1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1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1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1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1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1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1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1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1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1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1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1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1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1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1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1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1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1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1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1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1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1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1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1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1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1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1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1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1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1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1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1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1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1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1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1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1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1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1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1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1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1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1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1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1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1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1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1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1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1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1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1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1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1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1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1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1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1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1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1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1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1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1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1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1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1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1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1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1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1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1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1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1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1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1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1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1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1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1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1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1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1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1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1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1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1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1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1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1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1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1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1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1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1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1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1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1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1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1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1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1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1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1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1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1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1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1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1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1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1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1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1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1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1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1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1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1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1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1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1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1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1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1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1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1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1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1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1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1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1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1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1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1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1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1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1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1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1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1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1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1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1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1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1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1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1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1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1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1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1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1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1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1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1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1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1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1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1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1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1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1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1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1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1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1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1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1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1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1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1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1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1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1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1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1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1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1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1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1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1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1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1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1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1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1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1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1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1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1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1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1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1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1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1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1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1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1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1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1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1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1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1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1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1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1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1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1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1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1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1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1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1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1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1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1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1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1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1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1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1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1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1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1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1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1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1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1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1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1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1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1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1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1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1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1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1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1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1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1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1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1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1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1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1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1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1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1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1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1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1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1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1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1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1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1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1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1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1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1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1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1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1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1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1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1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1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1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1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1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1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1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1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1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1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1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1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1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1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1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1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1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1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1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1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1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1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1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1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1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1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1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1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1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1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1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1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1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1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1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1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1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1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1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1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1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1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1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1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1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1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1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1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1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1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1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1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1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1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1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1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1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1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1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1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1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1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1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1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1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1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1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1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1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1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1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1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1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1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1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1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1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1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1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1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1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1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1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1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1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1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1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1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1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1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1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1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1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1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1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1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1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1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1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1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1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1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1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1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1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1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1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1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1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1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1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1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1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1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1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1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1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1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1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1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1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1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1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1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1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1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1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1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1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1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1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1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1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1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1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1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1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1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1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1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1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1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1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1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1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1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1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1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1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1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1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1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1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1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1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1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1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1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1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1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1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1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1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1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1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1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1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1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1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1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1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1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1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1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1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1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1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1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1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1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1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1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1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1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1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1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1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1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1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1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1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1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1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1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1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1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1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1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1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1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1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1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1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1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1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1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1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1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1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1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1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1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1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1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1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1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1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1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1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1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1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1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1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1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1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1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1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1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1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1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1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1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1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1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1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1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1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1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1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1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1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1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1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1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1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1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1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1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1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1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1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1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1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1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1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1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1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1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1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1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1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1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1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1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1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1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1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1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1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1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1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1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1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1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1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1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1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1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1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1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1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1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1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1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1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1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1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1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1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1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1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1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1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1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1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1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1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1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1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1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1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1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1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1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1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1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1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1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1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1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1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1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1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1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1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1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1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1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1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1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1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1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1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1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1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1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1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1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1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1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1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1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1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1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1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1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1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1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1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1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1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1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1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1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1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1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1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1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1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1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1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1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1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1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1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1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1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1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1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1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1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1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1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1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1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1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1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1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1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1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1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1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1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1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1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1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1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1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1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1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1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1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1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1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1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1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1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1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1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1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1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1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1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1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1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1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1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1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1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1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1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1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1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1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1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1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1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1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1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1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1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1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1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1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1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1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1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1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1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1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1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1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1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1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1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1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1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1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1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1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1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1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1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1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1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1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1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1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1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1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1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1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1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1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1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1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1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1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1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1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1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1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1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1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1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1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1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1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1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1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1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1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1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1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1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1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1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1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1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1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1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1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1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1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1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1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1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1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1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1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1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1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1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1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1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1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1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1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1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1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1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1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1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1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1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1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1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1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1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1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1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1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1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1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1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1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1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1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1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1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1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1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1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1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1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1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1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1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1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1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1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1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1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1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1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1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1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1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1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1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1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1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1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1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1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1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1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1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1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1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1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1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1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1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1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1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1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1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1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1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1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1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1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1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1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1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1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1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1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1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1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1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1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1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1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1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1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1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1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1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1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1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1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1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1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1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1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1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1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1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1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1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1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1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1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1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1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1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1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1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1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1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1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1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1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1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1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1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1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1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1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1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1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1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1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1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1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1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1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1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1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1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1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1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1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1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1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1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1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1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1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1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1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1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1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1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1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1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1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1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1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1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1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1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1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1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1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1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1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1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1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1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1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1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1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1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1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1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1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1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1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1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1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1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1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1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1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1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1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1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1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1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1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1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1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1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1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1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1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1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1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1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1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1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1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1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1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1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1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1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1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1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1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1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1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1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1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1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1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1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1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1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1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1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1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1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1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1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1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1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1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1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1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1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1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1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1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1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1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1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1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1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1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1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1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1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1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1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1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1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1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1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1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1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1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1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1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1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1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1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1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1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1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1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1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1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1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1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1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1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1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1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1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1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1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1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1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1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1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1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1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1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1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1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1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1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1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1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1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1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1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1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1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1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1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1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1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1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1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1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1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1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1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1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1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1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1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1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1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1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1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1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1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1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1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1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1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1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1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1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1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1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1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1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1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1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1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1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1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1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1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1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1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2026-09-18T12:24:11Z</dcterms:modified>
  <cp:lastModifiedBy>Loveish</cp:lastModifiedBy>
  <cp:lastPrinted>2012-12-06T18:14:13Z</cp:lastPrinted>
</cp:coreProperties>
</file>