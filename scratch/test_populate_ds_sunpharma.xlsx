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6.xml" ContentType="application/vnd.openxmlformats-officedocument.drawing+xml"/>
  <Override PartName="/xl/worksheets/sheet19.xml" ContentType="application/vnd.openxmlformats-officedocument.spreadsheetml.worksheet+xml"/>
  <Override PartName="/xl/drawings/drawing7.xml" ContentType="application/vnd.openxmlformats-officedocument.drawing+xml"/>
  <Override PartName="/xl/worksheets/sheet20.xml" ContentType="application/vnd.openxmlformats-officedocument.spreadsheetml.worksheet+xml"/>
  <Override PartName="/xl/drawings/drawing8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10" activeTab="17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Quarter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Customization" sheetId="5" state="visible" r:id="rId5"/>
    <sheet xmlns:r="http://schemas.openxmlformats.org/officeDocument/2006/relationships" name="Common Size Statement" sheetId="6" state="visible" r:id="rId6"/>
    <sheet xmlns:r="http://schemas.openxmlformats.org/officeDocument/2006/relationships" name="Data Sheet" sheetId="7" state="visible" r:id="rId7"/>
    <sheet xmlns:r="http://schemas.openxmlformats.org/officeDocument/2006/relationships" name="Cash Flow Statement" sheetId="8" state="visible" r:id="rId8"/>
    <sheet xmlns:r="http://schemas.openxmlformats.org/officeDocument/2006/relationships" name="Historical FS" sheetId="9" state="visible" r:id="rId9"/>
    <sheet xmlns:r="http://schemas.openxmlformats.org/officeDocument/2006/relationships" name="Ratio Analysis" sheetId="10" state="visible" r:id="rId10"/>
    <sheet xmlns:r="http://schemas.openxmlformats.org/officeDocument/2006/relationships" name="Forecasting" sheetId="11" state="visible" r:id="rId11"/>
    <sheet xmlns:r="http://schemas.openxmlformats.org/officeDocument/2006/relationships" name="Rm" sheetId="12" state="visible" r:id="rId12"/>
    <sheet xmlns:r="http://schemas.openxmlformats.org/officeDocument/2006/relationships" name="Beta-Regression" sheetId="13" state="visible" r:id="rId13"/>
    <sheet xmlns:r="http://schemas.openxmlformats.org/officeDocument/2006/relationships" name="WACC" sheetId="14" state="visible" r:id="rId14"/>
    <sheet xmlns:r="http://schemas.openxmlformats.org/officeDocument/2006/relationships" name="Intrinsic Valuation" sheetId="15" state="visible" r:id="rId15"/>
    <sheet xmlns:r="http://schemas.openxmlformats.org/officeDocument/2006/relationships" name="DCF" sheetId="16" state="visible" r:id="rId16"/>
    <sheet xmlns:r="http://schemas.openxmlformats.org/officeDocument/2006/relationships" name="Raw Data" sheetId="17" state="visible" r:id="rId17"/>
    <sheet xmlns:r="http://schemas.openxmlformats.org/officeDocument/2006/relationships" name="Comp_Valuation" sheetId="18" state="visible" r:id="rId18"/>
    <sheet xmlns:r="http://schemas.openxmlformats.org/officeDocument/2006/relationships" name="Dupont Analysis" sheetId="19" state="visible" r:id="rId19"/>
    <sheet xmlns:r="http://schemas.openxmlformats.org/officeDocument/2006/relationships" name="Altman's Z Score" sheetId="20" state="visible" r:id="rId20"/>
    <sheet xmlns:r="http://schemas.openxmlformats.org/officeDocument/2006/relationships" name="Raw FS" sheetId="21" state="visible" r:id="rId21"/>
    <sheet xmlns:r="http://schemas.openxmlformats.org/officeDocument/2006/relationships" name="List of Stocks" sheetId="22" state="visible" r:id="rId22"/>
  </sheets>
  <externalReferences>
    <externalReference xmlns:r="http://schemas.openxmlformats.org/officeDocument/2006/relationships" r:id="rId23"/>
  </externalReferences>
  <definedNames>
    <definedName name="UPDATE">'Data Sheet'!$E$1</definedName>
    <definedName name="UPDATE" localSheetId="21">'[1]Data Sheet'!$E$1</definedName>
    <definedName name="_xlnm._FilterDatabase" localSheetId="21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5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externalLink" Target="/xl/externalLinks/externalLink1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19191.66</v>
                </pt>
                <pt idx="1">
                  <v>20458.78</v>
                </pt>
                <pt idx="2">
                  <v>34746.63</v>
                </pt>
                <pt idx="3">
                  <v>20689.47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81513.49000000001</v>
                </pt>
                <pt idx="1">
                  <v>88792.465</v>
                </pt>
                <pt idx="2">
                  <v>89878.33499999999</v>
                </pt>
                <pt idx="3">
                  <v>90819.95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0.2916425646734391</v>
                </pt>
                <pt idx="1">
                  <v>0.2848177384930461</v>
                </pt>
                <pt idx="2">
                  <v>0.4807989370199544</v>
                </pt>
                <pt idx="3">
                  <v>0.2903024365192702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0.235441520170465</v>
                </pt>
                <pt idx="1">
                  <v>0.2304112178888152</v>
                </pt>
                <pt idx="2">
                  <v>0.3865962804050609</v>
                </pt>
                <pt idx="3">
                  <v>0.2278075466899068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1.238704899893117</v>
                </pt>
                <pt idx="1">
                  <v>1.236127915570867</v>
                </pt>
                <pt idx="2">
                  <v>1.243671916646977</v>
                </pt>
                <pt idx="3">
                  <v>1.274331955799655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67912.46000000001</v>
                </pt>
                <pt idx="1">
                  <v>73258.53</v>
                </pt>
                <pt idx="2">
                  <v>68778.64</v>
                </pt>
                <pt idx="3">
                  <v>71254.35000000001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19.6431083718611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26.79192909443082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29.06586832933553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28.53030841306096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17.05988741073077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0.7855915369730201</v>
                </pt>
                <pt idx="1">
                  <v>0.8262639728135395</v>
                </pt>
                <pt idx="2">
                  <v>0.7403705801503739</v>
                </pt>
                <pt idx="3">
                  <v>0.8559207842486651</v>
                </pt>
                <pt idx="4">
                  <v>0.8422763602499861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14.73271798263452</v>
                </pt>
                <pt idx="1">
                  <v>19.16499154449812</v>
                </pt>
                <pt idx="2">
                  <v>20.43898111905437</v>
                </pt>
                <pt idx="3">
                  <v>20.81389720212275</v>
                </pt>
                <pt idx="4">
                  <v>13.29768689872879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Tata%20Ste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/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09" min="1" max="1"/>
    <col width="13.44140625" customWidth="1" style="109" min="2" max="6"/>
    <col width="14.77734375" bestFit="1" customWidth="1" style="109" min="7" max="7"/>
    <col width="13.44140625" customWidth="1" style="109" min="8" max="11"/>
    <col width="13.33203125" customWidth="1" style="109" min="12" max="12"/>
    <col width="12.109375" customWidth="1" style="109" min="13" max="14"/>
    <col width="8.77734375" customWidth="1" style="109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70">
        <f>'Data Sheet'!B17</f>
        <v/>
      </c>
      <c r="C4" s="170">
        <f>'Data Sheet'!C17</f>
        <v/>
      </c>
      <c r="D4" s="170">
        <f>'Data Sheet'!D17</f>
        <v/>
      </c>
      <c r="E4" s="170">
        <f>'Data Sheet'!E17</f>
        <v/>
      </c>
      <c r="F4" s="170">
        <f>'Data Sheet'!F17</f>
        <v/>
      </c>
      <c r="G4" s="170">
        <f>'Data Sheet'!G17</f>
        <v/>
      </c>
      <c r="H4" s="170">
        <f>'Data Sheet'!H17</f>
        <v/>
      </c>
      <c r="I4" s="170">
        <f>'Data Sheet'!I17</f>
        <v/>
      </c>
      <c r="J4" s="170">
        <f>'Data Sheet'!J17</f>
        <v/>
      </c>
      <c r="K4" s="170">
        <f>'Data Sheet'!K17</f>
        <v/>
      </c>
      <c r="L4" s="170">
        <f>SUM(Quarters!H4:K4)</f>
        <v/>
      </c>
      <c r="M4" s="170">
        <f>$K4+M23*K4</f>
        <v/>
      </c>
      <c r="N4" s="170">
        <f>$K4+N23*L4</f>
        <v/>
      </c>
    </row>
    <row r="5">
      <c r="A5" t="inlineStr">
        <is>
          <t>Expenses</t>
        </is>
      </c>
      <c r="B5" s="171">
        <f>SUM('Data Sheet'!B18,'Data Sheet'!B20:B24, -1*'Data Sheet'!B19)</f>
        <v/>
      </c>
      <c r="C5" s="171">
        <f>SUM('Data Sheet'!C18,'Data Sheet'!C20:C24, -1*'Data Sheet'!C19)</f>
        <v/>
      </c>
      <c r="D5" s="171">
        <f>SUM('Data Sheet'!D18,'Data Sheet'!D20:D24, -1*'Data Sheet'!D19)</f>
        <v/>
      </c>
      <c r="E5" s="171">
        <f>SUM('Data Sheet'!E18,'Data Sheet'!E20:E24, -1*'Data Sheet'!E19)</f>
        <v/>
      </c>
      <c r="F5" s="171">
        <f>SUM('Data Sheet'!F18,'Data Sheet'!F20:F24, -1*'Data Sheet'!F19)</f>
        <v/>
      </c>
      <c r="G5" s="171">
        <f>SUM('Data Sheet'!G18,'Data Sheet'!G20:G24, -1*'Data Sheet'!G19)</f>
        <v/>
      </c>
      <c r="H5" s="171">
        <f>SUM('Data Sheet'!H18,'Data Sheet'!H20:H24, -1*'Data Sheet'!H19)</f>
        <v/>
      </c>
      <c r="I5" s="171">
        <f>SUM('Data Sheet'!I18,'Data Sheet'!I20:I24, -1*'Data Sheet'!I19)</f>
        <v/>
      </c>
      <c r="J5" s="171">
        <f>SUM('Data Sheet'!J18,'Data Sheet'!J20:J24, -1*'Data Sheet'!J19)</f>
        <v/>
      </c>
      <c r="K5" s="171">
        <f>SUM('Data Sheet'!K18,'Data Sheet'!K20:K24, -1*'Data Sheet'!K19)</f>
        <v/>
      </c>
      <c r="L5" s="171">
        <f>SUM(Quarters!H5:K5)</f>
        <v/>
      </c>
      <c r="M5" s="171">
        <f>M4-M6</f>
        <v/>
      </c>
      <c r="N5" s="171">
        <f>N4-N6</f>
        <v/>
      </c>
    </row>
    <row r="6" customFormat="1" s="37">
      <c r="A6" s="37" t="inlineStr">
        <is>
          <t>Operating Profit</t>
        </is>
      </c>
      <c r="B6" s="170">
        <f>B4-B5</f>
        <v/>
      </c>
      <c r="C6" s="170">
        <f>C4-C5</f>
        <v/>
      </c>
      <c r="D6" s="170">
        <f>D4-D5</f>
        <v/>
      </c>
      <c r="E6" s="170">
        <f>E4-E5</f>
        <v/>
      </c>
      <c r="F6" s="170">
        <f>F4-F5</f>
        <v/>
      </c>
      <c r="G6" s="170">
        <f>G4-G5</f>
        <v/>
      </c>
      <c r="H6" s="170">
        <f>H4-H5</f>
        <v/>
      </c>
      <c r="I6" s="170">
        <f>I4-I5</f>
        <v/>
      </c>
      <c r="J6" s="170">
        <f>J4-J5</f>
        <v/>
      </c>
      <c r="K6" s="170">
        <f>K4-K5</f>
        <v/>
      </c>
      <c r="L6" s="170">
        <f>SUM(Quarters!H6:K6)</f>
        <v/>
      </c>
      <c r="M6" s="170">
        <f>M4*M24</f>
        <v/>
      </c>
      <c r="N6" s="170">
        <f>N4*N24</f>
        <v/>
      </c>
    </row>
    <row r="7">
      <c r="A7" t="inlineStr">
        <is>
          <t>Other Income</t>
        </is>
      </c>
      <c r="B7" s="171">
        <f>'Data Sheet'!B25</f>
        <v/>
      </c>
      <c r="C7" s="171">
        <f>'Data Sheet'!C25</f>
        <v/>
      </c>
      <c r="D7" s="171">
        <f>'Data Sheet'!D25</f>
        <v/>
      </c>
      <c r="E7" s="171">
        <f>'Data Sheet'!E25</f>
        <v/>
      </c>
      <c r="F7" s="171">
        <f>'Data Sheet'!F25</f>
        <v/>
      </c>
      <c r="G7" s="171">
        <f>'Data Sheet'!G25</f>
        <v/>
      </c>
      <c r="H7" s="171">
        <f>'Data Sheet'!H25</f>
        <v/>
      </c>
      <c r="I7" s="171">
        <f>'Data Sheet'!I25</f>
        <v/>
      </c>
      <c r="J7" s="171">
        <f>'Data Sheet'!J25</f>
        <v/>
      </c>
      <c r="K7" s="171">
        <f>'Data Sheet'!K25</f>
        <v/>
      </c>
      <c r="L7" s="171">
        <f>SUM(Quarters!H7:K7)</f>
        <v/>
      </c>
      <c r="M7" s="171" t="n">
        <v>0</v>
      </c>
      <c r="N7" s="171" t="n">
        <v>0</v>
      </c>
    </row>
    <row r="8">
      <c r="A8" t="inlineStr">
        <is>
          <t>Depreciation</t>
        </is>
      </c>
      <c r="B8" s="171">
        <f>'Data Sheet'!B26</f>
        <v/>
      </c>
      <c r="C8" s="171">
        <f>'Data Sheet'!C26</f>
        <v/>
      </c>
      <c r="D8" s="171">
        <f>'Data Sheet'!D26</f>
        <v/>
      </c>
      <c r="E8" s="171">
        <f>'Data Sheet'!E26</f>
        <v/>
      </c>
      <c r="F8" s="171">
        <f>'Data Sheet'!F26</f>
        <v/>
      </c>
      <c r="G8" s="171">
        <f>'Data Sheet'!G26</f>
        <v/>
      </c>
      <c r="H8" s="171">
        <f>'Data Sheet'!H26</f>
        <v/>
      </c>
      <c r="I8" s="171">
        <f>'Data Sheet'!I26</f>
        <v/>
      </c>
      <c r="J8" s="171">
        <f>'Data Sheet'!J26</f>
        <v/>
      </c>
      <c r="K8" s="171">
        <f>'Data Sheet'!K26</f>
        <v/>
      </c>
      <c r="L8" s="171">
        <f>SUM(Quarters!H8:K8)</f>
        <v/>
      </c>
      <c r="M8" s="171">
        <f>+$L8</f>
        <v/>
      </c>
      <c r="N8" s="171">
        <f>+$L8</f>
        <v/>
      </c>
    </row>
    <row r="9">
      <c r="A9" t="inlineStr">
        <is>
          <t>Interest</t>
        </is>
      </c>
      <c r="B9" s="171">
        <f>'Data Sheet'!B27</f>
        <v/>
      </c>
      <c r="C9" s="171">
        <f>'Data Sheet'!C27</f>
        <v/>
      </c>
      <c r="D9" s="171">
        <f>'Data Sheet'!D27</f>
        <v/>
      </c>
      <c r="E9" s="171">
        <f>'Data Sheet'!E27</f>
        <v/>
      </c>
      <c r="F9" s="171">
        <f>'Data Sheet'!F27</f>
        <v/>
      </c>
      <c r="G9" s="171">
        <f>'Data Sheet'!G27</f>
        <v/>
      </c>
      <c r="H9" s="171">
        <f>'Data Sheet'!H27</f>
        <v/>
      </c>
      <c r="I9" s="171">
        <f>'Data Sheet'!I27</f>
        <v/>
      </c>
      <c r="J9" s="171">
        <f>'Data Sheet'!J27</f>
        <v/>
      </c>
      <c r="K9" s="171">
        <f>'Data Sheet'!K27</f>
        <v/>
      </c>
      <c r="L9" s="171">
        <f>SUM(Quarters!H9:K9)</f>
        <v/>
      </c>
      <c r="M9" s="171">
        <f>+$L9</f>
        <v/>
      </c>
      <c r="N9" s="171">
        <f>+$L9</f>
        <v/>
      </c>
    </row>
    <row r="10">
      <c r="A10" t="inlineStr">
        <is>
          <t>Profit before tax</t>
        </is>
      </c>
      <c r="B10" s="171">
        <f>'Data Sheet'!B28</f>
        <v/>
      </c>
      <c r="C10" s="171">
        <f>'Data Sheet'!C28</f>
        <v/>
      </c>
      <c r="D10" s="171">
        <f>'Data Sheet'!D28</f>
        <v/>
      </c>
      <c r="E10" s="171">
        <f>'Data Sheet'!E28</f>
        <v/>
      </c>
      <c r="F10" s="171">
        <f>'Data Sheet'!F28</f>
        <v/>
      </c>
      <c r="G10" s="171">
        <f>'Data Sheet'!G28</f>
        <v/>
      </c>
      <c r="H10" s="171">
        <f>'Data Sheet'!H28</f>
        <v/>
      </c>
      <c r="I10" s="171">
        <f>'Data Sheet'!I28</f>
        <v/>
      </c>
      <c r="J10" s="171">
        <f>'Data Sheet'!J28</f>
        <v/>
      </c>
      <c r="K10" s="171">
        <f>'Data Sheet'!K28</f>
        <v/>
      </c>
      <c r="L10" s="171">
        <f>SUM(Quarters!H10:K10)</f>
        <v/>
      </c>
      <c r="M10" s="171">
        <f>M6+M7-SUM(M8:M9)</f>
        <v/>
      </c>
      <c r="N10" s="171">
        <f>N6+N7-SUM(N8:N9)</f>
        <v/>
      </c>
    </row>
    <row r="11">
      <c r="A11" t="inlineStr">
        <is>
          <t>Tax</t>
        </is>
      </c>
      <c r="B11" s="171">
        <f>'Data Sheet'!B29</f>
        <v/>
      </c>
      <c r="C11" s="171">
        <f>'Data Sheet'!C29</f>
        <v/>
      </c>
      <c r="D11" s="171">
        <f>'Data Sheet'!D29</f>
        <v/>
      </c>
      <c r="E11" s="171">
        <f>'Data Sheet'!E29</f>
        <v/>
      </c>
      <c r="F11" s="171">
        <f>'Data Sheet'!F29</f>
        <v/>
      </c>
      <c r="G11" s="171">
        <f>'Data Sheet'!G29</f>
        <v/>
      </c>
      <c r="H11" s="171">
        <f>'Data Sheet'!H29</f>
        <v/>
      </c>
      <c r="I11" s="171">
        <f>'Data Sheet'!I29</f>
        <v/>
      </c>
      <c r="J11" s="171">
        <f>'Data Sheet'!J29</f>
        <v/>
      </c>
      <c r="K11" s="171">
        <f>'Data Sheet'!K29</f>
        <v/>
      </c>
      <c r="L11" s="171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70">
        <f>'Data Sheet'!B30</f>
        <v/>
      </c>
      <c r="C12" s="170">
        <f>'Data Sheet'!C30</f>
        <v/>
      </c>
      <c r="D12" s="170">
        <f>'Data Sheet'!D30</f>
        <v/>
      </c>
      <c r="E12" s="170">
        <f>'Data Sheet'!E30</f>
        <v/>
      </c>
      <c r="F12" s="170">
        <f>'Data Sheet'!F30</f>
        <v/>
      </c>
      <c r="G12" s="170">
        <f>'Data Sheet'!G30</f>
        <v/>
      </c>
      <c r="H12" s="170">
        <f>'Data Sheet'!H30</f>
        <v/>
      </c>
      <c r="I12" s="170">
        <f>'Data Sheet'!I30</f>
        <v/>
      </c>
      <c r="J12" s="170">
        <f>'Data Sheet'!J30</f>
        <v/>
      </c>
      <c r="K12" s="170">
        <f>'Data Sheet'!K30</f>
        <v/>
      </c>
      <c r="L12" s="170">
        <f>SUM(Quarters!H12:K12)</f>
        <v/>
      </c>
      <c r="M12" s="170">
        <f>M10-M11*M10</f>
        <v/>
      </c>
      <c r="N12" s="170">
        <f>N10-N11*N10</f>
        <v/>
      </c>
    </row>
    <row r="13">
      <c r="A13" t="inlineStr">
        <is>
          <t>EPS</t>
        </is>
      </c>
      <c r="B13" s="171">
        <f>IF('Data Sheet'!B93&gt;0,B12/'Data Sheet'!B93,0)</f>
        <v/>
      </c>
      <c r="C13" s="171">
        <f>IF('Data Sheet'!C93&gt;0,C12/'Data Sheet'!C93,0)</f>
        <v/>
      </c>
      <c r="D13" s="171">
        <f>IF('Data Sheet'!D93&gt;0,D12/'Data Sheet'!D93,0)</f>
        <v/>
      </c>
      <c r="E13" s="171">
        <f>IF('Data Sheet'!E93&gt;0,E12/'Data Sheet'!E93,0)</f>
        <v/>
      </c>
      <c r="F13" s="171">
        <f>IF('Data Sheet'!F93&gt;0,F12/'Data Sheet'!F93,0)</f>
        <v/>
      </c>
      <c r="G13" s="171">
        <f>IF('Data Sheet'!G93&gt;0,G12/'Data Sheet'!G93,0)</f>
        <v/>
      </c>
      <c r="H13" s="171">
        <f>IF('Data Sheet'!H93&gt;0,H12/'Data Sheet'!H93,0)</f>
        <v/>
      </c>
      <c r="I13" s="171">
        <f>IF('Data Sheet'!I93&gt;0,I12/'Data Sheet'!I93,0)</f>
        <v/>
      </c>
      <c r="J13" s="171">
        <f>IF('Data Sheet'!J93&gt;0,J12/'Data Sheet'!J93,0)</f>
        <v/>
      </c>
      <c r="K13" s="171">
        <f>IF('Data Sheet'!K93&gt;0,K12/'Data Sheet'!K93,0)</f>
        <v/>
      </c>
      <c r="L13" s="171">
        <f>IF('Data Sheet'!$B6&gt;0,'Profit &amp; Loss'!L12/'Data Sheet'!$B6,0)</f>
        <v/>
      </c>
      <c r="M13" s="171">
        <f>IF('Data Sheet'!$B6&gt;0,'Profit &amp; Loss'!M12/'Data Sheet'!$B6,0)</f>
        <v/>
      </c>
      <c r="N13" s="171">
        <f>IF('Data Sheet'!$B6&gt;0,'Profit &amp; Loss'!N12/'Data Sheet'!$B6,0)</f>
        <v/>
      </c>
    </row>
    <row r="14">
      <c r="A14" t="inlineStr">
        <is>
          <t>Price to earning</t>
        </is>
      </c>
      <c r="B14" s="171">
        <f>IF(B15&gt;0,B15/B13,"")</f>
        <v/>
      </c>
      <c r="C14" s="171">
        <f>IF(C15&gt;0,C15/C13,"")</f>
        <v/>
      </c>
      <c r="D14" s="171">
        <f>IF(D15&gt;0,D15/D13,"")</f>
        <v/>
      </c>
      <c r="E14" s="171">
        <f>IF(E15&gt;0,E15/E13,"")</f>
        <v/>
      </c>
      <c r="F14" s="171">
        <f>IF(F15&gt;0,F15/F13,"")</f>
        <v/>
      </c>
      <c r="G14" s="171">
        <f>IF(G15&gt;0,G15/G13,"")</f>
        <v/>
      </c>
      <c r="H14" s="171">
        <f>IF(H15&gt;0,H15/H13,"")</f>
        <v/>
      </c>
      <c r="I14" s="171">
        <f>IF(I15&gt;0,I15/I13,"")</f>
        <v/>
      </c>
      <c r="J14" s="171">
        <f>IF(J15&gt;0,J15/J13,"")</f>
        <v/>
      </c>
      <c r="K14" s="171">
        <f>IF(K15&gt;0,K15/K13,"")</f>
        <v/>
      </c>
      <c r="L14" s="171">
        <f>IF(L13&gt;0,L15/L13,0)</f>
        <v/>
      </c>
      <c r="M14" s="171">
        <f>M25</f>
        <v/>
      </c>
      <c r="N14" s="171">
        <f>N25</f>
        <v/>
      </c>
    </row>
    <row r="15" customFormat="1" s="37">
      <c r="A15" s="37" t="inlineStr">
        <is>
          <t>Price</t>
        </is>
      </c>
      <c r="B15" s="170">
        <f>'Data Sheet'!B90</f>
        <v/>
      </c>
      <c r="C15" s="170">
        <f>'Data Sheet'!C90</f>
        <v/>
      </c>
      <c r="D15" s="170">
        <f>'Data Sheet'!D90</f>
        <v/>
      </c>
      <c r="E15" s="170">
        <f>'Data Sheet'!E90</f>
        <v/>
      </c>
      <c r="F15" s="170">
        <f>'Data Sheet'!F90</f>
        <v/>
      </c>
      <c r="G15" s="170">
        <f>'Data Sheet'!G90</f>
        <v/>
      </c>
      <c r="H15" s="170">
        <f>'Data Sheet'!H90</f>
        <v/>
      </c>
      <c r="I15" s="170">
        <f>'Data Sheet'!I90</f>
        <v/>
      </c>
      <c r="J15" s="170">
        <f>'Data Sheet'!J90</f>
        <v/>
      </c>
      <c r="K15" s="170">
        <f>'Data Sheet'!K90</f>
        <v/>
      </c>
      <c r="L15" s="170">
        <f>'Data Sheet'!B8</f>
        <v/>
      </c>
      <c r="M15" s="172">
        <f>M13*M14</f>
        <v/>
      </c>
      <c r="N15" s="173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71">
        <f>IF(ISERROR(AVERAGEIF(B14:$L14,"&gt;0")),"",AVERAGEIF(B14:$L14,"&gt;0"))</f>
        <v/>
      </c>
      <c r="I25" s="171">
        <f>IF(ISERROR(AVERAGEIF(E14:$L14,"&gt;0")),"",AVERAGEIF(E14:$L14,"&gt;0"))</f>
        <v/>
      </c>
      <c r="J25" s="171">
        <f>IF(ISERROR(AVERAGEIF(G14:$L14,"&gt;0")),"",AVERAGEIF(G14:$L14,"&gt;0"))</f>
        <v/>
      </c>
      <c r="K25" s="171">
        <f>IF(ISERROR(AVERAGEIF(I14:$L14,"&gt;0")),"",AVERAGEIF(I14:$L14,"&gt;0"))</f>
        <v/>
      </c>
      <c r="L25" s="171">
        <f>L14</f>
        <v/>
      </c>
      <c r="M25" s="170">
        <f>MAX(K25:L25)</f>
        <v/>
      </c>
      <c r="N25" s="170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09" min="1" max="1"/>
    <col width="13.44140625" bestFit="1" customWidth="1" style="109" min="2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70">
        <f>'Data Sheet'!B42</f>
        <v/>
      </c>
      <c r="C4" s="170">
        <f>'Data Sheet'!C42</f>
        <v/>
      </c>
      <c r="D4" s="170">
        <f>'Data Sheet'!D42</f>
        <v/>
      </c>
      <c r="E4" s="170">
        <f>'Data Sheet'!E42</f>
        <v/>
      </c>
      <c r="F4" s="170">
        <f>'Data Sheet'!F42</f>
        <v/>
      </c>
      <c r="G4" s="170">
        <f>'Data Sheet'!G42</f>
        <v/>
      </c>
      <c r="H4" s="170">
        <f>'Data Sheet'!H42</f>
        <v/>
      </c>
      <c r="I4" s="170">
        <f>'Data Sheet'!I42</f>
        <v/>
      </c>
      <c r="J4" s="170">
        <f>'Data Sheet'!J42</f>
        <v/>
      </c>
      <c r="K4" s="170">
        <f>'Data Sheet'!K42</f>
        <v/>
      </c>
    </row>
    <row r="5">
      <c r="A5" t="inlineStr">
        <is>
          <t>Expenses</t>
        </is>
      </c>
      <c r="B5" s="171">
        <f>'Data Sheet'!B43</f>
        <v/>
      </c>
      <c r="C5" s="171">
        <f>'Data Sheet'!C43</f>
        <v/>
      </c>
      <c r="D5" s="171">
        <f>'Data Sheet'!D43</f>
        <v/>
      </c>
      <c r="E5" s="171">
        <f>'Data Sheet'!E43</f>
        <v/>
      </c>
      <c r="F5" s="171">
        <f>'Data Sheet'!F43</f>
        <v/>
      </c>
      <c r="G5" s="171">
        <f>'Data Sheet'!G43</f>
        <v/>
      </c>
      <c r="H5" s="171">
        <f>'Data Sheet'!H43</f>
        <v/>
      </c>
      <c r="I5" s="171">
        <f>'Data Sheet'!I43</f>
        <v/>
      </c>
      <c r="J5" s="171">
        <f>'Data Sheet'!J43</f>
        <v/>
      </c>
      <c r="K5" s="171">
        <f>'Data Sheet'!K43</f>
        <v/>
      </c>
    </row>
    <row r="6" customFormat="1" s="37">
      <c r="A6" s="37" t="inlineStr">
        <is>
          <t>Operating Profit</t>
        </is>
      </c>
      <c r="B6" s="170">
        <f>'Data Sheet'!B50</f>
        <v/>
      </c>
      <c r="C6" s="170">
        <f>'Data Sheet'!C50</f>
        <v/>
      </c>
      <c r="D6" s="170">
        <f>'Data Sheet'!D50</f>
        <v/>
      </c>
      <c r="E6" s="170">
        <f>'Data Sheet'!E50</f>
        <v/>
      </c>
      <c r="F6" s="170">
        <f>'Data Sheet'!F50</f>
        <v/>
      </c>
      <c r="G6" s="170">
        <f>'Data Sheet'!G50</f>
        <v/>
      </c>
      <c r="H6" s="170">
        <f>'Data Sheet'!H50</f>
        <v/>
      </c>
      <c r="I6" s="170">
        <f>'Data Sheet'!I50</f>
        <v/>
      </c>
      <c r="J6" s="170">
        <f>'Data Sheet'!J50</f>
        <v/>
      </c>
      <c r="K6" s="170">
        <f>'Data Sheet'!K50</f>
        <v/>
      </c>
    </row>
    <row r="7">
      <c r="A7" t="inlineStr">
        <is>
          <t>Other Income</t>
        </is>
      </c>
      <c r="B7" s="171">
        <f>'Data Sheet'!B44</f>
        <v/>
      </c>
      <c r="C7" s="171">
        <f>'Data Sheet'!C44</f>
        <v/>
      </c>
      <c r="D7" s="171">
        <f>'Data Sheet'!D44</f>
        <v/>
      </c>
      <c r="E7" s="171">
        <f>'Data Sheet'!E44</f>
        <v/>
      </c>
      <c r="F7" s="171">
        <f>'Data Sheet'!F44</f>
        <v/>
      </c>
      <c r="G7" s="171">
        <f>'Data Sheet'!G44</f>
        <v/>
      </c>
      <c r="H7" s="171">
        <f>'Data Sheet'!H44</f>
        <v/>
      </c>
      <c r="I7" s="171">
        <f>'Data Sheet'!I44</f>
        <v/>
      </c>
      <c r="J7" s="171">
        <f>'Data Sheet'!J44</f>
        <v/>
      </c>
      <c r="K7" s="171">
        <f>'Data Sheet'!K44</f>
        <v/>
      </c>
    </row>
    <row r="8">
      <c r="A8" t="inlineStr">
        <is>
          <t>Depreciation</t>
        </is>
      </c>
      <c r="B8" s="171">
        <f>'Data Sheet'!B45</f>
        <v/>
      </c>
      <c r="C8" s="171">
        <f>'Data Sheet'!C45</f>
        <v/>
      </c>
      <c r="D8" s="171">
        <f>'Data Sheet'!D45</f>
        <v/>
      </c>
      <c r="E8" s="171">
        <f>'Data Sheet'!E45</f>
        <v/>
      </c>
      <c r="F8" s="171">
        <f>'Data Sheet'!F45</f>
        <v/>
      </c>
      <c r="G8" s="171">
        <f>'Data Sheet'!G45</f>
        <v/>
      </c>
      <c r="H8" s="171">
        <f>'Data Sheet'!H45</f>
        <v/>
      </c>
      <c r="I8" s="171">
        <f>'Data Sheet'!I45</f>
        <v/>
      </c>
      <c r="J8" s="171">
        <f>'Data Sheet'!J45</f>
        <v/>
      </c>
      <c r="K8" s="171">
        <f>'Data Sheet'!K45</f>
        <v/>
      </c>
    </row>
    <row r="9">
      <c r="A9" t="inlineStr">
        <is>
          <t>Interest</t>
        </is>
      </c>
      <c r="B9" s="171">
        <f>'Data Sheet'!B46</f>
        <v/>
      </c>
      <c r="C9" s="171">
        <f>'Data Sheet'!C46</f>
        <v/>
      </c>
      <c r="D9" s="171">
        <f>'Data Sheet'!D46</f>
        <v/>
      </c>
      <c r="E9" s="171">
        <f>'Data Sheet'!E46</f>
        <v/>
      </c>
      <c r="F9" s="171">
        <f>'Data Sheet'!F46</f>
        <v/>
      </c>
      <c r="G9" s="171">
        <f>'Data Sheet'!G46</f>
        <v/>
      </c>
      <c r="H9" s="171">
        <f>'Data Sheet'!H46</f>
        <v/>
      </c>
      <c r="I9" s="171">
        <f>'Data Sheet'!I46</f>
        <v/>
      </c>
      <c r="J9" s="171">
        <f>'Data Sheet'!J46</f>
        <v/>
      </c>
      <c r="K9" s="171">
        <f>'Data Sheet'!K46</f>
        <v/>
      </c>
    </row>
    <row r="10">
      <c r="A10" t="inlineStr">
        <is>
          <t>Profit before tax</t>
        </is>
      </c>
      <c r="B10" s="171">
        <f>'Data Sheet'!B47</f>
        <v/>
      </c>
      <c r="C10" s="171">
        <f>'Data Sheet'!C47</f>
        <v/>
      </c>
      <c r="D10" s="171">
        <f>'Data Sheet'!D47</f>
        <v/>
      </c>
      <c r="E10" s="171">
        <f>'Data Sheet'!E47</f>
        <v/>
      </c>
      <c r="F10" s="171">
        <f>'Data Sheet'!F47</f>
        <v/>
      </c>
      <c r="G10" s="171">
        <f>'Data Sheet'!G47</f>
        <v/>
      </c>
      <c r="H10" s="171">
        <f>'Data Sheet'!H47</f>
        <v/>
      </c>
      <c r="I10" s="171">
        <f>'Data Sheet'!I47</f>
        <v/>
      </c>
      <c r="J10" s="171">
        <f>'Data Sheet'!J47</f>
        <v/>
      </c>
      <c r="K10" s="171">
        <f>'Data Sheet'!K47</f>
        <v/>
      </c>
    </row>
    <row r="11">
      <c r="A11" t="inlineStr">
        <is>
          <t>Tax</t>
        </is>
      </c>
      <c r="B11" s="171">
        <f>'Data Sheet'!B48</f>
        <v/>
      </c>
      <c r="C11" s="171">
        <f>'Data Sheet'!C48</f>
        <v/>
      </c>
      <c r="D11" s="171">
        <f>'Data Sheet'!D48</f>
        <v/>
      </c>
      <c r="E11" s="171">
        <f>'Data Sheet'!E48</f>
        <v/>
      </c>
      <c r="F11" s="171">
        <f>'Data Sheet'!F48</f>
        <v/>
      </c>
      <c r="G11" s="171">
        <f>'Data Sheet'!G48</f>
        <v/>
      </c>
      <c r="H11" s="171">
        <f>'Data Sheet'!H48</f>
        <v/>
      </c>
      <c r="I11" s="171">
        <f>'Data Sheet'!I48</f>
        <v/>
      </c>
      <c r="J11" s="171">
        <f>'Data Sheet'!J48</f>
        <v/>
      </c>
      <c r="K11" s="171">
        <f>'Data Sheet'!K48</f>
        <v/>
      </c>
    </row>
    <row r="12" customFormat="1" s="37">
      <c r="A12" s="37" t="inlineStr">
        <is>
          <t>Net profit</t>
        </is>
      </c>
      <c r="B12" s="170">
        <f>'Data Sheet'!B49</f>
        <v/>
      </c>
      <c r="C12" s="170">
        <f>'Data Sheet'!C49</f>
        <v/>
      </c>
      <c r="D12" s="170">
        <f>'Data Sheet'!D49</f>
        <v/>
      </c>
      <c r="E12" s="170">
        <f>'Data Sheet'!E49</f>
        <v/>
      </c>
      <c r="F12" s="170">
        <f>'Data Sheet'!F49</f>
        <v/>
      </c>
      <c r="G12" s="170">
        <f>'Data Sheet'!G49</f>
        <v/>
      </c>
      <c r="H12" s="170">
        <f>'Data Sheet'!H49</f>
        <v/>
      </c>
      <c r="I12" s="170">
        <f>'Data Sheet'!I49</f>
        <v/>
      </c>
      <c r="J12" s="170">
        <f>'Data Sheet'!J49</f>
        <v/>
      </c>
      <c r="K12" s="170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09" min="1" max="1"/>
    <col width="13.44140625" customWidth="1" style="109" min="2" max="2"/>
    <col width="15.44140625" customWidth="1" style="109" min="3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0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74">
        <f>'Data Sheet'!B57</f>
        <v/>
      </c>
      <c r="C4" s="174">
        <f>'Data Sheet'!C57</f>
        <v/>
      </c>
      <c r="D4" s="174">
        <f>'Data Sheet'!D57</f>
        <v/>
      </c>
      <c r="E4" s="174">
        <f>'Data Sheet'!E57</f>
        <v/>
      </c>
      <c r="F4" s="174">
        <f>'Data Sheet'!F57</f>
        <v/>
      </c>
      <c r="G4" s="174">
        <f>'Data Sheet'!G57</f>
        <v/>
      </c>
      <c r="H4" s="174">
        <f>'Data Sheet'!H57</f>
        <v/>
      </c>
      <c r="I4" s="174">
        <f>'Data Sheet'!I57</f>
        <v/>
      </c>
      <c r="J4" s="174">
        <f>'Data Sheet'!J57</f>
        <v/>
      </c>
      <c r="K4" s="174">
        <f>'Data Sheet'!K57</f>
        <v/>
      </c>
    </row>
    <row r="5" s="109">
      <c r="A5" t="inlineStr">
        <is>
          <t>Reserves</t>
        </is>
      </c>
      <c r="B5" s="174">
        <f>'Data Sheet'!B58</f>
        <v/>
      </c>
      <c r="C5" s="174">
        <f>'Data Sheet'!C58</f>
        <v/>
      </c>
      <c r="D5" s="174">
        <f>'Data Sheet'!D58</f>
        <v/>
      </c>
      <c r="E5" s="174">
        <f>'Data Sheet'!E58</f>
        <v/>
      </c>
      <c r="F5" s="174">
        <f>'Data Sheet'!F58</f>
        <v/>
      </c>
      <c r="G5" s="174">
        <f>'Data Sheet'!G58</f>
        <v/>
      </c>
      <c r="H5" s="174">
        <f>'Data Sheet'!H58</f>
        <v/>
      </c>
      <c r="I5" s="174">
        <f>'Data Sheet'!I58</f>
        <v/>
      </c>
      <c r="J5" s="174">
        <f>'Data Sheet'!J58</f>
        <v/>
      </c>
      <c r="K5" s="174">
        <f>'Data Sheet'!K58</f>
        <v/>
      </c>
    </row>
    <row r="6">
      <c r="A6" t="inlineStr">
        <is>
          <t>Borrowings</t>
        </is>
      </c>
      <c r="B6" s="174">
        <f>'Data Sheet'!B59</f>
        <v/>
      </c>
      <c r="C6" s="174">
        <f>'Data Sheet'!C59</f>
        <v/>
      </c>
      <c r="D6" s="174">
        <f>'Data Sheet'!D59</f>
        <v/>
      </c>
      <c r="E6" s="174">
        <f>'Data Sheet'!E59</f>
        <v/>
      </c>
      <c r="F6" s="174">
        <f>'Data Sheet'!F59</f>
        <v/>
      </c>
      <c r="G6" s="174">
        <f>'Data Sheet'!G59</f>
        <v/>
      </c>
      <c r="H6" s="174">
        <f>'Data Sheet'!H59</f>
        <v/>
      </c>
      <c r="I6" s="174">
        <f>'Data Sheet'!I59</f>
        <v/>
      </c>
      <c r="J6" s="174">
        <f>'Data Sheet'!J59</f>
        <v/>
      </c>
      <c r="K6" s="174">
        <f>'Data Sheet'!K59</f>
        <v/>
      </c>
    </row>
    <row r="7" s="109">
      <c r="A7" t="inlineStr">
        <is>
          <t>Other Liabilities</t>
        </is>
      </c>
      <c r="B7" s="174">
        <f>'Data Sheet'!B60</f>
        <v/>
      </c>
      <c r="C7" s="174">
        <f>'Data Sheet'!C60</f>
        <v/>
      </c>
      <c r="D7" s="174">
        <f>'Data Sheet'!D60</f>
        <v/>
      </c>
      <c r="E7" s="174">
        <f>'Data Sheet'!E60</f>
        <v/>
      </c>
      <c r="F7" s="174">
        <f>'Data Sheet'!F60</f>
        <v/>
      </c>
      <c r="G7" s="174">
        <f>'Data Sheet'!G60</f>
        <v/>
      </c>
      <c r="H7" s="174">
        <f>'Data Sheet'!H60</f>
        <v/>
      </c>
      <c r="I7" s="174">
        <f>'Data Sheet'!I60</f>
        <v/>
      </c>
      <c r="J7" s="174">
        <f>'Data Sheet'!J60</f>
        <v/>
      </c>
      <c r="K7" s="174">
        <f>'Data Sheet'!K60</f>
        <v/>
      </c>
    </row>
    <row r="8" customFormat="1" s="37">
      <c r="A8" s="37" t="inlineStr">
        <is>
          <t>Total</t>
        </is>
      </c>
      <c r="B8" s="175">
        <f>'Data Sheet'!B61</f>
        <v/>
      </c>
      <c r="C8" s="175">
        <f>'Data Sheet'!C61</f>
        <v/>
      </c>
      <c r="D8" s="175">
        <f>'Data Sheet'!D61</f>
        <v/>
      </c>
      <c r="E8" s="175">
        <f>'Data Sheet'!E61</f>
        <v/>
      </c>
      <c r="F8" s="175">
        <f>'Data Sheet'!F61</f>
        <v/>
      </c>
      <c r="G8" s="175">
        <f>'Data Sheet'!G61</f>
        <v/>
      </c>
      <c r="H8" s="175">
        <f>'Data Sheet'!H61</f>
        <v/>
      </c>
      <c r="I8" s="175">
        <f>'Data Sheet'!I61</f>
        <v/>
      </c>
      <c r="J8" s="175">
        <f>'Data Sheet'!J61</f>
        <v/>
      </c>
      <c r="K8" s="175">
        <f>'Data Sheet'!K61</f>
        <v/>
      </c>
    </row>
    <row r="9" customFormat="1" s="37"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</row>
    <row r="10">
      <c r="A10" t="inlineStr">
        <is>
          <t>Net Block</t>
        </is>
      </c>
      <c r="B10" s="174">
        <f>'Data Sheet'!B62</f>
        <v/>
      </c>
      <c r="C10" s="174">
        <f>'Data Sheet'!C62</f>
        <v/>
      </c>
      <c r="D10" s="174">
        <f>'Data Sheet'!D62</f>
        <v/>
      </c>
      <c r="E10" s="174">
        <f>'Data Sheet'!E62</f>
        <v/>
      </c>
      <c r="F10" s="174">
        <f>'Data Sheet'!F62</f>
        <v/>
      </c>
      <c r="G10" s="174">
        <f>'Data Sheet'!G62</f>
        <v/>
      </c>
      <c r="H10" s="174">
        <f>'Data Sheet'!H62</f>
        <v/>
      </c>
      <c r="I10" s="174">
        <f>'Data Sheet'!I62</f>
        <v/>
      </c>
      <c r="J10" s="174">
        <f>'Data Sheet'!J62</f>
        <v/>
      </c>
      <c r="K10" s="174">
        <f>'Data Sheet'!K62</f>
        <v/>
      </c>
    </row>
    <row r="11">
      <c r="A11" t="inlineStr">
        <is>
          <t>Capital Work in Progress</t>
        </is>
      </c>
      <c r="B11" s="174">
        <f>'Data Sheet'!B63</f>
        <v/>
      </c>
      <c r="C11" s="174">
        <f>'Data Sheet'!C63</f>
        <v/>
      </c>
      <c r="D11" s="174">
        <f>'Data Sheet'!D63</f>
        <v/>
      </c>
      <c r="E11" s="174">
        <f>'Data Sheet'!E63</f>
        <v/>
      </c>
      <c r="F11" s="174">
        <f>'Data Sheet'!F63</f>
        <v/>
      </c>
      <c r="G11" s="174">
        <f>'Data Sheet'!G63</f>
        <v/>
      </c>
      <c r="H11" s="174">
        <f>'Data Sheet'!H63</f>
        <v/>
      </c>
      <c r="I11" s="174">
        <f>'Data Sheet'!I63</f>
        <v/>
      </c>
      <c r="J11" s="174">
        <f>'Data Sheet'!J63</f>
        <v/>
      </c>
      <c r="K11" s="174">
        <f>'Data Sheet'!K63</f>
        <v/>
      </c>
    </row>
    <row r="12">
      <c r="A12" t="inlineStr">
        <is>
          <t>Investments</t>
        </is>
      </c>
      <c r="B12" s="174">
        <f>'Data Sheet'!B64</f>
        <v/>
      </c>
      <c r="C12" s="174">
        <f>'Data Sheet'!C64</f>
        <v/>
      </c>
      <c r="D12" s="174">
        <f>'Data Sheet'!D64</f>
        <v/>
      </c>
      <c r="E12" s="174">
        <f>'Data Sheet'!E64</f>
        <v/>
      </c>
      <c r="F12" s="174">
        <f>'Data Sheet'!F64</f>
        <v/>
      </c>
      <c r="G12" s="174">
        <f>'Data Sheet'!G64</f>
        <v/>
      </c>
      <c r="H12" s="174">
        <f>'Data Sheet'!H64</f>
        <v/>
      </c>
      <c r="I12" s="174">
        <f>'Data Sheet'!I64</f>
        <v/>
      </c>
      <c r="J12" s="174">
        <f>'Data Sheet'!J64</f>
        <v/>
      </c>
      <c r="K12" s="174">
        <f>'Data Sheet'!K64</f>
        <v/>
      </c>
    </row>
    <row r="13">
      <c r="A13" t="inlineStr">
        <is>
          <t>Other Assets</t>
        </is>
      </c>
      <c r="B13" s="174">
        <f>'Data Sheet'!B65</f>
        <v/>
      </c>
      <c r="C13" s="174">
        <f>'Data Sheet'!C65</f>
        <v/>
      </c>
      <c r="D13" s="174">
        <f>'Data Sheet'!D65</f>
        <v/>
      </c>
      <c r="E13" s="174">
        <f>'Data Sheet'!E65</f>
        <v/>
      </c>
      <c r="F13" s="174">
        <f>'Data Sheet'!F65</f>
        <v/>
      </c>
      <c r="G13" s="174">
        <f>'Data Sheet'!G65</f>
        <v/>
      </c>
      <c r="H13" s="174">
        <f>'Data Sheet'!H65</f>
        <v/>
      </c>
      <c r="I13" s="174">
        <f>'Data Sheet'!I65</f>
        <v/>
      </c>
      <c r="J13" s="174">
        <f>'Data Sheet'!J65</f>
        <v/>
      </c>
      <c r="K13" s="174">
        <f>'Data Sheet'!K65</f>
        <v/>
      </c>
    </row>
    <row r="14" customFormat="1" s="37">
      <c r="A14" s="37" t="inlineStr">
        <is>
          <t>Total</t>
        </is>
      </c>
      <c r="B14" s="174">
        <f>'Data Sheet'!B66</f>
        <v/>
      </c>
      <c r="C14" s="174">
        <f>'Data Sheet'!C66</f>
        <v/>
      </c>
      <c r="D14" s="174">
        <f>'Data Sheet'!D66</f>
        <v/>
      </c>
      <c r="E14" s="174">
        <f>'Data Sheet'!E66</f>
        <v/>
      </c>
      <c r="F14" s="174">
        <f>'Data Sheet'!F66</f>
        <v/>
      </c>
      <c r="G14" s="174">
        <f>'Data Sheet'!G66</f>
        <v/>
      </c>
      <c r="H14" s="174">
        <f>'Data Sheet'!H66</f>
        <v/>
      </c>
      <c r="I14" s="174">
        <f>'Data Sheet'!I66</f>
        <v/>
      </c>
      <c r="J14" s="174">
        <f>'Data Sheet'!J66</f>
        <v/>
      </c>
      <c r="K14" s="174">
        <f>'Data Sheet'!K66</f>
        <v/>
      </c>
    </row>
    <row r="15">
      <c r="B15" s="176" t="n"/>
      <c r="C15" s="176" t="n"/>
      <c r="D15" s="176" t="n"/>
      <c r="E15" s="176" t="n"/>
      <c r="F15" s="176" t="n"/>
      <c r="G15" s="176" t="n"/>
      <c r="H15" s="176" t="n"/>
      <c r="I15" s="176" t="n"/>
      <c r="J15" s="176" t="n"/>
      <c r="K15" s="176" t="n"/>
    </row>
    <row r="16">
      <c r="A16" t="inlineStr">
        <is>
          <t>Working Capital</t>
        </is>
      </c>
      <c r="B16" s="176">
        <f>B13-B7</f>
        <v/>
      </c>
      <c r="C16" s="176">
        <f>C13-C7</f>
        <v/>
      </c>
      <c r="D16" s="176">
        <f>D13-D7</f>
        <v/>
      </c>
      <c r="E16" s="176">
        <f>E13-E7</f>
        <v/>
      </c>
      <c r="F16" s="176">
        <f>F13-F7</f>
        <v/>
      </c>
      <c r="G16" s="176">
        <f>G13-G7</f>
        <v/>
      </c>
      <c r="H16" s="176">
        <f>H13-H7</f>
        <v/>
      </c>
      <c r="I16" s="176">
        <f>I13-I7</f>
        <v/>
      </c>
      <c r="J16" s="176">
        <f>J13-J7</f>
        <v/>
      </c>
      <c r="K16" s="176">
        <f>K13-K7</f>
        <v/>
      </c>
    </row>
    <row r="17">
      <c r="A17" t="inlineStr">
        <is>
          <t>Debtors</t>
        </is>
      </c>
      <c r="B17" s="176">
        <f>'Data Sheet'!B67</f>
        <v/>
      </c>
      <c r="C17" s="176">
        <f>'Data Sheet'!C67</f>
        <v/>
      </c>
      <c r="D17" s="176">
        <f>'Data Sheet'!D67</f>
        <v/>
      </c>
      <c r="E17" s="176">
        <f>'Data Sheet'!E67</f>
        <v/>
      </c>
      <c r="F17" s="176">
        <f>'Data Sheet'!F67</f>
        <v/>
      </c>
      <c r="G17" s="176">
        <f>'Data Sheet'!G67</f>
        <v/>
      </c>
      <c r="H17" s="176">
        <f>'Data Sheet'!H67</f>
        <v/>
      </c>
      <c r="I17" s="176">
        <f>'Data Sheet'!I67</f>
        <v/>
      </c>
      <c r="J17" s="176">
        <f>'Data Sheet'!J67</f>
        <v/>
      </c>
      <c r="K17" s="176">
        <f>'Data Sheet'!K67</f>
        <v/>
      </c>
    </row>
    <row r="18">
      <c r="A18" t="inlineStr">
        <is>
          <t>Inventory</t>
        </is>
      </c>
      <c r="B18" s="176">
        <f>'Data Sheet'!B68</f>
        <v/>
      </c>
      <c r="C18" s="176">
        <f>'Data Sheet'!C68</f>
        <v/>
      </c>
      <c r="D18" s="176">
        <f>'Data Sheet'!D68</f>
        <v/>
      </c>
      <c r="E18" s="176">
        <f>'Data Sheet'!E68</f>
        <v/>
      </c>
      <c r="F18" s="176">
        <f>'Data Sheet'!F68</f>
        <v/>
      </c>
      <c r="G18" s="176">
        <f>'Data Sheet'!G68</f>
        <v/>
      </c>
      <c r="H18" s="176">
        <f>'Data Sheet'!H68</f>
        <v/>
      </c>
      <c r="I18" s="176">
        <f>'Data Sheet'!I68</f>
        <v/>
      </c>
      <c r="J18" s="176">
        <f>'Data Sheet'!J68</f>
        <v/>
      </c>
      <c r="K18" s="176">
        <f>'Data Sheet'!K68</f>
        <v/>
      </c>
    </row>
    <row r="20">
      <c r="A20" t="inlineStr">
        <is>
          <t>Debtor Days</t>
        </is>
      </c>
      <c r="B20" s="176">
        <f>IF('Profit &amp; Loss'!B4&gt;0,'Balance Sheet'!B17/('Profit &amp; Loss'!B4/365),0)</f>
        <v/>
      </c>
      <c r="C20" s="176">
        <f>IF('Profit &amp; Loss'!C4&gt;0,'Balance Sheet'!C17/('Profit &amp; Loss'!C4/365),0)</f>
        <v/>
      </c>
      <c r="D20" s="176">
        <f>IF('Profit &amp; Loss'!D4&gt;0,'Balance Sheet'!D17/('Profit &amp; Loss'!D4/365),0)</f>
        <v/>
      </c>
      <c r="E20" s="176">
        <f>IF('Profit &amp; Loss'!E4&gt;0,'Balance Sheet'!E17/('Profit &amp; Loss'!E4/365),0)</f>
        <v/>
      </c>
      <c r="F20" s="176">
        <f>IF('Profit &amp; Loss'!F4&gt;0,'Balance Sheet'!F17/('Profit &amp; Loss'!F4/365),0)</f>
        <v/>
      </c>
      <c r="G20" s="176">
        <f>IF('Profit &amp; Loss'!G4&gt;0,'Balance Sheet'!G17/('Profit &amp; Loss'!G4/365),0)</f>
        <v/>
      </c>
      <c r="H20" s="176">
        <f>IF('Profit &amp; Loss'!H4&gt;0,'Balance Sheet'!H17/('Profit &amp; Loss'!H4/365),0)</f>
        <v/>
      </c>
      <c r="I20" s="176">
        <f>IF('Profit &amp; Loss'!I4&gt;0,'Balance Sheet'!I17/('Profit &amp; Loss'!I4/365),0)</f>
        <v/>
      </c>
      <c r="J20" s="176">
        <f>IF('Profit &amp; Loss'!J4&gt;0,'Balance Sheet'!J17/('Profit &amp; Loss'!J4/365),0)</f>
        <v/>
      </c>
      <c r="K20" s="176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76">
        <f>IF('Balance Sheet'!B18&gt;0,'Profit &amp; Loss'!B4/'Balance Sheet'!B18,0)</f>
        <v/>
      </c>
      <c r="C21" s="176">
        <f>IF('Balance Sheet'!C18&gt;0,'Profit &amp; Loss'!C4/'Balance Sheet'!C18,0)</f>
        <v/>
      </c>
      <c r="D21" s="176">
        <f>IF('Balance Sheet'!D18&gt;0,'Profit &amp; Loss'!D4/'Balance Sheet'!D18,0)</f>
        <v/>
      </c>
      <c r="E21" s="176">
        <f>IF('Balance Sheet'!E18&gt;0,'Profit &amp; Loss'!E4/'Balance Sheet'!E18,0)</f>
        <v/>
      </c>
      <c r="F21" s="176">
        <f>IF('Balance Sheet'!F18&gt;0,'Profit &amp; Loss'!F4/'Balance Sheet'!F18,0)</f>
        <v/>
      </c>
      <c r="G21" s="176">
        <f>IF('Balance Sheet'!G18&gt;0,'Profit &amp; Loss'!G4/'Balance Sheet'!G18,0)</f>
        <v/>
      </c>
      <c r="H21" s="176">
        <f>IF('Balance Sheet'!H18&gt;0,'Profit &amp; Loss'!H4/'Balance Sheet'!H18,0)</f>
        <v/>
      </c>
      <c r="I21" s="176">
        <f>IF('Balance Sheet'!I18&gt;0,'Profit &amp; Loss'!I4/'Balance Sheet'!I18,0)</f>
        <v/>
      </c>
      <c r="J21" s="176">
        <f>IF('Balance Sheet'!J18&gt;0,'Profit &amp; Loss'!J4/'Balance Sheet'!J18,0)</f>
        <v/>
      </c>
      <c r="K21" s="176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09" min="1" max="1"/>
    <col width="13.44140625" customWidth="1" style="109" min="2" max="6"/>
    <col width="13.44140625" bestFit="1" customWidth="1" style="109" min="7" max="11"/>
    <col width="8.77734375" customWidth="1" style="109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70">
        <f>'Data Sheet'!B82</f>
        <v/>
      </c>
      <c r="C4" s="170">
        <f>'Data Sheet'!C82</f>
        <v/>
      </c>
      <c r="D4" s="170">
        <f>'Data Sheet'!D82</f>
        <v/>
      </c>
      <c r="E4" s="170">
        <f>'Data Sheet'!E82</f>
        <v/>
      </c>
      <c r="F4" s="170">
        <f>'Data Sheet'!F82</f>
        <v/>
      </c>
      <c r="G4" s="170">
        <f>'Data Sheet'!G82</f>
        <v/>
      </c>
      <c r="H4" s="170">
        <f>'Data Sheet'!H82</f>
        <v/>
      </c>
      <c r="I4" s="170">
        <f>'Data Sheet'!I82</f>
        <v/>
      </c>
      <c r="J4" s="170">
        <f>'Data Sheet'!J82</f>
        <v/>
      </c>
      <c r="K4" s="170">
        <f>'Data Sheet'!K82</f>
        <v/>
      </c>
    </row>
    <row r="5">
      <c r="A5" t="inlineStr">
        <is>
          <t>Cash from Investing Activity</t>
        </is>
      </c>
      <c r="B5" s="171">
        <f>'Data Sheet'!B83</f>
        <v/>
      </c>
      <c r="C5" s="171">
        <f>'Data Sheet'!C83</f>
        <v/>
      </c>
      <c r="D5" s="171">
        <f>'Data Sheet'!D83</f>
        <v/>
      </c>
      <c r="E5" s="171">
        <f>'Data Sheet'!E83</f>
        <v/>
      </c>
      <c r="F5" s="171">
        <f>'Data Sheet'!F83</f>
        <v/>
      </c>
      <c r="G5" s="171">
        <f>'Data Sheet'!G83</f>
        <v/>
      </c>
      <c r="H5" s="171">
        <f>'Data Sheet'!H83</f>
        <v/>
      </c>
      <c r="I5" s="171">
        <f>'Data Sheet'!I83</f>
        <v/>
      </c>
      <c r="J5" s="171">
        <f>'Data Sheet'!J83</f>
        <v/>
      </c>
      <c r="K5" s="171">
        <f>'Data Sheet'!K83</f>
        <v/>
      </c>
    </row>
    <row r="6">
      <c r="A6" t="inlineStr">
        <is>
          <t>Cash from Financing Activity</t>
        </is>
      </c>
      <c r="B6" s="171">
        <f>'Data Sheet'!B84</f>
        <v/>
      </c>
      <c r="C6" s="171">
        <f>'Data Sheet'!C84</f>
        <v/>
      </c>
      <c r="D6" s="171">
        <f>'Data Sheet'!D84</f>
        <v/>
      </c>
      <c r="E6" s="171">
        <f>'Data Sheet'!E84</f>
        <v/>
      </c>
      <c r="F6" s="171">
        <f>'Data Sheet'!F84</f>
        <v/>
      </c>
      <c r="G6" s="171">
        <f>'Data Sheet'!G84</f>
        <v/>
      </c>
      <c r="H6" s="171">
        <f>'Data Sheet'!H84</f>
        <v/>
      </c>
      <c r="I6" s="171">
        <f>'Data Sheet'!I84</f>
        <v/>
      </c>
      <c r="J6" s="171">
        <f>'Data Sheet'!J84</f>
        <v/>
      </c>
      <c r="K6" s="171">
        <f>'Data Sheet'!K84</f>
        <v/>
      </c>
    </row>
    <row r="7" customFormat="1" s="37">
      <c r="A7" s="37" t="inlineStr">
        <is>
          <t>Net Cash Flow</t>
        </is>
      </c>
      <c r="B7" s="170">
        <f>'Data Sheet'!B85</f>
        <v/>
      </c>
      <c r="C7" s="170">
        <f>'Data Sheet'!C85</f>
        <v/>
      </c>
      <c r="D7" s="170">
        <f>'Data Sheet'!D85</f>
        <v/>
      </c>
      <c r="E7" s="170">
        <f>'Data Sheet'!E85</f>
        <v/>
      </c>
      <c r="F7" s="170">
        <f>'Data Sheet'!F85</f>
        <v/>
      </c>
      <c r="G7" s="170">
        <f>'Data Sheet'!G85</f>
        <v/>
      </c>
      <c r="H7" s="170">
        <f>'Data Sheet'!H85</f>
        <v/>
      </c>
      <c r="I7" s="170">
        <f>'Data Sheet'!I85</f>
        <v/>
      </c>
      <c r="J7" s="170">
        <f>'Data Sheet'!J85</f>
        <v/>
      </c>
      <c r="K7" s="170">
        <f>'Data Sheet'!K85</f>
        <v/>
      </c>
    </row>
    <row r="8">
      <c r="B8" s="171" t="n"/>
      <c r="C8" s="171" t="n"/>
      <c r="D8" s="171" t="n"/>
      <c r="E8" s="171" t="n"/>
      <c r="F8" s="171" t="n"/>
      <c r="G8" s="171" t="n"/>
      <c r="H8" s="171" t="n"/>
      <c r="I8" s="171" t="n"/>
      <c r="J8" s="171" t="n"/>
      <c r="K8" s="171" t="n"/>
    </row>
    <row r="24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09" min="2" max="2"/>
    <col width="13.33203125" customWidth="1" style="26" min="3" max="3"/>
    <col width="8.77734375" customWidth="1" style="109" min="4" max="5"/>
    <col width="6.77734375" customWidth="1" style="109" min="6" max="6"/>
    <col width="8.77734375" customWidth="1" style="109" min="7" max="16384"/>
  </cols>
  <sheetData>
    <row r="1" ht="21" customHeight="1" s="109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09" min="1" max="1"/>
    <col width="27.33203125" customWidth="1" style="109" min="2" max="2"/>
    <col width="9.6640625" bestFit="1" customWidth="1" style="109" min="3" max="3"/>
  </cols>
  <sheetData>
    <row r="2">
      <c r="B2" s="160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09"/>
    <row r="6">
      <c r="B6" s="177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78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78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78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78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78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78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78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78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78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78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78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78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78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78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78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0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09"/>
    <row r="27">
      <c r="B27" s="177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78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78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78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78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77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78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78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78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78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78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78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78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76" min="1" max="1"/>
    <col width="13.44140625" bestFit="1" customWidth="1" style="176" min="2" max="11"/>
    <col width="8.77734375" customWidth="1" style="176" min="12" max="16384"/>
  </cols>
  <sheetData>
    <row r="1" customFormat="1" s="170">
      <c r="A1" s="170" t="inlineStr">
        <is>
          <t>COMPANY NAME</t>
        </is>
      </c>
      <c r="B1" s="170" t="inlineStr">
        <is>
          <t>SUN PHARMACEUTICAL INDUSTRIES LTD</t>
        </is>
      </c>
      <c r="E1" s="179">
        <f>IF(B2&lt;&gt;B3, "A NEW VERSION OF THE WORKSHEET IS AVAILABLE", "")</f>
        <v/>
      </c>
    </row>
    <row r="2">
      <c r="A2" s="170" t="inlineStr">
        <is>
          <t>LATEST VERSION</t>
        </is>
      </c>
      <c r="B2" s="176" t="n">
        <v>2.1</v>
      </c>
      <c r="E2" s="180" t="inlineStr">
        <is>
          <t>PLEASE DO NOT MAKE ANY CHANGES TO THIS SHEET</t>
        </is>
      </c>
    </row>
    <row r="3">
      <c r="A3" s="170" t="inlineStr">
        <is>
          <t>CURRENT VERSION</t>
        </is>
      </c>
      <c r="B3" s="176" t="n">
        <v>2.1</v>
      </c>
    </row>
    <row r="4">
      <c r="A4" s="170" t="n"/>
    </row>
    <row r="5">
      <c r="A5" s="170" t="inlineStr">
        <is>
          <t>META</t>
        </is>
      </c>
    </row>
    <row r="6">
      <c r="A6" s="176" t="inlineStr">
        <is>
          <t>Number of shares</t>
        </is>
      </c>
      <c r="B6" s="176">
        <f>IF(B9&gt;0, B9/B8, 0)</f>
        <v/>
      </c>
    </row>
    <row r="7">
      <c r="A7" s="176" t="inlineStr">
        <is>
          <t>Face Value</t>
        </is>
      </c>
      <c r="B7" t="n">
        <v>1</v>
      </c>
    </row>
    <row r="8">
      <c r="A8" s="176" t="inlineStr">
        <is>
          <t>Current Price</t>
        </is>
      </c>
      <c r="B8" t="n">
        <v>1865</v>
      </c>
    </row>
    <row r="9">
      <c r="A9" s="176" t="inlineStr">
        <is>
          <t>Market Capitalization</t>
        </is>
      </c>
      <c r="B9" t="n">
        <v>448058</v>
      </c>
    </row>
    <row r="15">
      <c r="A15" s="170" t="inlineStr">
        <is>
          <t>PROFIT &amp; LOSS</t>
        </is>
      </c>
    </row>
    <row r="16" customFormat="1" s="24">
      <c r="A16" s="23" t="inlineStr">
        <is>
          <t>Report Date</t>
        </is>
      </c>
      <c r="B16" s="16" t="inlineStr">
        <is>
          <t>Mar 2017</t>
        </is>
      </c>
      <c r="C16" s="16" t="inlineStr">
        <is>
          <t>Mar 2018</t>
        </is>
      </c>
      <c r="D16" s="16" t="inlineStr">
        <is>
          <t>Mar 2019</t>
        </is>
      </c>
      <c r="E16" s="16" t="inlineStr">
        <is>
          <t>Mar 2020</t>
        </is>
      </c>
      <c r="F16" s="16" t="inlineStr">
        <is>
          <t>Mar 2021</t>
        </is>
      </c>
      <c r="G16" s="16" t="inlineStr">
        <is>
          <t>Mar 2022</t>
        </is>
      </c>
      <c r="H16" s="16" t="inlineStr">
        <is>
          <t>Mar 2023</t>
        </is>
      </c>
      <c r="I16" s="16" t="inlineStr">
        <is>
          <t>Mar 2024</t>
        </is>
      </c>
      <c r="J16" s="16" t="inlineStr">
        <is>
          <t>Mar 2025</t>
        </is>
      </c>
      <c r="K16" s="16" t="inlineStr">
        <is>
          <t>Mar 2026</t>
        </is>
      </c>
    </row>
    <row r="17" customFormat="1" s="171">
      <c r="A17" s="171" t="inlineStr">
        <is>
          <t>Sales</t>
        </is>
      </c>
      <c r="B17" t="n">
        <v>31578</v>
      </c>
      <c r="C17" t="n">
        <v>26489</v>
      </c>
      <c r="D17" t="n">
        <v>29066</v>
      </c>
      <c r="E17" t="n">
        <v>32838</v>
      </c>
      <c r="F17" t="n">
        <v>33498</v>
      </c>
      <c r="G17" t="n">
        <v>38654</v>
      </c>
      <c r="H17" t="n">
        <v>43886</v>
      </c>
      <c r="I17" t="n">
        <v>48497</v>
      </c>
      <c r="J17" t="n">
        <v>52578</v>
      </c>
      <c r="K17" t="n">
        <v>58462</v>
      </c>
    </row>
    <row r="18" customFormat="1" s="171">
      <c r="A18" s="176" t="inlineStr">
        <is>
          <t>Raw Material Cost</t>
        </is>
      </c>
      <c r="B18" t="n">
        <v>8402</v>
      </c>
      <c r="C18" t="n">
        <v>7194</v>
      </c>
      <c r="D18" t="n">
        <v>8302</v>
      </c>
      <c r="E18" t="n">
        <v>8930</v>
      </c>
      <c r="F18" t="n">
        <v>9328</v>
      </c>
      <c r="G18" t="n">
        <v>10459</v>
      </c>
      <c r="H18" t="n">
        <v>11349</v>
      </c>
      <c r="I18" t="n">
        <v>10370</v>
      </c>
      <c r="J18" t="n">
        <v>10597</v>
      </c>
      <c r="K18" t="n">
        <v>11201</v>
      </c>
    </row>
    <row r="19" customFormat="1" s="171">
      <c r="A19" s="176" t="inlineStr">
        <is>
          <t>Change in Inventory</t>
        </is>
      </c>
      <c r="B19" t="n">
        <v>-272</v>
      </c>
      <c r="C19" t="n">
        <v>231</v>
      </c>
      <c r="D19" t="n">
        <v>-433</v>
      </c>
      <c r="E19" t="n">
        <v>301</v>
      </c>
      <c r="F19" t="n">
        <v>-638</v>
      </c>
      <c r="G19" t="n">
        <v>-108</v>
      </c>
      <c r="H19" t="n">
        <v>-687</v>
      </c>
      <c r="I19" t="n">
        <v>292</v>
      </c>
      <c r="J19" t="n">
        <v>150</v>
      </c>
      <c r="K19" t="n">
        <v>343</v>
      </c>
    </row>
    <row r="20" customFormat="1" s="171">
      <c r="A20" s="176" t="inlineStr">
        <is>
          <t>Power and Fuel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 customFormat="1" s="171">
      <c r="A21" s="176" t="inlineStr">
        <is>
          <t>Other Mfr. Exp</t>
        </is>
      </c>
      <c r="B21" t="n">
        <v>2497.82</v>
      </c>
      <c r="C21" t="n">
        <v>2389.31</v>
      </c>
      <c r="D21" t="n">
        <v>2499.68</v>
      </c>
      <c r="E21" t="n">
        <v>2311.8</v>
      </c>
      <c r="F21" t="n">
        <v>2351.56</v>
      </c>
      <c r="G21" t="n">
        <v>2582.09</v>
      </c>
      <c r="H21" t="n">
        <v>2764.82</v>
      </c>
      <c r="I21" t="n">
        <v>2948.62</v>
      </c>
      <c r="J21" t="n">
        <v>3012.72</v>
      </c>
      <c r="K21" t="n">
        <v>3379.1</v>
      </c>
    </row>
    <row r="22" customFormat="1" s="171">
      <c r="A22" s="176" t="inlineStr">
        <is>
          <t>Employee Cost</t>
        </is>
      </c>
      <c r="B22" t="n">
        <v>4900.91</v>
      </c>
      <c r="C22" t="n">
        <v>5366.67</v>
      </c>
      <c r="D22" t="n">
        <v>5967.25</v>
      </c>
      <c r="E22" t="n">
        <v>6364</v>
      </c>
      <c r="F22" t="n">
        <v>6863.74</v>
      </c>
      <c r="G22" t="n">
        <v>7301.74</v>
      </c>
      <c r="H22" t="n">
        <v>8294.450000000001</v>
      </c>
      <c r="I22" t="n">
        <v>9427.82</v>
      </c>
      <c r="J22" t="n">
        <v>9974.049999999999</v>
      </c>
      <c r="K22" t="n">
        <v>11417.63</v>
      </c>
    </row>
    <row r="23" customFormat="1" s="171">
      <c r="A23" s="176" t="inlineStr">
        <is>
          <t>Selling and admin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 customFormat="1" s="171">
      <c r="A24" s="176" t="inlineStr">
        <is>
          <t>Other Expenses</t>
        </is>
      </c>
      <c r="B24" t="n">
        <v>5946.14</v>
      </c>
      <c r="C24" t="n">
        <v>5676.59</v>
      </c>
      <c r="D24" t="n">
        <v>6353.83</v>
      </c>
      <c r="E24" t="n">
        <v>7950.08</v>
      </c>
      <c r="F24" t="n">
        <v>7125.02</v>
      </c>
      <c r="G24" t="n">
        <v>8159.86</v>
      </c>
      <c r="H24" t="n">
        <v>10510.7</v>
      </c>
      <c r="I24" t="n">
        <v>12439.48</v>
      </c>
      <c r="J24" t="n">
        <v>13733.37</v>
      </c>
      <c r="K24" t="n">
        <v>15621.05</v>
      </c>
    </row>
    <row r="25" customFormat="1" s="171">
      <c r="A25" s="171" t="inlineStr">
        <is>
          <t>Other Income</t>
        </is>
      </c>
      <c r="B25" t="n">
        <v>610</v>
      </c>
      <c r="C25" t="n">
        <v>-135</v>
      </c>
      <c r="D25" t="n">
        <v>-258</v>
      </c>
      <c r="E25" t="n">
        <v>382</v>
      </c>
      <c r="F25" t="n">
        <v>-3449</v>
      </c>
      <c r="G25" t="n">
        <v>-3505</v>
      </c>
      <c r="H25" t="n">
        <v>459</v>
      </c>
      <c r="I25" t="n">
        <v>865</v>
      </c>
      <c r="J25" t="n">
        <v>1444</v>
      </c>
      <c r="K25" t="n">
        <v>1895</v>
      </c>
    </row>
    <row r="26" customFormat="1" s="171">
      <c r="A26" s="171" t="inlineStr">
        <is>
          <t>Depreciation</t>
        </is>
      </c>
      <c r="B26" t="n">
        <v>1265</v>
      </c>
      <c r="C26" t="n">
        <v>1500</v>
      </c>
      <c r="D26" t="n">
        <v>1753</v>
      </c>
      <c r="E26" t="n">
        <v>2053</v>
      </c>
      <c r="F26" t="n">
        <v>2080</v>
      </c>
      <c r="G26" t="n">
        <v>2144</v>
      </c>
      <c r="H26" t="n">
        <v>2529</v>
      </c>
      <c r="I26" t="n">
        <v>2557</v>
      </c>
      <c r="J26" t="n">
        <v>2575</v>
      </c>
      <c r="K26" t="n">
        <v>2938</v>
      </c>
    </row>
    <row r="27" customFormat="1" s="171">
      <c r="A27" s="171" t="inlineStr">
        <is>
          <t>Interest</t>
        </is>
      </c>
      <c r="B27" t="n">
        <v>400</v>
      </c>
      <c r="C27" t="n">
        <v>518</v>
      </c>
      <c r="D27" t="n">
        <v>555</v>
      </c>
      <c r="E27" t="n">
        <v>303</v>
      </c>
      <c r="F27" t="n">
        <v>141</v>
      </c>
      <c r="G27" t="n">
        <v>127</v>
      </c>
      <c r="H27" t="n">
        <v>172</v>
      </c>
      <c r="I27" t="n">
        <v>238</v>
      </c>
      <c r="J27" t="n">
        <v>231</v>
      </c>
      <c r="K27" t="n">
        <v>339</v>
      </c>
    </row>
    <row r="28" customFormat="1" s="171">
      <c r="A28" s="171" t="inlineStr">
        <is>
          <t>Profit before tax</t>
        </is>
      </c>
      <c r="B28" t="n">
        <v>9048</v>
      </c>
      <c r="C28" t="n">
        <v>3479</v>
      </c>
      <c r="D28" t="n">
        <v>3810</v>
      </c>
      <c r="E28" t="n">
        <v>5010</v>
      </c>
      <c r="F28" t="n">
        <v>2799</v>
      </c>
      <c r="G28" t="n">
        <v>4481</v>
      </c>
      <c r="H28" t="n">
        <v>9408</v>
      </c>
      <c r="I28" t="n">
        <v>11088</v>
      </c>
      <c r="J28" t="n">
        <v>13752</v>
      </c>
      <c r="K28" t="n">
        <v>15119</v>
      </c>
    </row>
    <row r="29" customFormat="1" s="171">
      <c r="A29" s="171" t="inlineStr">
        <is>
          <t>Tax</t>
        </is>
      </c>
      <c r="B29" t="n">
        <v>1202</v>
      </c>
      <c r="C29" t="n">
        <v>937</v>
      </c>
      <c r="D29" t="n">
        <v>602</v>
      </c>
      <c r="E29" t="n">
        <v>838</v>
      </c>
      <c r="F29" t="n">
        <v>527</v>
      </c>
      <c r="G29" t="n">
        <v>1092</v>
      </c>
      <c r="H29" t="n">
        <v>895</v>
      </c>
      <c r="I29" t="n">
        <v>1478</v>
      </c>
      <c r="J29" t="n">
        <v>2787</v>
      </c>
      <c r="K29" t="n">
        <v>3610</v>
      </c>
    </row>
    <row r="30" customFormat="1" s="171">
      <c r="A30" s="171" t="inlineStr">
        <is>
          <t>Net profit</t>
        </is>
      </c>
      <c r="B30" t="n">
        <v>7846</v>
      </c>
      <c r="C30" t="n">
        <v>2542</v>
      </c>
      <c r="D30" t="n">
        <v>3208</v>
      </c>
      <c r="E30" t="n">
        <v>4172</v>
      </c>
      <c r="F30" t="n">
        <v>2272</v>
      </c>
      <c r="G30" t="n">
        <v>3389</v>
      </c>
      <c r="H30" t="n">
        <v>8513</v>
      </c>
      <c r="I30" t="n">
        <v>9610</v>
      </c>
      <c r="J30" t="n">
        <v>10965</v>
      </c>
      <c r="K30" t="n">
        <v>11509</v>
      </c>
    </row>
    <row r="31" customFormat="1" s="171">
      <c r="A31" s="171" t="inlineStr">
        <is>
          <t>Dividend Amount</t>
        </is>
      </c>
      <c r="B31" t="n">
        <v>941.52</v>
      </c>
      <c r="C31" t="n">
        <v>584.66</v>
      </c>
      <c r="D31" t="n">
        <v>802</v>
      </c>
      <c r="E31" t="n">
        <v>1043</v>
      </c>
      <c r="F31" t="n">
        <v>1408.64</v>
      </c>
      <c r="G31" t="n">
        <v>2473.97</v>
      </c>
      <c r="H31" t="n">
        <v>2809.29</v>
      </c>
      <c r="I31" t="n">
        <v>3267.4</v>
      </c>
      <c r="J31" t="n">
        <v>3837.75</v>
      </c>
      <c r="K31" t="n">
        <v>3797.97</v>
      </c>
    </row>
    <row r="32" customFormat="1" s="171">
      <c r="A32" s="171" t="inlineStr">
        <is>
          <t>EBITDA</t>
        </is>
      </c>
      <c r="B32" s="171">
        <f>SUM(B26:B28)</f>
        <v/>
      </c>
      <c r="C32" s="171">
        <f>SUM(C26:C28)</f>
        <v/>
      </c>
      <c r="D32" s="171">
        <f>SUM(D26:D28)</f>
        <v/>
      </c>
      <c r="E32" s="171">
        <f>SUM(E26:E28)</f>
        <v/>
      </c>
      <c r="F32" s="171">
        <f>SUM(F26:F28)</f>
        <v/>
      </c>
      <c r="G32" s="171">
        <f>SUM(G26:G28)</f>
        <v/>
      </c>
      <c r="H32" s="171">
        <f>SUM(H26:H28)</f>
        <v/>
      </c>
      <c r="I32" s="171">
        <f>SUM(I26:I28)</f>
        <v/>
      </c>
      <c r="J32" s="171">
        <f>SUM(J26:J28)</f>
        <v/>
      </c>
      <c r="K32" s="171">
        <f>SUM(K26:K28)</f>
        <v/>
      </c>
    </row>
    <row r="33">
      <c r="A33" s="171" t="n"/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71" t="n"/>
    </row>
    <row r="35">
      <c r="A35" s="171" t="n"/>
    </row>
    <row r="36">
      <c r="A36" s="171" t="n"/>
    </row>
    <row r="37">
      <c r="A37" s="171" t="n"/>
    </row>
    <row r="38">
      <c r="A38" s="171" t="n"/>
    </row>
    <row r="39">
      <c r="A39" s="171" t="n"/>
    </row>
    <row r="40">
      <c r="A40" s="170" t="inlineStr">
        <is>
          <t>Quarters</t>
        </is>
      </c>
    </row>
    <row r="41" customFormat="1" s="24">
      <c r="A41" s="23" t="inlineStr">
        <is>
          <t>Report Date</t>
        </is>
      </c>
      <c r="B41" s="16" t="inlineStr">
        <is>
          <t>Mar 2024</t>
        </is>
      </c>
      <c r="C41" s="16" t="inlineStr">
        <is>
          <t>Jun 2024</t>
        </is>
      </c>
      <c r="D41" s="16" t="inlineStr">
        <is>
          <t>Sep 2024</t>
        </is>
      </c>
      <c r="E41" s="16" t="inlineStr">
        <is>
          <t>Dec 2024</t>
        </is>
      </c>
      <c r="F41" s="16" t="inlineStr">
        <is>
          <t>Mar 2025</t>
        </is>
      </c>
      <c r="G41" s="16" t="inlineStr">
        <is>
          <t>Jun 2025</t>
        </is>
      </c>
      <c r="H41" s="16" t="inlineStr">
        <is>
          <t>Sep 2025</t>
        </is>
      </c>
      <c r="I41" s="16" t="inlineStr">
        <is>
          <t>Dec 2025</t>
        </is>
      </c>
      <c r="J41" s="16" t="inlineStr">
        <is>
          <t>Mar 2026</t>
        </is>
      </c>
      <c r="K41" s="16" t="inlineStr">
        <is>
          <t>Jun 2026</t>
        </is>
      </c>
    </row>
    <row r="42" customFormat="1" s="171">
      <c r="A42" s="171" t="inlineStr">
        <is>
          <t>Sales</t>
        </is>
      </c>
      <c r="B42" t="n">
        <v>11983</v>
      </c>
      <c r="C42" t="n">
        <v>12653</v>
      </c>
      <c r="D42" t="n">
        <v>13291</v>
      </c>
      <c r="E42" t="n">
        <v>13675</v>
      </c>
      <c r="F42" t="n">
        <v>12959</v>
      </c>
      <c r="G42" t="n">
        <v>13851</v>
      </c>
      <c r="H42" t="n">
        <v>14478</v>
      </c>
      <c r="I42" t="n">
        <v>15521</v>
      </c>
      <c r="J42" t="n">
        <v>14612</v>
      </c>
      <c r="K42" t="n">
        <v>15300</v>
      </c>
    </row>
    <row r="43" customFormat="1" s="171">
      <c r="A43" s="171" t="inlineStr">
        <is>
          <t>Expenses</t>
        </is>
      </c>
      <c r="B43" t="n">
        <v>8948</v>
      </c>
      <c r="C43" t="n">
        <v>9045</v>
      </c>
      <c r="D43" t="n">
        <v>9352</v>
      </c>
      <c r="E43" t="n">
        <v>9666</v>
      </c>
      <c r="F43" t="n">
        <v>9243</v>
      </c>
      <c r="G43" t="n">
        <v>9550</v>
      </c>
      <c r="H43" t="n">
        <v>9951</v>
      </c>
      <c r="I43" t="n">
        <v>10572</v>
      </c>
      <c r="J43" t="n">
        <v>10658</v>
      </c>
      <c r="K43" t="n">
        <v>10882</v>
      </c>
    </row>
    <row r="44" customFormat="1" s="171">
      <c r="A44" s="171" t="inlineStr">
        <is>
          <t>Other Income</t>
        </is>
      </c>
      <c r="B44" t="n">
        <v>504</v>
      </c>
      <c r="C44" t="n">
        <v>533</v>
      </c>
      <c r="D44" t="n">
        <v>354</v>
      </c>
      <c r="E44" t="n">
        <v>149</v>
      </c>
      <c r="F44" t="n">
        <v>251</v>
      </c>
      <c r="G44" t="n">
        <v>-354</v>
      </c>
      <c r="H44" t="n">
        <v>470</v>
      </c>
      <c r="I44" t="n">
        <v>89</v>
      </c>
      <c r="J44" t="n">
        <v>458</v>
      </c>
      <c r="K44" t="n">
        <v>520</v>
      </c>
    </row>
    <row r="45" customFormat="1" s="171">
      <c r="A45" s="171" t="inlineStr">
        <is>
          <t>Depreciation</t>
        </is>
      </c>
      <c r="B45" t="n">
        <v>650</v>
      </c>
      <c r="C45" t="n">
        <v>655</v>
      </c>
      <c r="D45" t="n">
        <v>626</v>
      </c>
      <c r="E45" t="n">
        <v>631</v>
      </c>
      <c r="F45" t="n">
        <v>664</v>
      </c>
      <c r="G45" t="n">
        <v>701</v>
      </c>
      <c r="H45" t="n">
        <v>730</v>
      </c>
      <c r="I45" t="n">
        <v>732</v>
      </c>
      <c r="J45" t="n">
        <v>775</v>
      </c>
      <c r="K45" t="n">
        <v>739</v>
      </c>
    </row>
    <row r="46" customFormat="1" s="171">
      <c r="A46" s="171" t="inlineStr">
        <is>
          <t>Interest</t>
        </is>
      </c>
      <c r="B46" t="n">
        <v>74</v>
      </c>
      <c r="C46" t="n">
        <v>62</v>
      </c>
      <c r="D46" t="n">
        <v>69</v>
      </c>
      <c r="E46" t="n">
        <v>52</v>
      </c>
      <c r="F46" t="n">
        <v>49</v>
      </c>
      <c r="G46" t="n">
        <v>75</v>
      </c>
      <c r="H46" t="n">
        <v>100</v>
      </c>
      <c r="I46" t="n">
        <v>78</v>
      </c>
      <c r="J46" t="n">
        <v>86</v>
      </c>
      <c r="K46" t="n">
        <v>100</v>
      </c>
    </row>
    <row r="47" customFormat="1" s="171">
      <c r="A47" s="171" t="inlineStr">
        <is>
          <t>Profit before tax</t>
        </is>
      </c>
      <c r="B47" t="n">
        <v>2816</v>
      </c>
      <c r="C47" t="n">
        <v>3424</v>
      </c>
      <c r="D47" t="n">
        <v>3598</v>
      </c>
      <c r="E47" t="n">
        <v>3476</v>
      </c>
      <c r="F47" t="n">
        <v>3254</v>
      </c>
      <c r="G47" t="n">
        <v>3173</v>
      </c>
      <c r="H47" t="n">
        <v>4168</v>
      </c>
      <c r="I47" t="n">
        <v>4227</v>
      </c>
      <c r="J47" t="n">
        <v>3551</v>
      </c>
      <c r="K47" t="n">
        <v>4099</v>
      </c>
    </row>
    <row r="48" customFormat="1" s="171">
      <c r="A48" s="171" t="inlineStr">
        <is>
          <t>Tax</t>
        </is>
      </c>
      <c r="B48" t="n">
        <v>157</v>
      </c>
      <c r="C48" t="n">
        <v>563</v>
      </c>
      <c r="D48" t="n">
        <v>561</v>
      </c>
      <c r="E48" t="n">
        <v>563</v>
      </c>
      <c r="F48" t="n">
        <v>1100</v>
      </c>
      <c r="G48" t="n">
        <v>880</v>
      </c>
      <c r="H48" t="n">
        <v>1043</v>
      </c>
      <c r="I48" t="n">
        <v>846</v>
      </c>
      <c r="J48" t="n">
        <v>841</v>
      </c>
      <c r="K48" t="n">
        <v>1198</v>
      </c>
    </row>
    <row r="49" customFormat="1" s="171">
      <c r="A49" s="171" t="inlineStr">
        <is>
          <t>Net profit</t>
        </is>
      </c>
      <c r="B49" t="n">
        <v>2659</v>
      </c>
      <c r="C49" t="n">
        <v>2861</v>
      </c>
      <c r="D49" t="n">
        <v>3037</v>
      </c>
      <c r="E49" t="n">
        <v>2913</v>
      </c>
      <c r="F49" t="n">
        <v>2154</v>
      </c>
      <c r="G49" t="n">
        <v>2293</v>
      </c>
      <c r="H49" t="n">
        <v>3125</v>
      </c>
      <c r="I49" t="n">
        <v>3381</v>
      </c>
      <c r="J49" t="n">
        <v>2710</v>
      </c>
      <c r="K49" t="n">
        <v>2901</v>
      </c>
    </row>
    <row r="50">
      <c r="A50" s="171" t="inlineStr">
        <is>
          <t>Operating Profit</t>
        </is>
      </c>
      <c r="B50" t="n">
        <v>3035</v>
      </c>
      <c r="C50" t="n">
        <v>3608</v>
      </c>
      <c r="D50" t="n">
        <v>3939</v>
      </c>
      <c r="E50" t="n">
        <v>4009</v>
      </c>
      <c r="F50" t="n">
        <v>3716</v>
      </c>
      <c r="G50" t="n">
        <v>4302</v>
      </c>
      <c r="H50" t="n">
        <v>4527</v>
      </c>
      <c r="I50" t="n">
        <v>4948</v>
      </c>
      <c r="J50" t="n">
        <v>3954</v>
      </c>
      <c r="K50" t="n">
        <v>4418</v>
      </c>
    </row>
    <row r="51">
      <c r="A51" s="171" t="n"/>
    </row>
    <row r="52">
      <c r="A52" s="171" t="n"/>
    </row>
    <row r="53">
      <c r="A53" s="171" t="n"/>
    </row>
    <row r="54">
      <c r="A54" s="171" t="n"/>
    </row>
    <row r="55">
      <c r="A55" s="170" t="inlineStr">
        <is>
          <t>BALANCE SHEET</t>
        </is>
      </c>
    </row>
    <row r="56" customFormat="1" s="24">
      <c r="A56" s="23" t="inlineStr">
        <is>
          <t>Report Date</t>
        </is>
      </c>
      <c r="B56" s="16" t="inlineStr">
        <is>
          <t>Mar 2017</t>
        </is>
      </c>
      <c r="C56" s="16" t="inlineStr">
        <is>
          <t>Mar 2018</t>
        </is>
      </c>
      <c r="D56" s="16" t="inlineStr">
        <is>
          <t>Mar 2019</t>
        </is>
      </c>
      <c r="E56" s="16" t="inlineStr">
        <is>
          <t>Mar 2020</t>
        </is>
      </c>
      <c r="F56" s="16" t="inlineStr">
        <is>
          <t>Mar 2021</t>
        </is>
      </c>
      <c r="G56" s="16" t="inlineStr">
        <is>
          <t>Mar 2022</t>
        </is>
      </c>
      <c r="H56" s="16" t="inlineStr">
        <is>
          <t>Mar 2023</t>
        </is>
      </c>
      <c r="I56" s="16" t="inlineStr">
        <is>
          <t>Mar 2024</t>
        </is>
      </c>
      <c r="J56" s="16" t="inlineStr">
        <is>
          <t>Mar 2025</t>
        </is>
      </c>
      <c r="K56" s="16" t="inlineStr">
        <is>
          <t>Mar 2026</t>
        </is>
      </c>
    </row>
    <row r="57">
      <c r="A57" s="171" t="inlineStr">
        <is>
          <t>Equity Share Capital</t>
        </is>
      </c>
      <c r="B57" t="n">
        <v>240</v>
      </c>
      <c r="C57" t="n">
        <v>240</v>
      </c>
      <c r="D57" t="n">
        <v>240</v>
      </c>
      <c r="E57" t="n">
        <v>240</v>
      </c>
      <c r="F57" t="n">
        <v>240</v>
      </c>
      <c r="G57" t="n">
        <v>240</v>
      </c>
      <c r="H57" t="n">
        <v>240</v>
      </c>
      <c r="I57" t="n">
        <v>240</v>
      </c>
      <c r="J57" t="n">
        <v>240</v>
      </c>
      <c r="K57" t="n">
        <v>240</v>
      </c>
    </row>
    <row r="58">
      <c r="A58" s="171" t="inlineStr">
        <is>
          <t>Reserves</t>
        </is>
      </c>
      <c r="B58" t="n">
        <v>36400</v>
      </c>
      <c r="C58" t="n">
        <v>38074</v>
      </c>
      <c r="D58" t="n">
        <v>41169</v>
      </c>
      <c r="E58" t="n">
        <v>45025</v>
      </c>
      <c r="F58" t="n">
        <v>46223</v>
      </c>
      <c r="G58" t="n">
        <v>47771</v>
      </c>
      <c r="H58" t="n">
        <v>55755</v>
      </c>
      <c r="I58" t="n">
        <v>63427</v>
      </c>
      <c r="J58" t="n">
        <v>71978</v>
      </c>
      <c r="K58" t="n">
        <v>83330</v>
      </c>
    </row>
    <row r="59">
      <c r="A59" s="171" t="inlineStr">
        <is>
          <t>Borrowings</t>
        </is>
      </c>
      <c r="B59" t="n">
        <v>9832</v>
      </c>
      <c r="C59" t="n">
        <v>10385</v>
      </c>
      <c r="D59" t="n">
        <v>10514</v>
      </c>
      <c r="E59" t="n">
        <v>8315</v>
      </c>
      <c r="F59" t="n">
        <v>3869</v>
      </c>
      <c r="G59" t="n">
        <v>1290</v>
      </c>
      <c r="H59" t="n">
        <v>6886</v>
      </c>
      <c r="I59" t="n">
        <v>3274</v>
      </c>
      <c r="J59" t="n">
        <v>2362</v>
      </c>
      <c r="K59" t="n">
        <v>4627</v>
      </c>
    </row>
    <row r="60">
      <c r="A60" s="171" t="inlineStr">
        <is>
          <t>Other Liabilities</t>
        </is>
      </c>
      <c r="B60" t="n">
        <v>14624</v>
      </c>
      <c r="C60" t="n">
        <v>15598</v>
      </c>
      <c r="D60" t="n">
        <v>12666</v>
      </c>
      <c r="E60" t="n">
        <v>14615</v>
      </c>
      <c r="F60" t="n">
        <v>17291</v>
      </c>
      <c r="G60" t="n">
        <v>20474</v>
      </c>
      <c r="H60" t="n">
        <v>17831</v>
      </c>
      <c r="I60" t="n">
        <v>18387</v>
      </c>
      <c r="J60" t="n">
        <v>17328</v>
      </c>
      <c r="K60" t="n">
        <v>20210</v>
      </c>
    </row>
    <row r="61" customFormat="1" s="170">
      <c r="A61" s="170" t="inlineStr">
        <is>
          <t>Total</t>
        </is>
      </c>
      <c r="B61" t="n">
        <v>61095</v>
      </c>
      <c r="C61" t="n">
        <v>64297</v>
      </c>
      <c r="D61" t="n">
        <v>64590</v>
      </c>
      <c r="E61" t="n">
        <v>68194</v>
      </c>
      <c r="F61" t="n">
        <v>67622</v>
      </c>
      <c r="G61" t="n">
        <v>69776</v>
      </c>
      <c r="H61" t="n">
        <v>80712</v>
      </c>
      <c r="I61" t="n">
        <v>85328</v>
      </c>
      <c r="J61" t="n">
        <v>91908</v>
      </c>
      <c r="K61" t="n">
        <v>108407</v>
      </c>
    </row>
    <row r="62">
      <c r="A62" s="171" t="inlineStr">
        <is>
          <t>Net Block</t>
        </is>
      </c>
      <c r="B62" t="n">
        <v>17675</v>
      </c>
      <c r="C62" t="n">
        <v>18853</v>
      </c>
      <c r="D62" t="n">
        <v>21837</v>
      </c>
      <c r="E62" t="n">
        <v>22847</v>
      </c>
      <c r="F62" t="n">
        <v>21553</v>
      </c>
      <c r="G62" t="n">
        <v>22665</v>
      </c>
      <c r="H62" t="n">
        <v>24065</v>
      </c>
      <c r="I62" t="n">
        <v>23248</v>
      </c>
      <c r="J62" t="n">
        <v>22586</v>
      </c>
      <c r="K62" t="n">
        <v>32822</v>
      </c>
    </row>
    <row r="63">
      <c r="A63" s="171" t="inlineStr">
        <is>
          <t>Capital Work in Progress</t>
        </is>
      </c>
      <c r="B63" t="n">
        <v>2801</v>
      </c>
      <c r="C63" t="n">
        <v>2465</v>
      </c>
      <c r="D63" t="n">
        <v>1411</v>
      </c>
      <c r="E63" t="n">
        <v>1220</v>
      </c>
      <c r="F63" t="n">
        <v>1567</v>
      </c>
      <c r="G63" t="n">
        <v>1287</v>
      </c>
      <c r="H63" t="n">
        <v>4973</v>
      </c>
      <c r="I63" t="n">
        <v>5354</v>
      </c>
      <c r="J63" t="n">
        <v>6644</v>
      </c>
      <c r="K63" t="n">
        <v>3052</v>
      </c>
    </row>
    <row r="64">
      <c r="A64" s="171" t="inlineStr">
        <is>
          <t>Investments</t>
        </is>
      </c>
      <c r="B64" t="n">
        <v>1192</v>
      </c>
      <c r="C64" t="n">
        <v>7143</v>
      </c>
      <c r="D64" t="n">
        <v>7903</v>
      </c>
      <c r="E64" t="n">
        <v>10143</v>
      </c>
      <c r="F64" t="n">
        <v>9612</v>
      </c>
      <c r="G64" t="n">
        <v>12849</v>
      </c>
      <c r="H64" t="n">
        <v>14824</v>
      </c>
      <c r="I64" t="n">
        <v>15026</v>
      </c>
      <c r="J64" t="n">
        <v>18354</v>
      </c>
      <c r="K64" t="n">
        <v>24723</v>
      </c>
    </row>
    <row r="65">
      <c r="A65" s="171" t="inlineStr">
        <is>
          <t>Other Assets</t>
        </is>
      </c>
      <c r="B65" t="n">
        <v>39427</v>
      </c>
      <c r="C65" t="n">
        <v>35837</v>
      </c>
      <c r="D65" t="n">
        <v>33439</v>
      </c>
      <c r="E65" t="n">
        <v>33984</v>
      </c>
      <c r="F65" t="n">
        <v>34890</v>
      </c>
      <c r="G65" t="n">
        <v>32975</v>
      </c>
      <c r="H65" t="n">
        <v>36849</v>
      </c>
      <c r="I65" t="n">
        <v>41700</v>
      </c>
      <c r="J65" t="n">
        <v>44324</v>
      </c>
      <c r="K65" t="n">
        <v>47811</v>
      </c>
    </row>
    <row r="66" customFormat="1" s="170">
      <c r="A66" s="170" t="inlineStr">
        <is>
          <t>Total</t>
        </is>
      </c>
      <c r="B66" t="n">
        <v>61095</v>
      </c>
      <c r="C66" t="n">
        <v>64297</v>
      </c>
      <c r="D66" t="n">
        <v>64590</v>
      </c>
      <c r="E66" t="n">
        <v>68194</v>
      </c>
      <c r="F66" t="n">
        <v>67622</v>
      </c>
      <c r="G66" t="n">
        <v>69776</v>
      </c>
      <c r="H66" t="n">
        <v>80712</v>
      </c>
      <c r="I66" t="n">
        <v>85328</v>
      </c>
      <c r="J66" t="n">
        <v>91908</v>
      </c>
      <c r="K66" t="n">
        <v>108407</v>
      </c>
    </row>
    <row r="67" customFormat="1" s="171">
      <c r="A67" s="171" t="inlineStr">
        <is>
          <t>Receivables</t>
        </is>
      </c>
      <c r="B67" t="n">
        <v>7203</v>
      </c>
      <c r="C67" t="n">
        <v>7815</v>
      </c>
      <c r="D67" t="n">
        <v>8884</v>
      </c>
      <c r="E67" t="n">
        <v>9421</v>
      </c>
      <c r="F67" t="n">
        <v>9061</v>
      </c>
      <c r="G67" t="n">
        <v>10485</v>
      </c>
      <c r="H67" t="n">
        <v>11439</v>
      </c>
      <c r="I67" t="n">
        <v>11249</v>
      </c>
      <c r="J67" t="n">
        <v>13046</v>
      </c>
      <c r="K67" t="n">
        <v>15510</v>
      </c>
    </row>
    <row r="68">
      <c r="A68" s="171" t="inlineStr">
        <is>
          <t>Inventory</t>
        </is>
      </c>
      <c r="B68" t="n">
        <v>6833</v>
      </c>
      <c r="C68" t="n">
        <v>6881</v>
      </c>
      <c r="D68" t="n">
        <v>7886</v>
      </c>
      <c r="E68" t="n">
        <v>7875</v>
      </c>
      <c r="F68" t="n">
        <v>8997</v>
      </c>
      <c r="G68" t="n">
        <v>8925</v>
      </c>
      <c r="H68" t="n">
        <v>10513</v>
      </c>
      <c r="I68" t="n">
        <v>9868</v>
      </c>
      <c r="J68" t="n">
        <v>10243</v>
      </c>
      <c r="K68" t="n">
        <v>11493</v>
      </c>
    </row>
    <row r="69">
      <c r="A69" s="176" t="inlineStr">
        <is>
          <t>Cash &amp; Bank</t>
        </is>
      </c>
      <c r="B69" t="n">
        <v>15141</v>
      </c>
      <c r="C69" t="n">
        <v>9929</v>
      </c>
      <c r="D69" t="n">
        <v>7276</v>
      </c>
      <c r="E69" t="n">
        <v>6488</v>
      </c>
      <c r="F69" t="n">
        <v>6446</v>
      </c>
      <c r="G69" t="n">
        <v>5033</v>
      </c>
      <c r="H69" t="n">
        <v>5770</v>
      </c>
      <c r="I69" t="n">
        <v>10521</v>
      </c>
      <c r="J69" t="n">
        <v>11332</v>
      </c>
      <c r="K69" t="n">
        <v>11603</v>
      </c>
    </row>
    <row r="70">
      <c r="A70" s="176" t="inlineStr">
        <is>
          <t>No. of Equity Shares</t>
        </is>
      </c>
      <c r="B70" t="n">
        <v>2400000000</v>
      </c>
      <c r="C70" t="n">
        <v>2400000000</v>
      </c>
      <c r="D70" t="n">
        <v>2400000000</v>
      </c>
      <c r="E70" t="n">
        <v>2400000000</v>
      </c>
      <c r="F70" t="n">
        <v>2400000000</v>
      </c>
      <c r="G70" t="n">
        <v>2400000000</v>
      </c>
      <c r="H70" t="n">
        <v>2400000000</v>
      </c>
      <c r="I70" t="n">
        <v>2400000000</v>
      </c>
      <c r="J70" t="n">
        <v>2400000000</v>
      </c>
      <c r="K70" t="n">
        <v>2400000000</v>
      </c>
    </row>
    <row r="71">
      <c r="A71" s="176" t="inlineStr">
        <is>
          <t>New Bonus Shares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76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71" t="n"/>
      <c r="B74" s="176" t="n">
        <v>0</v>
      </c>
      <c r="C74" s="176" t="n">
        <v>0</v>
      </c>
      <c r="D74" s="176" t="n">
        <v>0</v>
      </c>
      <c r="E74" s="176" t="n">
        <v>0</v>
      </c>
      <c r="F74" s="176" t="n">
        <v>0</v>
      </c>
      <c r="G74" s="176" t="n">
        <v>0</v>
      </c>
      <c r="H74" s="176" t="n">
        <v>0</v>
      </c>
      <c r="I74" s="176" t="n">
        <v>0</v>
      </c>
      <c r="J74" s="176" t="n">
        <v>0</v>
      </c>
      <c r="K74" s="176" t="n">
        <v>0</v>
      </c>
    </row>
    <row r="75">
      <c r="A75" s="171" t="inlineStr">
        <is>
          <t>Other Assets</t>
        </is>
      </c>
      <c r="B75">
        <f>B65-SUM(B67:B69)</f>
        <v/>
      </c>
      <c r="C75">
        <f>C65-SUM(C67:C69)</f>
        <v/>
      </c>
      <c r="D75">
        <f>D65-SUM(D67:D69)</f>
        <v/>
      </c>
      <c r="E75">
        <f>E65-SUM(E67:E69)</f>
        <v/>
      </c>
      <c r="F75">
        <f>F65-SUM(F67:F69)</f>
        <v/>
      </c>
      <c r="G75">
        <f>G65-SUM(G67:G69)</f>
        <v/>
      </c>
      <c r="H75">
        <f>H65-SUM(H67:H69)</f>
        <v/>
      </c>
      <c r="I75">
        <f>I65-SUM(I67:I69)</f>
        <v/>
      </c>
      <c r="J75">
        <f>J65-SUM(J67:J69)</f>
        <v/>
      </c>
      <c r="K75">
        <f>K65-SUM(K67:K69)</f>
        <v/>
      </c>
    </row>
    <row r="76">
      <c r="A76" s="171" t="n"/>
    </row>
    <row r="77">
      <c r="A77" s="171" t="n"/>
    </row>
    <row r="78">
      <c r="A78" s="171" t="n"/>
    </row>
    <row r="79">
      <c r="A79" s="171" t="n"/>
    </row>
    <row r="80">
      <c r="A80" s="170" t="inlineStr">
        <is>
          <t>CASH FLOW:</t>
        </is>
      </c>
    </row>
    <row r="81" customFormat="1" s="24">
      <c r="A81" s="23" t="inlineStr">
        <is>
          <t>Report Date</t>
        </is>
      </c>
      <c r="B81" s="16" t="inlineStr">
        <is>
          <t>Mar 2017</t>
        </is>
      </c>
      <c r="C81" s="16" t="inlineStr">
        <is>
          <t>Mar 2018</t>
        </is>
      </c>
      <c r="D81" s="16" t="inlineStr">
        <is>
          <t>Mar 2019</t>
        </is>
      </c>
      <c r="E81" s="16" t="inlineStr">
        <is>
          <t>Mar 2020</t>
        </is>
      </c>
      <c r="F81" s="16" t="inlineStr">
        <is>
          <t>Mar 2021</t>
        </is>
      </c>
      <c r="G81" s="16" t="inlineStr">
        <is>
          <t>Mar 2022</t>
        </is>
      </c>
      <c r="H81" s="16" t="inlineStr">
        <is>
          <t>Mar 2023</t>
        </is>
      </c>
      <c r="I81" s="16" t="inlineStr">
        <is>
          <t>Mar 2024</t>
        </is>
      </c>
      <c r="J81" s="16" t="inlineStr">
        <is>
          <t>Mar 2025</t>
        </is>
      </c>
      <c r="K81" s="16" t="inlineStr">
        <is>
          <t>Mar 2026</t>
        </is>
      </c>
    </row>
    <row r="82" customFormat="1" s="170">
      <c r="A82" s="171" t="inlineStr">
        <is>
          <t>Cash from Operating Activity</t>
        </is>
      </c>
      <c r="B82" t="n">
        <v>7082</v>
      </c>
      <c r="C82" t="n">
        <v>3907</v>
      </c>
      <c r="D82" t="n">
        <v>2196</v>
      </c>
      <c r="E82" t="n">
        <v>6555</v>
      </c>
      <c r="F82" t="n">
        <v>6170</v>
      </c>
      <c r="G82" t="n">
        <v>8985</v>
      </c>
      <c r="H82" t="n">
        <v>4959</v>
      </c>
      <c r="I82" t="n">
        <v>12135</v>
      </c>
      <c r="J82" t="n">
        <v>14072</v>
      </c>
      <c r="K82" t="n">
        <v>12419</v>
      </c>
    </row>
    <row r="83" customFormat="1" s="171">
      <c r="A83" s="171" t="inlineStr">
        <is>
          <t>Cash from Investing Activity</t>
        </is>
      </c>
      <c r="B83" t="n">
        <v>-4186</v>
      </c>
      <c r="C83" t="n">
        <v>-3104</v>
      </c>
      <c r="D83" t="n">
        <v>-310</v>
      </c>
      <c r="E83" t="n">
        <v>-2225</v>
      </c>
      <c r="F83" t="n">
        <v>407</v>
      </c>
      <c r="G83" t="n">
        <v>-5556</v>
      </c>
      <c r="H83" t="n">
        <v>-7220</v>
      </c>
      <c r="I83" t="n">
        <v>-763</v>
      </c>
      <c r="J83" t="n">
        <v>-5183</v>
      </c>
      <c r="K83" t="n">
        <v>-10405</v>
      </c>
    </row>
    <row r="84" customFormat="1" s="171">
      <c r="A84" s="171" t="inlineStr">
        <is>
          <t>Cash from Financing Activity</t>
        </is>
      </c>
      <c r="B84" t="n">
        <v>-2285</v>
      </c>
      <c r="C84" t="n">
        <v>-1539</v>
      </c>
      <c r="D84" t="n">
        <v>-2731</v>
      </c>
      <c r="E84" t="n">
        <v>-5715</v>
      </c>
      <c r="F84" t="n">
        <v>-5980</v>
      </c>
      <c r="G84" t="n">
        <v>-5193</v>
      </c>
      <c r="H84" t="n">
        <v>2376</v>
      </c>
      <c r="I84" t="n">
        <v>-6710</v>
      </c>
      <c r="J84" t="n">
        <v>-7906</v>
      </c>
      <c r="K84" t="n">
        <v>-2513</v>
      </c>
    </row>
    <row r="85" customFormat="1" s="170">
      <c r="A85" s="171" t="inlineStr">
        <is>
          <t>Net Cash Flow</t>
        </is>
      </c>
      <c r="B85" t="n">
        <v>611</v>
      </c>
      <c r="C85" t="n">
        <v>-736</v>
      </c>
      <c r="D85" t="n">
        <v>-844</v>
      </c>
      <c r="E85" t="n">
        <v>-1386</v>
      </c>
      <c r="F85" t="n">
        <v>596</v>
      </c>
      <c r="G85" t="n">
        <v>-1765</v>
      </c>
      <c r="H85" t="n">
        <v>115</v>
      </c>
      <c r="I85" t="n">
        <v>4662</v>
      </c>
      <c r="J85" t="n">
        <v>983</v>
      </c>
      <c r="K85" t="n">
        <v>-498</v>
      </c>
    </row>
    <row r="86">
      <c r="A86" s="171" t="n"/>
    </row>
    <row r="87">
      <c r="A87" s="171" t="n"/>
    </row>
    <row r="88">
      <c r="A88" s="171" t="n"/>
    </row>
    <row r="89">
      <c r="A89" s="171" t="n"/>
    </row>
    <row r="90" customFormat="1" s="170">
      <c r="A90" s="170" t="inlineStr">
        <is>
          <t>PRICE:</t>
        </is>
      </c>
      <c r="B90" t="n">
        <v>686.45</v>
      </c>
      <c r="C90" t="n">
        <v>535.4</v>
      </c>
      <c r="D90" t="n">
        <v>447.35</v>
      </c>
      <c r="E90" t="n">
        <v>372.9</v>
      </c>
      <c r="F90" t="n">
        <v>594.6</v>
      </c>
      <c r="G90" t="n">
        <v>829.65</v>
      </c>
      <c r="H90" t="n">
        <v>966.9</v>
      </c>
      <c r="I90" t="n">
        <v>1550.55</v>
      </c>
      <c r="J90" t="n">
        <v>1593.25</v>
      </c>
      <c r="K90" t="n">
        <v>1737</v>
      </c>
    </row>
    <row r="92" customFormat="1" s="170">
      <c r="A92" s="170" t="inlineStr">
        <is>
          <t>DERIVED:</t>
        </is>
      </c>
    </row>
    <row r="93">
      <c r="A93" s="176" t="inlineStr">
        <is>
          <t>Adjusted Equity Shares in Cr</t>
        </is>
      </c>
      <c r="B93" s="181" t="n">
        <v>249.82</v>
      </c>
      <c r="C93" s="181" t="n">
        <v>249.82</v>
      </c>
      <c r="D93" s="181" t="n">
        <v>249.82</v>
      </c>
      <c r="E93" s="181" t="n">
        <v>249.82</v>
      </c>
      <c r="F93" s="181" t="n">
        <v>249.82</v>
      </c>
      <c r="G93" s="181" t="n">
        <v>249.82</v>
      </c>
      <c r="H93" s="181" t="n">
        <v>249.82</v>
      </c>
      <c r="I93" s="181" t="n">
        <v>249.82</v>
      </c>
      <c r="J93" s="181" t="n">
        <v>249.82</v>
      </c>
      <c r="K93" s="181" t="n">
        <v>249.82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09" min="1" max="1"/>
    <col width="26.44140625" customWidth="1" style="109" min="2" max="2"/>
    <col width="18.77734375" customWidth="1" style="109" min="16" max="16"/>
  </cols>
  <sheetData>
    <row r="2">
      <c r="B2" s="160">
        <f>"Cash Flow Statement - "&amp;'Data Sheet'!$B$1</f>
        <v/>
      </c>
    </row>
    <row r="4">
      <c r="B4" s="49" t="inlineStr">
        <is>
          <t>Particulars</t>
        </is>
      </c>
      <c r="C4" s="50" t="n">
        <v>42064</v>
      </c>
      <c r="D4" s="50" t="n">
        <v>42430</v>
      </c>
      <c r="E4" s="50" t="n">
        <v>42795</v>
      </c>
      <c r="F4" s="50" t="n">
        <v>43160</v>
      </c>
      <c r="G4" s="50" t="n">
        <v>43525</v>
      </c>
      <c r="H4" s="50" t="n">
        <v>43891</v>
      </c>
      <c r="I4" s="50" t="n">
        <v>44256</v>
      </c>
      <c r="J4" s="50" t="n">
        <v>44621</v>
      </c>
      <c r="K4" s="50" t="n">
        <v>44986</v>
      </c>
      <c r="L4" s="50" t="n">
        <v>45352</v>
      </c>
      <c r="M4" s="50" t="n">
        <v>45717</v>
      </c>
      <c r="N4" s="50" t="n">
        <v>46082</v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09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9843</v>
      </c>
      <c r="D6" s="73" t="n">
        <v>9799</v>
      </c>
      <c r="E6" s="73" t="n">
        <v>10627</v>
      </c>
      <c r="F6" s="73" t="n">
        <v>13169</v>
      </c>
      <c r="G6" s="73" t="n">
        <v>12583</v>
      </c>
      <c r="H6" s="73" t="n">
        <v>14690</v>
      </c>
      <c r="I6" s="73" t="n">
        <v>12527</v>
      </c>
      <c r="J6" s="73" t="n">
        <v>15776</v>
      </c>
      <c r="K6" s="73" t="n">
        <v>18878</v>
      </c>
      <c r="L6" s="73" t="n">
        <v>17179</v>
      </c>
      <c r="M6" s="73" t="n">
        <v>17627</v>
      </c>
      <c r="N6" s="73" t="n">
        <v>18464</v>
      </c>
    </row>
    <row r="7">
      <c r="B7" t="inlineStr">
        <is>
          <t>Profit from operations</t>
        </is>
      </c>
      <c r="C7" s="73" t="n">
        <v>14261</v>
      </c>
      <c r="D7" s="73" t="n">
        <v>15154</v>
      </c>
      <c r="E7" s="73" t="n">
        <v>16075</v>
      </c>
      <c r="F7" s="73" t="n">
        <v>17433</v>
      </c>
      <c r="G7" s="73" t="n">
        <v>18862</v>
      </c>
      <c r="H7" s="73" t="n">
        <v>19416</v>
      </c>
      <c r="I7" s="73" t="n">
        <v>17326</v>
      </c>
      <c r="J7" s="73" t="n">
        <v>20857</v>
      </c>
      <c r="K7" s="73" t="n">
        <v>26052</v>
      </c>
      <c r="L7" s="73" t="n">
        <v>26635</v>
      </c>
      <c r="M7" s="73" t="n">
        <v>26719</v>
      </c>
      <c r="N7" s="73" t="n">
        <v>27600</v>
      </c>
    </row>
    <row r="8">
      <c r="B8" t="inlineStr">
        <is>
          <t>Receivables</t>
        </is>
      </c>
      <c r="C8" t="n">
        <v>558</v>
      </c>
      <c r="D8" t="n">
        <v>-207</v>
      </c>
      <c r="E8" t="n">
        <v>-870</v>
      </c>
      <c r="F8" t="n">
        <v>-964</v>
      </c>
      <c r="G8" t="n">
        <v>-755</v>
      </c>
      <c r="H8" s="73" t="n">
        <v>1411</v>
      </c>
      <c r="I8" t="n">
        <v>-66</v>
      </c>
      <c r="J8" t="n">
        <v>-732</v>
      </c>
      <c r="K8" t="n">
        <v>-884</v>
      </c>
      <c r="L8" t="n">
        <v>-934</v>
      </c>
      <c r="M8" s="73" t="n">
        <v>-1023</v>
      </c>
      <c r="N8" t="n">
        <v>468</v>
      </c>
    </row>
    <row r="9">
      <c r="B9" t="inlineStr">
        <is>
          <t>Inventory</t>
        </is>
      </c>
      <c r="C9" t="n">
        <v>-505</v>
      </c>
      <c r="D9" t="n">
        <v>-693</v>
      </c>
      <c r="E9" t="n">
        <v>593</v>
      </c>
      <c r="F9" t="n">
        <v>602</v>
      </c>
      <c r="G9" t="n">
        <v>-359</v>
      </c>
      <c r="H9" t="n">
        <v>-508</v>
      </c>
      <c r="I9" s="73" t="n">
        <v>-1460</v>
      </c>
      <c r="J9" t="n">
        <v>-466</v>
      </c>
      <c r="K9" s="73" t="n">
        <v>-1098</v>
      </c>
      <c r="L9" s="73" t="n">
        <v>-2545</v>
      </c>
      <c r="M9" s="73" t="n">
        <v>-2975</v>
      </c>
      <c r="N9" s="73" t="n">
        <v>-3306</v>
      </c>
    </row>
    <row r="10">
      <c r="B10" t="inlineStr">
        <is>
          <t>Payables</t>
        </is>
      </c>
      <c r="C10" t="n">
        <v>-23</v>
      </c>
      <c r="D10" t="n">
        <v>622</v>
      </c>
      <c r="E10" t="n">
        <v>321</v>
      </c>
      <c r="F10" s="73" t="n">
        <v>2098</v>
      </c>
      <c r="G10" t="n">
        <v>639</v>
      </c>
      <c r="H10" t="n">
        <v>-607</v>
      </c>
      <c r="I10" s="73" t="n">
        <v>1112</v>
      </c>
      <c r="J10" s="73" t="n">
        <v>1099</v>
      </c>
      <c r="K10" s="73" t="n">
        <v>1058</v>
      </c>
      <c r="L10" t="n">
        <v>141</v>
      </c>
      <c r="M10" s="73" t="n">
        <v>1256</v>
      </c>
      <c r="N10" t="n">
        <v>76</v>
      </c>
    </row>
    <row r="11">
      <c r="B11" t="inlineStr">
        <is>
          <t>Working capital changes</t>
        </is>
      </c>
      <c r="C11" t="n">
        <v>31</v>
      </c>
      <c r="D11" t="n">
        <v>-277</v>
      </c>
      <c r="E11" t="n">
        <v>44</v>
      </c>
      <c r="F11" s="73" t="n">
        <v>1736</v>
      </c>
      <c r="G11" t="n">
        <v>-476</v>
      </c>
      <c r="H11" t="n">
        <v>296</v>
      </c>
      <c r="I11" t="n">
        <v>-413</v>
      </c>
      <c r="J11" t="n">
        <v>-100</v>
      </c>
      <c r="K11" t="n">
        <v>-924</v>
      </c>
      <c r="L11" s="73" t="n">
        <v>-3337</v>
      </c>
      <c r="M11" s="73" t="n">
        <v>-2742</v>
      </c>
      <c r="N11" s="73" t="n">
        <v>-2762</v>
      </c>
    </row>
    <row r="12">
      <c r="B12" t="inlineStr">
        <is>
          <t>Direct taxes</t>
        </is>
      </c>
      <c r="C12" s="73" t="n">
        <v>-4449</v>
      </c>
      <c r="D12" s="73" t="n">
        <v>-5078</v>
      </c>
      <c r="E12" s="73" t="n">
        <v>-5492</v>
      </c>
      <c r="F12" s="73" t="n">
        <v>-6000</v>
      </c>
      <c r="G12" s="73" t="n">
        <v>-5803</v>
      </c>
      <c r="H12" s="73" t="n">
        <v>-5023</v>
      </c>
      <c r="I12" s="73" t="n">
        <v>-4387</v>
      </c>
      <c r="J12" s="73" t="n">
        <v>-4982</v>
      </c>
      <c r="K12" s="73" t="n">
        <v>-6250</v>
      </c>
      <c r="L12" s="73" t="n">
        <v>-6120</v>
      </c>
      <c r="M12" s="73" t="n">
        <v>-6350</v>
      </c>
      <c r="N12" s="73" t="n">
        <v>-6374</v>
      </c>
    </row>
    <row r="13">
      <c r="B13" t="inlineStr">
        <is>
          <t>Cash from Investing Activity -</t>
        </is>
      </c>
      <c r="C13" s="73" t="n">
        <v>-5275</v>
      </c>
      <c r="D13" s="73" t="n">
        <v>-3921</v>
      </c>
      <c r="E13" s="73" t="n">
        <v>-3251</v>
      </c>
      <c r="F13" s="73" t="n">
        <v>-7114</v>
      </c>
      <c r="G13" s="73" t="n">
        <v>-5546</v>
      </c>
      <c r="H13" s="73" t="n">
        <v>-6174</v>
      </c>
      <c r="I13" s="73" t="n">
        <v>5740</v>
      </c>
      <c r="J13" s="73" t="n">
        <v>-2238</v>
      </c>
      <c r="K13" s="73" t="n">
        <v>-5732</v>
      </c>
      <c r="L13" s="73" t="n">
        <v>1563</v>
      </c>
      <c r="M13" t="n">
        <v>-564</v>
      </c>
      <c r="N13" s="73" t="n">
        <v>-2321</v>
      </c>
    </row>
    <row r="14">
      <c r="B14" t="inlineStr">
        <is>
          <t>Fixed assets purchased</t>
        </is>
      </c>
      <c r="C14" s="73" t="n">
        <v>-3300</v>
      </c>
      <c r="D14" s="73" t="n">
        <v>-2348</v>
      </c>
      <c r="E14" s="73" t="n">
        <v>-3122</v>
      </c>
      <c r="F14" s="73" t="n">
        <v>-2878</v>
      </c>
      <c r="G14" s="73" t="n">
        <v>-3169</v>
      </c>
      <c r="H14" s="73" t="n">
        <v>-2441</v>
      </c>
      <c r="I14" s="73" t="n">
        <v>-1837</v>
      </c>
      <c r="J14" s="73" t="n">
        <v>-2142</v>
      </c>
      <c r="K14" s="73" t="n">
        <v>-2743</v>
      </c>
      <c r="L14" s="73" t="n">
        <v>-3563</v>
      </c>
      <c r="M14" s="73" t="n">
        <v>-2279</v>
      </c>
      <c r="N14" s="73" t="n">
        <v>-2183</v>
      </c>
    </row>
    <row r="15">
      <c r="B15" t="inlineStr">
        <is>
          <t>Fixed assets sold</t>
        </is>
      </c>
      <c r="C15" t="n">
        <v>9</v>
      </c>
      <c r="D15" t="n">
        <v>8</v>
      </c>
      <c r="E15" t="n">
        <v>50</v>
      </c>
      <c r="F15" t="n">
        <v>80</v>
      </c>
      <c r="G15" t="n">
        <v>28</v>
      </c>
      <c r="H15" t="n">
        <v>27</v>
      </c>
      <c r="I15" t="n">
        <v>3</v>
      </c>
      <c r="J15" t="n">
        <v>133</v>
      </c>
      <c r="K15" t="n">
        <v>49</v>
      </c>
      <c r="L15" t="n">
        <v>107</v>
      </c>
      <c r="M15" t="n">
        <v>175</v>
      </c>
      <c r="N15" t="n">
        <v>50</v>
      </c>
    </row>
    <row r="16">
      <c r="B16" t="inlineStr">
        <is>
          <t>Investments purchased</t>
        </is>
      </c>
      <c r="C16" s="73" t="n">
        <v>-98742</v>
      </c>
      <c r="D16" s="73" t="n">
        <v>-154081</v>
      </c>
      <c r="E16" s="73" t="n">
        <v>-85683</v>
      </c>
      <c r="F16" s="73" t="n">
        <v>-98330</v>
      </c>
      <c r="G16" s="73" t="n">
        <v>-94187</v>
      </c>
      <c r="H16" s="73" t="n">
        <v>-79835</v>
      </c>
      <c r="I16" s="73" t="n">
        <v>-57553</v>
      </c>
      <c r="J16" s="73" t="n">
        <v>-69776</v>
      </c>
      <c r="K16" s="73" t="n">
        <v>-80932</v>
      </c>
      <c r="L16" s="73" t="n">
        <v>-75107</v>
      </c>
      <c r="M16" s="73" t="n">
        <v>-66373</v>
      </c>
      <c r="N16" s="73" t="n">
        <v>-68173</v>
      </c>
    </row>
    <row r="17">
      <c r="B17" t="inlineStr">
        <is>
          <t>Investments sold</t>
        </is>
      </c>
      <c r="C17" s="73" t="n">
        <v>99658</v>
      </c>
      <c r="D17" s="73" t="n">
        <v>150651</v>
      </c>
      <c r="E17" s="73" t="n">
        <v>81034</v>
      </c>
      <c r="F17" s="73" t="n">
        <v>95017</v>
      </c>
      <c r="G17" s="73" t="n">
        <v>92454</v>
      </c>
      <c r="H17" s="73" t="n">
        <v>75835</v>
      </c>
      <c r="I17" s="73" t="n">
        <v>62797</v>
      </c>
      <c r="J17" s="73" t="n">
        <v>70992</v>
      </c>
      <c r="K17" s="73" t="n">
        <v>77230</v>
      </c>
      <c r="L17" s="73" t="n">
        <v>77830</v>
      </c>
      <c r="M17" s="73" t="n">
        <v>67311</v>
      </c>
      <c r="N17" s="73" t="n">
        <v>65737</v>
      </c>
    </row>
    <row r="18">
      <c r="B18" t="inlineStr">
        <is>
          <t>Interest received</t>
        </is>
      </c>
      <c r="C18" t="n">
        <v>559</v>
      </c>
      <c r="D18" t="n">
        <v>741</v>
      </c>
      <c r="E18" t="n">
        <v>756</v>
      </c>
      <c r="F18" t="n">
        <v>736</v>
      </c>
      <c r="G18" s="73" t="n">
        <v>1184</v>
      </c>
      <c r="H18" s="73" t="n">
        <v>1513</v>
      </c>
      <c r="I18" s="73" t="n">
        <v>1275</v>
      </c>
      <c r="J18" s="73" t="n">
        <v>1035</v>
      </c>
      <c r="K18" s="73" t="n">
        <v>1324</v>
      </c>
      <c r="L18" s="73" t="n">
        <v>1138</v>
      </c>
      <c r="M18" s="73" t="n">
        <v>1072</v>
      </c>
      <c r="N18" t="n">
        <v>917</v>
      </c>
    </row>
    <row r="19">
      <c r="B19" t="inlineStr">
        <is>
          <t>Dividends received</t>
        </is>
      </c>
      <c r="C19" t="n">
        <v>268</v>
      </c>
      <c r="D19" t="n">
        <v>64</v>
      </c>
      <c r="E19" t="n">
        <v>4</v>
      </c>
      <c r="F19" t="n">
        <v>13</v>
      </c>
      <c r="G19" t="n">
        <v>13</v>
      </c>
      <c r="H19" t="n">
        <v>17</v>
      </c>
      <c r="I19" t="n">
        <v>7</v>
      </c>
      <c r="J19" t="n">
        <v>16</v>
      </c>
      <c r="K19" t="n">
        <v>19</v>
      </c>
      <c r="L19" t="n">
        <v>36</v>
      </c>
      <c r="M19" t="n">
        <v>38</v>
      </c>
      <c r="N19" t="n">
        <v>45</v>
      </c>
    </row>
    <row r="20">
      <c r="B20" t="inlineStr">
        <is>
          <t>Invest in subsidiaries</t>
        </is>
      </c>
      <c r="C20" t="n">
        <v>0</v>
      </c>
      <c r="D20" t="n">
        <v>-8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</v>
      </c>
      <c r="J21" t="n">
        <v>-2</v>
      </c>
      <c r="K21" t="n">
        <v>-2</v>
      </c>
      <c r="L21" t="n">
        <v>-65</v>
      </c>
      <c r="M21" t="n">
        <v>-30</v>
      </c>
      <c r="N21" t="n">
        <v>-183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129</v>
      </c>
      <c r="F22" t="n">
        <v>18</v>
      </c>
      <c r="G22" t="n">
        <v>18</v>
      </c>
      <c r="H22" t="n">
        <v>0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-3728</v>
      </c>
      <c r="D23" s="73" t="n">
        <v>1052</v>
      </c>
      <c r="E23" s="73" t="n">
        <v>3579</v>
      </c>
      <c r="F23" s="73" t="n">
        <v>-1769</v>
      </c>
      <c r="G23" s="73" t="n">
        <v>-1887</v>
      </c>
      <c r="H23" s="73" t="n">
        <v>-1290</v>
      </c>
      <c r="I23" s="73" t="n">
        <v>1051</v>
      </c>
      <c r="J23" s="73" t="n">
        <v>-2494</v>
      </c>
      <c r="K23" t="n">
        <v>-733</v>
      </c>
      <c r="L23" s="73" t="n">
        <v>1187</v>
      </c>
      <c r="M23" t="n">
        <v>-478</v>
      </c>
      <c r="N23" s="73" t="n">
        <v>1469</v>
      </c>
    </row>
    <row r="24">
      <c r="B24" t="inlineStr">
        <is>
          <t>Cash from Financing Activity -</t>
        </is>
      </c>
      <c r="C24" s="73" t="n">
        <v>-4661</v>
      </c>
      <c r="D24" s="73" t="n">
        <v>-5613</v>
      </c>
      <c r="E24" s="73" t="n">
        <v>-7301</v>
      </c>
      <c r="F24" s="73" t="n">
        <v>-6221</v>
      </c>
      <c r="G24" s="73" t="n">
        <v>-6869</v>
      </c>
      <c r="H24" s="73" t="n">
        <v>-8181</v>
      </c>
      <c r="I24" s="73" t="n">
        <v>-18634</v>
      </c>
      <c r="J24" s="73" t="n">
        <v>-13580</v>
      </c>
      <c r="K24" s="73" t="n">
        <v>-13006</v>
      </c>
      <c r="L24" s="73" t="n">
        <v>-18551</v>
      </c>
      <c r="M24" s="73" t="n">
        <v>-17037</v>
      </c>
      <c r="N24" s="73" t="n">
        <v>-16147</v>
      </c>
    </row>
    <row r="25">
      <c r="B25" t="inlineStr">
        <is>
          <t>Proceeds from shares</t>
        </is>
      </c>
      <c r="C25" t="n">
        <v>979</v>
      </c>
      <c r="D25" t="n">
        <v>532</v>
      </c>
      <c r="E25" s="73" t="n">
        <v>1067</v>
      </c>
      <c r="F25" t="n">
        <v>913</v>
      </c>
      <c r="G25" t="n">
        <v>969</v>
      </c>
      <c r="H25" t="n">
        <v>625</v>
      </c>
      <c r="I25" t="n">
        <v>291</v>
      </c>
      <c r="J25" t="n">
        <v>292</v>
      </c>
      <c r="K25" s="73" t="n">
        <v>2477</v>
      </c>
      <c r="L25" s="73" t="n">
        <v>1443</v>
      </c>
      <c r="M25" t="n">
        <v>797</v>
      </c>
      <c r="N25" t="n">
        <v>405</v>
      </c>
    </row>
    <row r="26">
      <c r="B26" t="inlineStr">
        <is>
          <t>Proceeds from borrowings</t>
        </is>
      </c>
      <c r="C26" t="n">
        <v>7</v>
      </c>
      <c r="D26" t="n">
        <v>0</v>
      </c>
      <c r="E26" t="n">
        <v>0</v>
      </c>
      <c r="F26" t="n">
        <v>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90</v>
      </c>
      <c r="N26" s="73" t="n">
        <v>2120</v>
      </c>
    </row>
    <row r="27">
      <c r="B27" t="inlineStr">
        <is>
          <t>Repayment of borrowings</t>
        </is>
      </c>
      <c r="C27" t="n">
        <v>-20</v>
      </c>
      <c r="D27" t="n">
        <v>-13</v>
      </c>
      <c r="E27" t="n">
        <v>-13</v>
      </c>
      <c r="F27" t="n">
        <v>-8</v>
      </c>
      <c r="G27" t="n">
        <v>-18</v>
      </c>
      <c r="H27" t="n">
        <v>-3</v>
      </c>
      <c r="I27" t="n">
        <v>-2</v>
      </c>
      <c r="J27" t="n">
        <v>-1</v>
      </c>
      <c r="K27" t="n">
        <v>-1</v>
      </c>
      <c r="L27" t="n">
        <v>-2</v>
      </c>
      <c r="M27" t="n">
        <v>-54</v>
      </c>
      <c r="N27" t="n">
        <v>-105</v>
      </c>
    </row>
    <row r="28">
      <c r="B28" t="inlineStr">
        <is>
          <t>Interest paid fin</t>
        </is>
      </c>
      <c r="C28" t="n">
        <v>-16</v>
      </c>
      <c r="D28" t="n">
        <v>-28</v>
      </c>
      <c r="E28" t="n">
        <v>-25</v>
      </c>
      <c r="F28" t="n">
        <v>-49</v>
      </c>
      <c r="G28" t="n">
        <v>-98</v>
      </c>
      <c r="H28" t="n">
        <v>-44</v>
      </c>
      <c r="I28" t="n">
        <v>-41</v>
      </c>
      <c r="J28" t="n">
        <v>-40</v>
      </c>
      <c r="K28" t="n">
        <v>-41</v>
      </c>
      <c r="L28" t="n">
        <v>-46</v>
      </c>
      <c r="M28" t="n">
        <v>-50</v>
      </c>
      <c r="N28" t="n">
        <v>-82</v>
      </c>
    </row>
    <row r="29">
      <c r="B29" t="inlineStr">
        <is>
          <t>Dividends paid</t>
        </is>
      </c>
      <c r="C29" s="73" t="n">
        <v>-4876</v>
      </c>
      <c r="D29" s="73" t="n">
        <v>-5133</v>
      </c>
      <c r="E29" s="73" t="n">
        <v>-6994</v>
      </c>
      <c r="F29" s="73" t="n">
        <v>-5952</v>
      </c>
      <c r="G29" s="73" t="n">
        <v>-6519</v>
      </c>
      <c r="H29" s="73" t="n">
        <v>-7302</v>
      </c>
      <c r="I29" s="73" t="n">
        <v>-18881</v>
      </c>
      <c r="J29" s="73" t="n">
        <v>-13788</v>
      </c>
      <c r="K29" s="73" t="n">
        <v>-15418</v>
      </c>
      <c r="L29" s="73" t="n">
        <v>-19899</v>
      </c>
      <c r="M29" s="73" t="n">
        <v>-17782</v>
      </c>
      <c r="N29" s="73" t="n">
        <v>-18271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-49</v>
      </c>
      <c r="I30" t="n">
        <v>-55</v>
      </c>
      <c r="J30" t="n">
        <v>-59</v>
      </c>
      <c r="K30" t="n">
        <v>-59</v>
      </c>
      <c r="L30" t="n">
        <v>-67</v>
      </c>
      <c r="M30" t="n">
        <v>-66</v>
      </c>
      <c r="N30" t="n">
        <v>-68</v>
      </c>
    </row>
    <row r="31">
      <c r="B31" t="inlineStr">
        <is>
          <t>Other financing items</t>
        </is>
      </c>
      <c r="C31" t="n">
        <v>-734</v>
      </c>
      <c r="D31" t="n">
        <v>-971</v>
      </c>
      <c r="E31" s="73" t="n">
        <v>-1335</v>
      </c>
      <c r="F31" s="73" t="n">
        <v>-1136</v>
      </c>
      <c r="G31" s="73" t="n">
        <v>-1203</v>
      </c>
      <c r="H31" s="73" t="n">
        <v>-1409</v>
      </c>
      <c r="I31" t="n">
        <v>55</v>
      </c>
      <c r="J31" t="n">
        <v>15</v>
      </c>
      <c r="K31" t="n">
        <v>35</v>
      </c>
      <c r="L31" t="n">
        <v>12</v>
      </c>
      <c r="M31" t="n">
        <v>28</v>
      </c>
      <c r="N31" t="n">
        <v>-146</v>
      </c>
    </row>
    <row r="32">
      <c r="B32" t="inlineStr">
        <is>
          <t>Net Cash Flow</t>
        </is>
      </c>
      <c r="C32" t="n">
        <v>-93</v>
      </c>
      <c r="D32" t="n">
        <v>266</v>
      </c>
      <c r="E32" t="n">
        <v>75</v>
      </c>
      <c r="F32" t="n">
        <v>-166</v>
      </c>
      <c r="G32" t="n">
        <v>169</v>
      </c>
      <c r="H32" t="n">
        <v>334</v>
      </c>
      <c r="I32" t="n">
        <v>-367</v>
      </c>
      <c r="J32" t="n">
        <v>-43</v>
      </c>
      <c r="K32" t="n">
        <v>139</v>
      </c>
      <c r="L32" t="n">
        <v>191</v>
      </c>
      <c r="M32" t="n">
        <v>26</v>
      </c>
      <c r="N32" t="n">
        <v>-4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N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09" min="1" max="1"/>
    <col width="30.33203125" customWidth="1" style="109" min="2" max="2"/>
    <col width="12.109375" bestFit="1" customWidth="1" style="109" min="3" max="3"/>
    <col width="10.44140625" bestFit="1" customWidth="1" style="109" min="4" max="12"/>
  </cols>
  <sheetData>
    <row r="2">
      <c r="B2" s="160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78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78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78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78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78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78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78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78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78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</row>
    <row r="61">
      <c r="B61" s="178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78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78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78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78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78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78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09" min="1" max="1"/>
    <col width="28.6640625" customWidth="1" style="109" min="2" max="2"/>
    <col width="10" bestFit="1" customWidth="1" style="109" min="3" max="5"/>
    <col width="10" bestFit="1" customWidth="1" style="109" min="14" max="14"/>
  </cols>
  <sheetData>
    <row r="2">
      <c r="B2" s="160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FS'!C26,0)</f>
        <v/>
      </c>
      <c r="D13" s="36">
        <f>IFERROR('Historical FS'!D26,0)</f>
        <v/>
      </c>
      <c r="E13" s="36">
        <f>IFERROR('Historical FS'!E26,0)</f>
        <v/>
      </c>
      <c r="F13" s="36">
        <f>IFERROR('Historical FS'!F26,0)</f>
        <v/>
      </c>
      <c r="G13" s="36">
        <f>IFERROR('Historical FS'!G26,0)</f>
        <v/>
      </c>
      <c r="H13" s="36">
        <f>IFERROR('Historical FS'!H26,0)</f>
        <v/>
      </c>
      <c r="I13" s="36">
        <f>IFERROR('Historical FS'!I26,0)</f>
        <v/>
      </c>
      <c r="J13" s="36">
        <f>IFERROR('Historical FS'!J26,0)</f>
        <v/>
      </c>
      <c r="K13" s="36">
        <f>IFERROR('Historical FS'!K26,0)</f>
        <v/>
      </c>
      <c r="L13" s="36">
        <f>IFERROR('Historical FS'!L26,0)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09" min="1" max="1"/>
    <col width="11.109375" bestFit="1" customWidth="1" style="109" min="2" max="2"/>
    <col width="9.6640625" bestFit="1" customWidth="1" style="109" min="3" max="3"/>
    <col width="12" customWidth="1" style="109" min="4" max="4"/>
    <col width="13.21875" customWidth="1" style="109" min="5" max="5"/>
    <col width="2" customWidth="1" style="109" min="6" max="6"/>
    <col width="11.21875" customWidth="1" style="109" min="7" max="7"/>
    <col width="12.109375" customWidth="1" style="109" min="9" max="9"/>
    <col width="12.44140625" customWidth="1" style="109" min="10" max="10"/>
    <col width="2" customWidth="1" style="109" min="11" max="11"/>
    <col width="12.33203125" customWidth="1" style="109" min="12" max="12"/>
    <col width="9.6640625" bestFit="1" customWidth="1" style="109" min="13" max="13"/>
    <col width="10.33203125" customWidth="1" style="109" min="14" max="14"/>
    <col width="15" customWidth="1" style="109" min="15" max="15"/>
  </cols>
  <sheetData>
    <row r="2">
      <c r="B2" s="163">
        <f>'Data Sheet'!$B$1&amp;" -"&amp;'Data Sheet'!A17&amp;" Forecasting"</f>
        <v/>
      </c>
      <c r="G2" s="163">
        <f>'Data Sheet'!$B$1&amp;" -"&amp;'Historical FS'!B19&amp;" Forecasting"</f>
        <v/>
      </c>
      <c r="L2" s="163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4">TRANSPOSE('Data Sheet'!B16:K16)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4">TRANSPOSE('Data Sheet'!B16:K16)</f>
        <v/>
      </c>
      <c r="I5" s="107">
        <f t="array" ref="I5:I14">TRANSPOSE('Historical FS'!C19:L19)</f>
        <v/>
      </c>
      <c r="J5" s="163" t="inlineStr">
        <is>
          <t>-</t>
        </is>
      </c>
      <c r="L5" t="n">
        <v>1</v>
      </c>
      <c r="M5" s="54">
        <f t="array" ref="M5:M14">TRANSPOSE('Data Sheet'!B16:K16)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43190</v>
      </c>
      <c r="D6" s="107" t="n">
        <v>43448.94</v>
      </c>
      <c r="E6" s="36">
        <f>D6/D5-1</f>
        <v/>
      </c>
      <c r="G6">
        <f>G5+1</f>
        <v/>
      </c>
      <c r="H6" s="54" t="n">
        <v>43190</v>
      </c>
      <c r="I6" s="107" t="n">
        <v>17526.57</v>
      </c>
      <c r="J6" s="36">
        <f>I6/I5-1</f>
        <v/>
      </c>
      <c r="L6">
        <f>L5+1</f>
        <v/>
      </c>
      <c r="M6" s="54" t="n">
        <v>43190</v>
      </c>
      <c r="N6" s="107" t="n">
        <v>10258.85</v>
      </c>
      <c r="O6" s="36">
        <f>N6/N5-1</f>
        <v/>
      </c>
    </row>
    <row r="7">
      <c r="B7">
        <f>B6+1</f>
        <v/>
      </c>
      <c r="C7" s="54" t="n">
        <v>43555</v>
      </c>
      <c r="D7" s="107" t="n">
        <v>48339.58</v>
      </c>
      <c r="E7" s="36">
        <f>D7/D6-1</f>
        <v/>
      </c>
      <c r="G7">
        <f>G6+1</f>
        <v/>
      </c>
      <c r="H7" s="54" t="n">
        <v>43555</v>
      </c>
      <c r="I7" s="107" t="n">
        <v>19577.24</v>
      </c>
      <c r="J7" s="36">
        <f>I7/I6-1</f>
        <v/>
      </c>
      <c r="L7">
        <f>L6+1</f>
        <v/>
      </c>
      <c r="M7" s="54" t="n">
        <v>43555</v>
      </c>
      <c r="N7" s="107" t="n">
        <v>11795.31</v>
      </c>
      <c r="O7" s="36">
        <f>N7/N6-1</f>
        <v/>
      </c>
    </row>
    <row r="8">
      <c r="B8">
        <f>B7+1</f>
        <v/>
      </c>
      <c r="C8" s="54" t="n">
        <v>43921</v>
      </c>
      <c r="D8" s="107" t="n">
        <v>49387.7</v>
      </c>
      <c r="E8" s="36">
        <f>D8/D7-1</f>
        <v/>
      </c>
      <c r="G8">
        <f>G7+1</f>
        <v/>
      </c>
      <c r="H8" s="54" t="n">
        <v>43921</v>
      </c>
      <c r="I8" s="107" t="n">
        <v>20568.67</v>
      </c>
      <c r="J8" s="36">
        <f>I8/I7-1</f>
        <v/>
      </c>
      <c r="L8">
        <f>L7+1</f>
        <v/>
      </c>
      <c r="M8" s="54" t="n">
        <v>43921</v>
      </c>
      <c r="N8" s="107" t="n">
        <v>14400.59</v>
      </c>
      <c r="O8" s="36">
        <f>N8/N7-1</f>
        <v/>
      </c>
    </row>
    <row r="9">
      <c r="B9">
        <f>B8+1</f>
        <v/>
      </c>
      <c r="C9" s="54" t="n">
        <v>44286</v>
      </c>
      <c r="D9" s="107" t="n">
        <v>49257.45</v>
      </c>
      <c r="E9" s="36">
        <f>D9/D8-1</f>
        <v/>
      </c>
      <c r="G9">
        <f>G8+1</f>
        <v/>
      </c>
      <c r="H9" s="54" t="n">
        <v>44286</v>
      </c>
      <c r="I9" s="107" t="n">
        <v>18139.17</v>
      </c>
      <c r="J9" s="36">
        <f>I9/I8-1</f>
        <v/>
      </c>
      <c r="L9">
        <f>L8+1</f>
        <v/>
      </c>
      <c r="M9" s="54" t="n">
        <v>44286</v>
      </c>
      <c r="N9" s="107" t="n">
        <v>11880.32</v>
      </c>
      <c r="O9" s="36">
        <f>N9/N8-1</f>
        <v/>
      </c>
    </row>
    <row r="10">
      <c r="B10">
        <f>B9+1</f>
        <v/>
      </c>
      <c r="C10" s="54" t="n">
        <v>44651</v>
      </c>
      <c r="D10" s="107" t="n">
        <v>60644.54</v>
      </c>
      <c r="E10" s="36">
        <f>D10/D9-1</f>
        <v/>
      </c>
      <c r="G10">
        <f>G9+1</f>
        <v/>
      </c>
      <c r="H10" s="54" t="n">
        <v>44651</v>
      </c>
      <c r="I10" s="107" t="n">
        <v>21733.09999999999</v>
      </c>
      <c r="J10" s="36">
        <f>I10/I9-1</f>
        <v/>
      </c>
      <c r="L10">
        <f>L9+1</f>
        <v/>
      </c>
      <c r="M10" s="54" t="n">
        <v>44651</v>
      </c>
      <c r="N10" s="107" t="n">
        <v>14703.35999999999</v>
      </c>
      <c r="O10" s="36">
        <f>N10/N9-1</f>
        <v/>
      </c>
    </row>
    <row r="11">
      <c r="B11">
        <f>B10+1</f>
        <v/>
      </c>
      <c r="C11" s="54" t="n">
        <v>45016</v>
      </c>
      <c r="D11" s="107" t="n">
        <v>70919.03</v>
      </c>
      <c r="E11" s="36">
        <f>D11/D10-1</f>
        <v/>
      </c>
      <c r="G11">
        <f>G10+1</f>
        <v/>
      </c>
      <c r="H11" s="54" t="n">
        <v>45016</v>
      </c>
      <c r="I11" s="107" t="n">
        <v>27012.81999999999</v>
      </c>
      <c r="J11" s="36">
        <f>I11/I10-1</f>
        <v/>
      </c>
      <c r="L11">
        <f>L10+1</f>
        <v/>
      </c>
      <c r="M11" s="54" t="n">
        <v>45016</v>
      </c>
      <c r="N11" s="107" t="n">
        <v>18687.63999999999</v>
      </c>
      <c r="O11" s="36">
        <f>N11/N10-1</f>
        <v/>
      </c>
    </row>
    <row r="12">
      <c r="B12">
        <f>B11+1</f>
        <v/>
      </c>
      <c r="C12" s="54" t="n">
        <v>45382</v>
      </c>
      <c r="D12" s="107" t="n">
        <v>67931.94</v>
      </c>
      <c r="E12" s="36">
        <f>D12/D11-1</f>
        <v/>
      </c>
      <c r="G12">
        <f>G11+1</f>
        <v/>
      </c>
      <c r="H12" s="54" t="n">
        <v>45382</v>
      </c>
      <c r="I12" s="107" t="n">
        <v>26953.5</v>
      </c>
      <c r="J12" s="36">
        <f>I12/I11-1</f>
        <v/>
      </c>
      <c r="L12">
        <f>L11+1</f>
        <v/>
      </c>
      <c r="M12" s="54" t="n">
        <v>45382</v>
      </c>
      <c r="N12" s="107" t="n">
        <v>19186.88</v>
      </c>
      <c r="O12" s="36">
        <f>N12/N11-1</f>
        <v/>
      </c>
    </row>
    <row r="13">
      <c r="B13">
        <f>B12+1</f>
        <v/>
      </c>
      <c r="C13" s="54" t="n">
        <v>45747</v>
      </c>
      <c r="D13" s="107" t="n">
        <v>75323.34</v>
      </c>
      <c r="E13" s="36">
        <f>D13/D12-1</f>
        <v/>
      </c>
      <c r="G13">
        <f>G12+1</f>
        <v/>
      </c>
      <c r="H13" s="54" t="n">
        <v>45747</v>
      </c>
      <c r="I13" s="107" t="n">
        <v>28060.84</v>
      </c>
      <c r="J13" s="36">
        <f>I13/I12-1</f>
        <v/>
      </c>
      <c r="L13">
        <f>L12+1</f>
        <v/>
      </c>
      <c r="M13" s="54" t="n">
        <v>45747</v>
      </c>
      <c r="N13" s="107" t="n">
        <v>19478.98999999999</v>
      </c>
      <c r="O13" s="36">
        <f>N13/N12-1</f>
        <v/>
      </c>
    </row>
    <row r="14">
      <c r="B14">
        <f>B13+1</f>
        <v/>
      </c>
      <c r="C14" s="54" t="n">
        <v>46112</v>
      </c>
      <c r="D14" s="107" t="n">
        <v>78868.39999999999</v>
      </c>
      <c r="E14" s="36">
        <f>D14/D13-1</f>
        <v/>
      </c>
      <c r="G14">
        <f>G13+1</f>
        <v/>
      </c>
      <c r="H14" s="54" t="n">
        <v>46112</v>
      </c>
      <c r="I14" s="107" t="n">
        <v>29630.87999999999</v>
      </c>
      <c r="J14" s="36">
        <f>I14/I13-1</f>
        <v/>
      </c>
      <c r="L14">
        <f>L13+1</f>
        <v/>
      </c>
      <c r="M14" s="54" t="n">
        <v>46112</v>
      </c>
      <c r="N14" s="107" t="n">
        <v>20819.94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09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09" min="1" max="1"/>
    <col width="11.5546875" customWidth="1" style="109" min="2" max="2"/>
    <col width="11.6640625" bestFit="1" customWidth="1" style="109" min="3" max="3"/>
    <col width="14.21875" customWidth="1" style="109" min="4" max="4"/>
    <col width="11.33203125" customWidth="1" style="109" min="6" max="6"/>
    <col width="12.33203125" customWidth="1" style="109" min="7" max="7"/>
    <col width="13.44140625" customWidth="1" style="109" min="8" max="8"/>
    <col width="13.6640625" customWidth="1" style="109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0" t="inlineStr">
        <is>
          <t>Nifty 50 Daily Returns</t>
        </is>
      </c>
      <c r="J7" s="160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63" t="inlineStr">
        <is>
          <t>-</t>
        </is>
      </c>
      <c r="F10" s="34">
        <f>'Raw Data'!G6</f>
        <v/>
      </c>
      <c r="G10">
        <f>'Raw Data'!J6</f>
        <v/>
      </c>
      <c r="H10" s="163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09" min="1" max="1"/>
    <col width="19.33203125" customWidth="1" style="109" min="2" max="2"/>
    <col width="12.44140625" customWidth="1" style="109" min="3" max="3"/>
    <col width="10.77734375" customWidth="1" style="109" min="4" max="4"/>
    <col width="10.109375" bestFit="1" customWidth="1" style="109" min="5" max="5"/>
    <col width="11.88671875" bestFit="1" customWidth="1" style="109" min="6" max="6"/>
    <col width="10" customWidth="1" style="109" min="10" max="10"/>
    <col width="10.88671875" customWidth="1" style="109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09"/>
    <row r="10">
      <c r="B10" t="inlineStr">
        <is>
          <t>Peer Comps</t>
        </is>
      </c>
    </row>
    <row r="11">
      <c r="B11" s="57" t="n"/>
      <c r="C11" s="57" t="n"/>
      <c r="D11" s="57" t="n"/>
      <c r="E11" s="182" t="inlineStr">
        <is>
          <t>Total Debt</t>
        </is>
      </c>
      <c r="F11" s="182" t="inlineStr">
        <is>
          <t>Total Equity</t>
        </is>
      </c>
      <c r="G11" s="57" t="n"/>
      <c r="H11" s="182" t="inlineStr">
        <is>
          <t>Debt /Equity</t>
        </is>
      </c>
      <c r="I11" s="182" t="inlineStr">
        <is>
          <t>Debt /Capital</t>
        </is>
      </c>
      <c r="J11" s="182" t="inlineStr">
        <is>
          <t>Levered Beta</t>
        </is>
      </c>
      <c r="K11" s="182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5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0.7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>
        <f>'Beta-Regression'!L15</f>
        <v/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0.6899999999999999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0.9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0.73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0.07000000000000001</v>
      </c>
    </row>
    <row r="27">
      <c r="B27" t="inlineStr">
        <is>
          <t>Tax Rate</t>
        </is>
      </c>
      <c r="E27" s="46">
        <f>G15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E15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F15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09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09" min="1" max="1"/>
    <col width="14" customWidth="1" style="109" min="2" max="2"/>
    <col width="10.44140625" bestFit="1" customWidth="1" style="109" min="8" max="8"/>
    <col width="11.44140625" customWidth="1" style="109" min="9" max="9"/>
    <col width="10.44140625" bestFit="1" customWidth="1" style="109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09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09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09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09" thickBot="1"/>
    <row r="21" ht="15" customHeight="1" s="109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09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09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09" thickBot="1"/>
    <row r="40" ht="15" customHeight="1" s="109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3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09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09"/>
    <row r="62" ht="15" customHeight="1" s="109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09" min="1" max="1"/>
    <col width="21.109375" customWidth="1" style="109" min="2" max="2"/>
    <col width="13.21875" customWidth="1" style="109" min="4" max="4"/>
    <col width="10.44140625" bestFit="1" customWidth="1" style="109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09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'Intrinsic Valuation'!$L$55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 t="array" ref="M11:N11">D21:E21</f>
        <v/>
      </c>
      <c r="N11" t="n">
        <v>0</v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09"/>
    <row r="16" ht="15" customHeight="1" s="109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3">
      <c r="B23" s="84" t="inlineStr">
        <is>
          <t>Calculation of Terminal Value</t>
        </is>
      </c>
      <c r="C23" s="84" t="n"/>
      <c r="D23" s="84" t="n"/>
    </row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09" thickBot="1">
      <c r="B29" s="127" t="inlineStr">
        <is>
          <t>Terminal value</t>
        </is>
      </c>
      <c r="C29" s="127" t="n"/>
      <c r="D29" s="128">
        <f>D25/(D26-D27)</f>
        <v/>
      </c>
    </row>
    <row r="31">
      <c r="B31" s="84" t="inlineStr">
        <is>
          <t>Calculation of Equity Value</t>
        </is>
      </c>
      <c r="C31" s="84" t="n"/>
      <c r="D31" s="84" t="n"/>
    </row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37" t="inlineStr">
        <is>
          <t>Equity Value</t>
        </is>
      </c>
      <c r="C39" s="37" t="n"/>
      <c r="D39" s="129">
        <f>D35+D37-D38</f>
        <v/>
      </c>
    </row>
    <row r="40">
      <c r="B40" t="inlineStr">
        <is>
          <t>No. of Shares</t>
        </is>
      </c>
      <c r="D40">
        <f>'Data Sheet'!K70/10000000</f>
        <v/>
      </c>
    </row>
    <row r="42" ht="15" customHeight="1" s="109" thickBot="1">
      <c r="B42" s="127" t="inlineStr">
        <is>
          <t>Equity Value per Share</t>
        </is>
      </c>
      <c r="C42" s="127" t="n"/>
      <c r="D42" s="128">
        <f>D39/D40</f>
        <v/>
      </c>
    </row>
    <row r="44">
      <c r="B44" t="inlineStr">
        <is>
          <t>Share Price</t>
        </is>
      </c>
      <c r="D44" s="107" t="n">
        <v>276.5</v>
      </c>
    </row>
    <row r="45">
      <c r="B45" t="inlineStr">
        <is>
          <t>Discount /Premium</t>
        </is>
      </c>
      <c r="D45" s="83">
        <f>D44/D42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6:X248"/>
  <sheetViews>
    <sheetView topLeftCell="E8" workbookViewId="0">
      <selection activeCell="O24" sqref="O24:T28"/>
    </sheetView>
  </sheetViews>
  <sheetFormatPr baseColWidth="8" defaultRowHeight="14.4"/>
  <cols>
    <col width="1.88671875" customWidth="1" style="109" min="1" max="1"/>
    <col width="9.88671875" bestFit="1" customWidth="1" style="109" min="7" max="7"/>
    <col width="12.33203125" bestFit="1" customWidth="1" style="109" min="14" max="14"/>
    <col width="14.6640625" bestFit="1" customWidth="1" style="109" min="15" max="15"/>
    <col width="13.21875" bestFit="1" customWidth="1" style="109" min="18" max="18"/>
    <col width="13.6640625" bestFit="1" customWidth="1" style="109" min="20" max="20"/>
    <col width="10.77734375" bestFit="1" customWidth="1" style="109" min="23" max="23"/>
    <col width="12.6640625" bestFit="1" customWidth="1" style="109" min="24" max="24"/>
  </cols>
  <sheetData>
    <row r="6">
      <c r="B6" t="n">
        <v>2025</v>
      </c>
      <c r="C6" s="46" t="n">
        <v>0.1051</v>
      </c>
      <c r="G6" s="34" t="n">
        <v>46233</v>
      </c>
      <c r="H6" t="n">
        <v>2107.9</v>
      </c>
      <c r="J6" t="n">
        <v>24474.3</v>
      </c>
    </row>
    <row r="7">
      <c r="B7" t="n">
        <v>2024</v>
      </c>
      <c r="C7" s="46" t="n">
        <v>0.08749999999999999</v>
      </c>
      <c r="G7" s="34" t="n">
        <v>46232</v>
      </c>
      <c r="H7" t="n">
        <v>2117.8</v>
      </c>
      <c r="J7" t="n">
        <v>24566.8</v>
      </c>
    </row>
    <row r="8">
      <c r="B8" t="n">
        <v>2023</v>
      </c>
      <c r="C8" s="46" t="n">
        <v>0.1942</v>
      </c>
      <c r="G8" s="34" t="n">
        <v>46231</v>
      </c>
      <c r="H8" t="n">
        <v>2022.7</v>
      </c>
      <c r="J8" t="n">
        <v>24236.8</v>
      </c>
    </row>
    <row r="9">
      <c r="B9" t="n">
        <v>2022</v>
      </c>
      <c r="C9" s="46" t="n">
        <v>0.0432</v>
      </c>
      <c r="G9" s="34" t="n">
        <v>46230</v>
      </c>
      <c r="H9" t="n">
        <v>2174.6</v>
      </c>
      <c r="J9" t="n">
        <v>24101.8</v>
      </c>
    </row>
    <row r="10">
      <c r="B10" t="n">
        <v>2021</v>
      </c>
      <c r="C10" s="46" t="n">
        <v>0.2412</v>
      </c>
      <c r="G10" s="34" t="n">
        <v>46227</v>
      </c>
      <c r="H10" t="n">
        <v>2145</v>
      </c>
      <c r="J10" t="n">
        <v>23874.6</v>
      </c>
    </row>
    <row r="11">
      <c r="B11" t="n">
        <v>2020</v>
      </c>
      <c r="C11" s="46" t="n">
        <v>0.149</v>
      </c>
      <c r="G11" s="34" t="n">
        <v>46226</v>
      </c>
      <c r="H11" t="n">
        <v>2161.8</v>
      </c>
      <c r="J11" t="n">
        <v>24082.5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n">
        <v>46225</v>
      </c>
      <c r="H12" t="n">
        <v>2154.6</v>
      </c>
      <c r="J12" t="n">
        <v>23988.4</v>
      </c>
      <c r="N12" t="n">
        <v>1</v>
      </c>
      <c r="O12" t="inlineStr">
        <is>
          <t>Hind. Unilever</t>
        </is>
      </c>
      <c r="P12" t="n">
        <v>2087.2</v>
      </c>
      <c r="Q12" t="n">
        <v>234.96</v>
      </c>
      <c r="R12" t="n">
        <v>494084.03</v>
      </c>
      <c r="S12" t="n">
        <v>1478</v>
      </c>
      <c r="T12" t="n">
        <v>3248</v>
      </c>
      <c r="U12" t="n">
        <v>492314.03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n">
        <v>46224</v>
      </c>
      <c r="H13" t="n">
        <v>2142.5</v>
      </c>
      <c r="J13" t="n">
        <v>24180.6</v>
      </c>
      <c r="N13" t="n">
        <v>2</v>
      </c>
      <c r="O13" t="inlineStr">
        <is>
          <t>ITC</t>
        </is>
      </c>
      <c r="P13" t="n">
        <v>282.65</v>
      </c>
      <c r="Q13" t="n">
        <v>1252.95</v>
      </c>
      <c r="R13" t="n">
        <v>354889.69</v>
      </c>
      <c r="S13" t="n">
        <v>2399.06</v>
      </c>
      <c r="T13" t="n">
        <v>3008.79</v>
      </c>
      <c r="U13" t="n">
        <v>354279.96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n">
        <v>46223</v>
      </c>
      <c r="H14" t="n">
        <v>2139.7</v>
      </c>
      <c r="J14" t="n">
        <v>24487.8</v>
      </c>
      <c r="N14" t="n">
        <v>3</v>
      </c>
      <c r="O14" t="inlineStr">
        <is>
          <t>Hindustan Foods</t>
        </is>
      </c>
      <c r="P14" t="n">
        <v>585.6</v>
      </c>
      <c r="Q14" t="n">
        <v>12.12</v>
      </c>
      <c r="R14" t="n">
        <v>7105.77</v>
      </c>
      <c r="S14" t="n">
        <v>1088.26</v>
      </c>
      <c r="T14" t="n">
        <v>51.71</v>
      </c>
      <c r="U14" t="n">
        <v>8142.32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n">
        <v>46220</v>
      </c>
      <c r="H15" t="n">
        <v>2143.8</v>
      </c>
      <c r="J15" t="n">
        <v>24321.7</v>
      </c>
      <c r="N15" t="n">
        <v>4</v>
      </c>
      <c r="O15" t="inlineStr">
        <is>
          <t>Godavari Bioref.</t>
        </is>
      </c>
      <c r="P15" t="n">
        <v>240.1</v>
      </c>
      <c r="Q15" t="n">
        <v>5.12</v>
      </c>
      <c r="R15" t="n">
        <v>1227</v>
      </c>
      <c r="S15" t="n">
        <v>530.76</v>
      </c>
      <c r="T15" t="n">
        <v>32.15</v>
      </c>
      <c r="U15" t="n">
        <v>1725.61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n">
        <v>46219</v>
      </c>
      <c r="H16" t="n">
        <v>2098.4</v>
      </c>
      <c r="J16" t="n">
        <v>24190.6</v>
      </c>
      <c r="N16" t="n">
        <v>5</v>
      </c>
      <c r="O16" t="inlineStr">
        <is>
          <t>Davangere Sugar</t>
        </is>
      </c>
      <c r="P16" t="n">
        <v>3.08</v>
      </c>
      <c r="Q16" t="n">
        <v>143</v>
      </c>
      <c r="R16" t="n">
        <v>440.44</v>
      </c>
      <c r="S16" t="n">
        <v>250.05</v>
      </c>
      <c r="T16" t="n">
        <v>6.57</v>
      </c>
      <c r="U16" t="n">
        <v>683.92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n">
        <v>46218</v>
      </c>
      <c r="H17" t="n">
        <v>2102.6</v>
      </c>
      <c r="J17" t="n">
        <v>24067.8</v>
      </c>
    </row>
    <row r="18">
      <c r="B18" t="n">
        <v>2013</v>
      </c>
      <c r="C18" s="46" t="n">
        <v>0.06759999999999999</v>
      </c>
      <c r="G18" s="34" t="n">
        <v>46217</v>
      </c>
      <c r="H18" t="n">
        <v>2120.2</v>
      </c>
      <c r="J18" t="n">
        <v>24266.4</v>
      </c>
    </row>
    <row r="19">
      <c r="B19" t="n">
        <v>2012</v>
      </c>
      <c r="C19" s="46" t="n">
        <v>0.277</v>
      </c>
      <c r="G19" s="34" t="n">
        <v>46216</v>
      </c>
      <c r="H19" t="n">
        <v>2130.6</v>
      </c>
      <c r="J19" t="n">
        <v>24472.6</v>
      </c>
    </row>
    <row r="20">
      <c r="B20" t="n">
        <v>2011</v>
      </c>
      <c r="C20" s="46" t="n">
        <v>-0.2462</v>
      </c>
      <c r="G20" s="34" t="n">
        <v>46213</v>
      </c>
      <c r="H20" t="n">
        <v>2150.6</v>
      </c>
      <c r="J20" t="n">
        <v>24328.7</v>
      </c>
    </row>
    <row r="21">
      <c r="B21" t="n">
        <v>2010</v>
      </c>
      <c r="C21" s="46" t="n">
        <v>0.1795</v>
      </c>
      <c r="G21" s="34" t="n">
        <v>46212</v>
      </c>
      <c r="H21" t="n">
        <v>2144.5</v>
      </c>
      <c r="J21" t="n">
        <v>24090.8</v>
      </c>
    </row>
    <row r="22">
      <c r="B22" t="n">
        <v>2009</v>
      </c>
      <c r="C22" s="46" t="n">
        <v>0.7576000000000001</v>
      </c>
      <c r="G22" s="34" t="n">
        <v>46211</v>
      </c>
      <c r="H22" t="n">
        <v>2135.8</v>
      </c>
      <c r="J22" t="n">
        <v>24170</v>
      </c>
    </row>
    <row r="23">
      <c r="B23" t="n">
        <v>2008</v>
      </c>
      <c r="C23" s="46" t="n">
        <v>-0.5179</v>
      </c>
      <c r="G23" s="34" t="n">
        <v>46210</v>
      </c>
      <c r="H23" t="n">
        <v>2208.8</v>
      </c>
      <c r="J23" t="n">
        <v>24440.3</v>
      </c>
    </row>
    <row r="24">
      <c r="B24" t="n">
        <v>2007</v>
      </c>
      <c r="C24" s="46" t="n">
        <v>0.5477</v>
      </c>
      <c r="G24" s="34" t="n">
        <v>46209</v>
      </c>
      <c r="H24" t="n">
        <v>2202</v>
      </c>
      <c r="J24" t="n">
        <v>24482.9</v>
      </c>
      <c r="O24" t="inlineStr">
        <is>
          <t>Hind. Unilever</t>
        </is>
      </c>
      <c r="Q24" t="inlineStr">
        <is>
          <t>India</t>
        </is>
      </c>
      <c r="R24" t="n">
        <v>1478</v>
      </c>
      <c r="S24" t="n">
        <v>483526.44</v>
      </c>
      <c r="T24" s="46" t="n">
        <v>0.25</v>
      </c>
    </row>
    <row r="25">
      <c r="B25" t="n">
        <v>2006</v>
      </c>
      <c r="C25" s="46" t="n">
        <v>0.3983</v>
      </c>
      <c r="G25" s="34" t="n">
        <v>46206</v>
      </c>
      <c r="H25" t="n">
        <v>2201.2</v>
      </c>
      <c r="J25" t="n">
        <v>24614.3</v>
      </c>
      <c r="O25" t="inlineStr">
        <is>
          <t>ITC</t>
        </is>
      </c>
      <c r="Q25">
        <f>Q24</f>
        <v/>
      </c>
      <c r="R25" t="n">
        <v>2399.06</v>
      </c>
      <c r="S25" t="n">
        <v>345505.91</v>
      </c>
      <c r="T25" s="46">
        <f>T24</f>
        <v/>
      </c>
    </row>
    <row r="26">
      <c r="B26" t="n">
        <v>2005</v>
      </c>
      <c r="C26" s="46" t="n">
        <v>0.3634</v>
      </c>
      <c r="G26" s="34" t="n">
        <v>46205</v>
      </c>
      <c r="H26" t="n">
        <v>2210.6</v>
      </c>
      <c r="J26" t="n">
        <v>24265</v>
      </c>
      <c r="O26" t="inlineStr">
        <is>
          <t>Nestle India</t>
        </is>
      </c>
      <c r="Q26">
        <f>Q25</f>
        <v/>
      </c>
      <c r="R26" t="n">
        <v>444.16</v>
      </c>
      <c r="S26" t="n">
        <v>291221.06</v>
      </c>
      <c r="T26" s="46">
        <f>T25</f>
        <v/>
      </c>
    </row>
    <row r="27">
      <c r="B27" t="n">
        <v>2004</v>
      </c>
      <c r="C27" s="46" t="n">
        <v>0.1068</v>
      </c>
      <c r="G27" s="34" t="n">
        <v>46204</v>
      </c>
      <c r="H27" t="n">
        <v>2182</v>
      </c>
      <c r="J27" t="n">
        <v>24195.3</v>
      </c>
      <c r="O27" t="inlineStr">
        <is>
          <t>Varun Beverages</t>
        </is>
      </c>
      <c r="Q27">
        <f>Q26</f>
        <v/>
      </c>
      <c r="R27" t="n">
        <v>2508.18</v>
      </c>
      <c r="S27" t="n">
        <v>148827.3</v>
      </c>
      <c r="T27" s="46">
        <f>T26</f>
        <v/>
      </c>
    </row>
    <row r="28">
      <c r="B28" t="n">
        <v>2003</v>
      </c>
      <c r="C28" s="46" t="n">
        <v>0.719</v>
      </c>
      <c r="G28" s="34" t="n">
        <v>46203</v>
      </c>
      <c r="H28" t="n">
        <v>2118.2</v>
      </c>
      <c r="J28" t="n">
        <v>24111.9</v>
      </c>
      <c r="O28" t="inlineStr">
        <is>
          <t>Britannia Inds.</t>
        </is>
      </c>
      <c r="Q28">
        <f>Q27</f>
        <v/>
      </c>
      <c r="R28" t="n">
        <v>1380.28</v>
      </c>
      <c r="S28" t="n">
        <v>135517.4</v>
      </c>
      <c r="T28" s="46">
        <f>T27</f>
        <v/>
      </c>
    </row>
    <row r="29">
      <c r="B29" t="n">
        <v>2002</v>
      </c>
      <c r="C29" s="46" t="n">
        <v>0.0325</v>
      </c>
      <c r="G29" s="34" t="n">
        <v>46202</v>
      </c>
      <c r="H29" t="n">
        <v>2151.3</v>
      </c>
      <c r="J29" t="n">
        <v>24142.3</v>
      </c>
    </row>
    <row r="30">
      <c r="G30" s="34" t="n">
        <v>46198</v>
      </c>
      <c r="H30" t="n">
        <v>2174.2</v>
      </c>
      <c r="J30" t="n">
        <v>24170.5</v>
      </c>
    </row>
    <row r="31">
      <c r="G31" s="34" t="n">
        <v>46197</v>
      </c>
      <c r="H31" t="n">
        <v>2157.8</v>
      </c>
      <c r="J31" t="n">
        <v>24125.2</v>
      </c>
    </row>
    <row r="32">
      <c r="G32" s="34" t="n">
        <v>46196</v>
      </c>
      <c r="H32" t="n">
        <v>2160.1</v>
      </c>
      <c r="J32" t="n">
        <v>24070.5</v>
      </c>
    </row>
    <row r="33">
      <c r="G33" s="34" t="n">
        <v>46195</v>
      </c>
      <c r="H33" t="n">
        <v>2184.9</v>
      </c>
      <c r="J33" t="n">
        <v>24123.8</v>
      </c>
    </row>
    <row r="34">
      <c r="G34" s="34" t="n">
        <v>46192</v>
      </c>
      <c r="H34" t="n">
        <v>2194.6</v>
      </c>
      <c r="J34" t="n">
        <v>24056.9</v>
      </c>
    </row>
    <row r="35">
      <c r="G35" s="34" t="n">
        <v>46191</v>
      </c>
      <c r="H35" t="n">
        <v>2218.5</v>
      </c>
      <c r="J35" t="n">
        <v>24382.4</v>
      </c>
    </row>
    <row r="36">
      <c r="G36" s="34" t="n">
        <v>46190</v>
      </c>
      <c r="H36" t="n">
        <v>2197.6</v>
      </c>
      <c r="J36" t="n">
        <v>24094</v>
      </c>
    </row>
    <row r="37">
      <c r="G37" s="34" t="n">
        <v>46189</v>
      </c>
      <c r="H37" t="n">
        <v>2199.9</v>
      </c>
      <c r="J37" t="n">
        <v>24087.9</v>
      </c>
    </row>
    <row r="38">
      <c r="G38" s="34" t="n">
        <v>46188</v>
      </c>
      <c r="H38" t="n">
        <v>2156.1</v>
      </c>
      <c r="J38" t="n">
        <v>23916.6</v>
      </c>
    </row>
    <row r="39">
      <c r="G39" s="34" t="n">
        <v>46185</v>
      </c>
      <c r="H39" t="n">
        <v>2168.8</v>
      </c>
      <c r="J39" t="n">
        <v>23873.5</v>
      </c>
    </row>
    <row r="40">
      <c r="G40" s="34" t="n">
        <v>46184</v>
      </c>
      <c r="H40" t="n">
        <v>2139.8</v>
      </c>
      <c r="J40" t="n">
        <v>23397.4</v>
      </c>
    </row>
    <row r="41">
      <c r="G41" s="34" t="n">
        <v>46183</v>
      </c>
      <c r="H41" t="n">
        <v>2169.5</v>
      </c>
      <c r="J41" t="n">
        <v>23344.9</v>
      </c>
    </row>
    <row r="42">
      <c r="G42" s="34" t="n">
        <v>46182</v>
      </c>
      <c r="H42" t="n">
        <v>2132.8</v>
      </c>
      <c r="J42" t="n">
        <v>23425.2</v>
      </c>
    </row>
    <row r="43">
      <c r="G43" s="34" t="n">
        <v>46181</v>
      </c>
      <c r="H43" t="n">
        <v>2110.1</v>
      </c>
      <c r="J43" t="n">
        <v>23382.2</v>
      </c>
    </row>
    <row r="44">
      <c r="G44" s="34" t="n">
        <v>46178</v>
      </c>
      <c r="H44" t="n">
        <v>2121.5</v>
      </c>
      <c r="J44" t="n">
        <v>23451.7</v>
      </c>
    </row>
    <row r="45">
      <c r="G45" s="34" t="n">
        <v>46177</v>
      </c>
      <c r="H45" t="n">
        <v>2079.4</v>
      </c>
      <c r="J45" t="n">
        <v>23511.6</v>
      </c>
    </row>
    <row r="46">
      <c r="G46" s="34" t="n">
        <v>46176</v>
      </c>
      <c r="H46" t="n">
        <v>2090.6</v>
      </c>
      <c r="J46" t="n">
        <v>23709.2</v>
      </c>
    </row>
    <row r="47">
      <c r="G47" s="34" t="n">
        <v>46175</v>
      </c>
      <c r="H47" t="n">
        <v>2093.7</v>
      </c>
      <c r="J47" t="n">
        <v>23603.1</v>
      </c>
    </row>
    <row r="48">
      <c r="G48" s="34" t="n">
        <v>46174</v>
      </c>
      <c r="H48" t="n">
        <v>2084.3</v>
      </c>
      <c r="J48" t="n">
        <v>23568.5</v>
      </c>
    </row>
    <row r="49">
      <c r="G49" s="34" t="n">
        <v>46171</v>
      </c>
      <c r="H49" t="n">
        <v>2153.5</v>
      </c>
      <c r="J49" t="n">
        <v>23748.8</v>
      </c>
    </row>
    <row r="50">
      <c r="G50" s="34" t="n">
        <v>46169</v>
      </c>
      <c r="H50" t="n">
        <v>2198.4</v>
      </c>
      <c r="J50" t="n">
        <v>24206.9</v>
      </c>
    </row>
    <row r="51">
      <c r="G51" s="34" t="n">
        <v>46168</v>
      </c>
      <c r="H51" t="n">
        <v>2209.4</v>
      </c>
      <c r="J51" t="n">
        <v>23913</v>
      </c>
    </row>
    <row r="52">
      <c r="G52" s="34" t="n">
        <v>46167</v>
      </c>
      <c r="H52" t="n">
        <v>2196.5</v>
      </c>
      <c r="J52" t="n">
        <v>24106.4</v>
      </c>
    </row>
    <row r="53">
      <c r="G53" s="34" t="n">
        <v>46164</v>
      </c>
      <c r="H53" t="n">
        <v>2203.6</v>
      </c>
      <c r="J53" t="n">
        <v>23801.4</v>
      </c>
    </row>
    <row r="54">
      <c r="G54" s="34" t="n">
        <v>46163</v>
      </c>
      <c r="H54" t="n">
        <v>2179</v>
      </c>
      <c r="J54" t="n">
        <v>23631.4</v>
      </c>
    </row>
    <row r="55">
      <c r="G55" s="34" t="n">
        <v>46162</v>
      </c>
      <c r="H55" t="n">
        <v>2209.3</v>
      </c>
      <c r="J55" t="n">
        <v>23846.2</v>
      </c>
    </row>
    <row r="56">
      <c r="G56" s="34" t="n">
        <v>46161</v>
      </c>
      <c r="H56" t="n">
        <v>2232.9</v>
      </c>
      <c r="J56" t="n">
        <v>23612</v>
      </c>
    </row>
    <row r="57">
      <c r="G57" s="34" t="n">
        <v>46160</v>
      </c>
      <c r="H57" t="n">
        <v>2254.2</v>
      </c>
      <c r="J57" t="n">
        <v>23740.1</v>
      </c>
    </row>
    <row r="58">
      <c r="G58" s="34" t="n">
        <v>46157</v>
      </c>
      <c r="H58" t="n">
        <v>2272.2</v>
      </c>
      <c r="J58" t="n">
        <v>23643.9</v>
      </c>
    </row>
    <row r="59">
      <c r="G59" s="34" t="n">
        <v>46156</v>
      </c>
      <c r="H59" t="n">
        <v>2248.7</v>
      </c>
      <c r="J59" t="n">
        <v>23700.1</v>
      </c>
    </row>
    <row r="60">
      <c r="G60" s="34" t="n">
        <v>46155</v>
      </c>
      <c r="H60" t="n">
        <v>2267.3</v>
      </c>
      <c r="J60" t="n">
        <v>23675.1</v>
      </c>
    </row>
    <row r="61">
      <c r="G61" s="34" t="n">
        <v>46154</v>
      </c>
      <c r="H61" t="n">
        <v>2262</v>
      </c>
      <c r="J61" t="n">
        <v>23424.7</v>
      </c>
    </row>
    <row r="62">
      <c r="G62" s="34" t="n">
        <v>46153</v>
      </c>
      <c r="H62" t="n">
        <v>2307.2</v>
      </c>
      <c r="J62" t="n">
        <v>23974.6</v>
      </c>
    </row>
    <row r="63">
      <c r="G63" s="34" t="n">
        <v>46150</v>
      </c>
      <c r="H63" t="n">
        <v>2287.7</v>
      </c>
      <c r="J63" t="n">
        <v>24339.2</v>
      </c>
    </row>
    <row r="64">
      <c r="G64" s="34" t="n">
        <v>46149</v>
      </c>
      <c r="H64" t="n">
        <v>2272.2</v>
      </c>
      <c r="J64" t="n">
        <v>24382.8</v>
      </c>
    </row>
    <row r="65">
      <c r="G65" s="34" t="n">
        <v>46148</v>
      </c>
      <c r="H65" t="n">
        <v>2317.1</v>
      </c>
      <c r="J65" t="n">
        <v>24683.8</v>
      </c>
    </row>
    <row r="66">
      <c r="G66" s="34" t="n">
        <v>46147</v>
      </c>
      <c r="H66" t="n">
        <v>2327.4</v>
      </c>
      <c r="J66" t="n">
        <v>24106.3</v>
      </c>
    </row>
    <row r="67">
      <c r="G67" s="34" t="n">
        <v>46146</v>
      </c>
      <c r="H67" t="n">
        <v>2309.3</v>
      </c>
      <c r="J67" t="n">
        <v>24312.8</v>
      </c>
    </row>
    <row r="68">
      <c r="G68" s="34" t="n">
        <v>46142</v>
      </c>
      <c r="H68" t="n">
        <v>2250.9</v>
      </c>
      <c r="J68" t="n">
        <v>24340</v>
      </c>
    </row>
    <row r="69">
      <c r="G69" s="34" t="n">
        <v>46141</v>
      </c>
      <c r="H69" t="n">
        <v>2314.4</v>
      </c>
      <c r="J69" t="n">
        <v>24528.4</v>
      </c>
    </row>
    <row r="70">
      <c r="G70" s="34" t="n">
        <v>46140</v>
      </c>
      <c r="H70" t="n">
        <v>2289.5</v>
      </c>
      <c r="J70" t="n">
        <v>24069</v>
      </c>
    </row>
    <row r="71">
      <c r="G71" s="34" t="n">
        <v>46139</v>
      </c>
      <c r="H71" t="n">
        <v>2328.3</v>
      </c>
      <c r="J71" t="n">
        <v>24209.7</v>
      </c>
    </row>
    <row r="72">
      <c r="G72" s="34" t="n">
        <v>46136</v>
      </c>
      <c r="H72" t="n">
        <v>2327.3</v>
      </c>
      <c r="J72" t="n">
        <v>24151.5</v>
      </c>
    </row>
    <row r="73">
      <c r="G73" s="34" t="n">
        <v>46135</v>
      </c>
      <c r="H73" t="n">
        <v>2366.4</v>
      </c>
      <c r="J73" t="n">
        <v>24163</v>
      </c>
    </row>
    <row r="74">
      <c r="G74" s="34" t="n">
        <v>46134</v>
      </c>
      <c r="H74" t="n">
        <v>2368.8</v>
      </c>
      <c r="J74" t="n">
        <v>24381.2</v>
      </c>
    </row>
    <row r="75">
      <c r="G75" s="34" t="n">
        <v>46133</v>
      </c>
      <c r="H75" t="n">
        <v>2310.7</v>
      </c>
      <c r="J75" t="n">
        <v>24840.1</v>
      </c>
    </row>
    <row r="76">
      <c r="G76" s="34" t="n">
        <v>46132</v>
      </c>
      <c r="H76" t="n">
        <v>2231.5</v>
      </c>
      <c r="J76" t="n">
        <v>24331.8</v>
      </c>
    </row>
    <row r="77">
      <c r="G77" s="34" t="n">
        <v>46129</v>
      </c>
      <c r="H77" t="n">
        <v>2240.8</v>
      </c>
      <c r="J77" t="n">
        <v>24368</v>
      </c>
    </row>
    <row r="78">
      <c r="G78" s="34" t="n">
        <v>46128</v>
      </c>
      <c r="H78" t="n">
        <v>2139.1</v>
      </c>
      <c r="J78" t="n">
        <v>24328.2</v>
      </c>
    </row>
    <row r="79">
      <c r="G79" s="34" t="n">
        <v>46127</v>
      </c>
      <c r="H79" t="n">
        <v>2157.6</v>
      </c>
      <c r="J79" t="n">
        <v>24237.7</v>
      </c>
    </row>
    <row r="80">
      <c r="G80" s="34" t="n">
        <v>46125</v>
      </c>
      <c r="H80" t="n">
        <v>2127.2</v>
      </c>
      <c r="J80" t="n">
        <v>24152.9</v>
      </c>
    </row>
    <row r="81">
      <c r="G81" s="34" t="n">
        <v>46122</v>
      </c>
      <c r="H81" t="n">
        <v>2155.3</v>
      </c>
      <c r="J81" t="n">
        <v>24101</v>
      </c>
    </row>
    <row r="82">
      <c r="G82" s="34" t="n">
        <v>46121</v>
      </c>
      <c r="H82" t="n">
        <v>2133.2</v>
      </c>
      <c r="J82" t="n">
        <v>23989.1</v>
      </c>
    </row>
    <row r="83">
      <c r="G83" s="34" t="n">
        <v>46120</v>
      </c>
      <c r="H83" t="n">
        <v>2145.6</v>
      </c>
      <c r="J83" t="n">
        <v>24182.5</v>
      </c>
    </row>
    <row r="84">
      <c r="G84" s="34" t="n">
        <v>46119</v>
      </c>
      <c r="H84" t="n">
        <v>2110.6</v>
      </c>
      <c r="J84" t="n">
        <v>23151.1</v>
      </c>
    </row>
    <row r="85">
      <c r="G85" s="34" t="n">
        <v>46118</v>
      </c>
      <c r="H85" t="n">
        <v>2084.8</v>
      </c>
      <c r="J85" t="n">
        <v>23347.4</v>
      </c>
    </row>
    <row r="86">
      <c r="G86" s="34" t="n">
        <v>46114</v>
      </c>
      <c r="H86" t="n">
        <v>2065.3</v>
      </c>
      <c r="J86" t="n">
        <v>22766.6</v>
      </c>
    </row>
    <row r="87">
      <c r="G87" s="34" t="n">
        <v>46113</v>
      </c>
      <c r="H87" t="n">
        <v>2064.7</v>
      </c>
      <c r="J87" t="n">
        <v>22934.8</v>
      </c>
    </row>
    <row r="88">
      <c r="G88" s="34" t="n">
        <v>46111</v>
      </c>
      <c r="H88" t="n">
        <v>2055.2</v>
      </c>
      <c r="J88" t="n">
        <v>22318.4</v>
      </c>
    </row>
    <row r="89">
      <c r="G89" s="34" t="n">
        <v>46108</v>
      </c>
      <c r="H89" t="n">
        <v>2074.4</v>
      </c>
      <c r="J89" t="n">
        <v>23043.9</v>
      </c>
    </row>
    <row r="90">
      <c r="G90" s="34" t="n">
        <v>46106</v>
      </c>
      <c r="H90" t="n">
        <v>2134.8</v>
      </c>
      <c r="J90" t="n">
        <v>23300</v>
      </c>
    </row>
    <row r="91">
      <c r="G91" s="34" t="n">
        <v>46105</v>
      </c>
      <c r="H91" t="n">
        <v>2085</v>
      </c>
      <c r="J91" t="n">
        <v>23055.9</v>
      </c>
    </row>
    <row r="92">
      <c r="G92" s="34" t="n">
        <v>46104</v>
      </c>
      <c r="H92" t="n">
        <v>2052.2</v>
      </c>
      <c r="J92" t="n">
        <v>22648.2</v>
      </c>
    </row>
    <row r="93">
      <c r="G93" s="34" t="n">
        <v>46101</v>
      </c>
      <c r="H93" t="n">
        <v>2082.7</v>
      </c>
      <c r="J93" t="n">
        <v>23140.5</v>
      </c>
    </row>
    <row r="94">
      <c r="G94" s="34" t="n">
        <v>46100</v>
      </c>
      <c r="H94" t="n">
        <v>2077.3</v>
      </c>
      <c r="J94" t="n">
        <v>23333</v>
      </c>
    </row>
    <row r="95">
      <c r="G95" s="34" t="n">
        <v>46099</v>
      </c>
      <c r="H95" t="n">
        <v>2135.3</v>
      </c>
      <c r="J95" t="n">
        <v>23776.4</v>
      </c>
    </row>
    <row r="96">
      <c r="G96" s="34" t="n">
        <v>46098</v>
      </c>
      <c r="H96" t="n">
        <v>2158.2</v>
      </c>
      <c r="J96" t="n">
        <v>23767.4</v>
      </c>
    </row>
    <row r="97">
      <c r="G97" s="34" t="n">
        <v>46097</v>
      </c>
      <c r="H97" t="n">
        <v>2175.7</v>
      </c>
      <c r="J97" t="n">
        <v>23429.2</v>
      </c>
    </row>
    <row r="98">
      <c r="G98" s="34" t="n">
        <v>46094</v>
      </c>
      <c r="H98" t="n">
        <v>2160</v>
      </c>
      <c r="J98" t="n">
        <v>23199.3</v>
      </c>
    </row>
    <row r="99">
      <c r="G99" s="34" t="n">
        <v>46093</v>
      </c>
      <c r="H99" t="n">
        <v>2136.9</v>
      </c>
      <c r="J99" t="n">
        <v>24010.3</v>
      </c>
    </row>
    <row r="100">
      <c r="G100" s="34" t="n">
        <v>46092</v>
      </c>
      <c r="H100" t="n">
        <v>2161.4</v>
      </c>
      <c r="J100" t="n">
        <v>23939.1</v>
      </c>
    </row>
    <row r="101">
      <c r="G101" s="34" t="n">
        <v>46091</v>
      </c>
      <c r="H101" t="n">
        <v>2190.2</v>
      </c>
      <c r="J101" t="n">
        <v>24545.6</v>
      </c>
    </row>
    <row r="102">
      <c r="G102" s="34" t="n">
        <v>46090</v>
      </c>
      <c r="H102" t="n">
        <v>2194.6</v>
      </c>
      <c r="J102" t="n">
        <v>24285.8</v>
      </c>
    </row>
    <row r="103">
      <c r="G103" s="34" t="n">
        <v>46087</v>
      </c>
      <c r="H103" t="n">
        <v>2225.7</v>
      </c>
      <c r="J103" t="n">
        <v>24545.7</v>
      </c>
    </row>
    <row r="104">
      <c r="G104" s="34" t="n">
        <v>46086</v>
      </c>
      <c r="H104" t="n">
        <v>2255</v>
      </c>
      <c r="J104" t="n">
        <v>25118.5</v>
      </c>
    </row>
    <row r="105">
      <c r="G105" s="34" t="n">
        <v>46085</v>
      </c>
      <c r="H105" t="n">
        <v>2261.3</v>
      </c>
      <c r="J105" t="n">
        <v>24584.7</v>
      </c>
    </row>
    <row r="106">
      <c r="G106" s="34" t="n">
        <v>46083</v>
      </c>
      <c r="H106" t="n">
        <v>2320.6</v>
      </c>
      <c r="J106" t="n">
        <v>25140.2</v>
      </c>
    </row>
    <row r="107">
      <c r="G107" s="34" t="n">
        <v>46080</v>
      </c>
      <c r="H107" t="n">
        <v>2338.1</v>
      </c>
      <c r="J107" t="n">
        <v>25598.2</v>
      </c>
    </row>
    <row r="108">
      <c r="G108" s="34" t="n">
        <v>46079</v>
      </c>
      <c r="H108" t="n">
        <v>2383.3</v>
      </c>
      <c r="J108" t="n">
        <v>25912.5</v>
      </c>
    </row>
    <row r="109">
      <c r="G109" s="34" t="n">
        <v>46078</v>
      </c>
      <c r="H109" t="n">
        <v>2374.9</v>
      </c>
      <c r="J109" t="n">
        <v>25791.8</v>
      </c>
    </row>
    <row r="110">
      <c r="G110" s="34" t="n">
        <v>46077</v>
      </c>
      <c r="H110" t="n">
        <v>2358.6</v>
      </c>
      <c r="J110" t="n">
        <v>25600.3</v>
      </c>
    </row>
    <row r="111">
      <c r="G111" s="34" t="n">
        <v>46076</v>
      </c>
      <c r="H111" t="n">
        <v>2345.4</v>
      </c>
      <c r="J111" t="n">
        <v>26015</v>
      </c>
    </row>
    <row r="112">
      <c r="G112" s="34" t="n">
        <v>46073</v>
      </c>
      <c r="H112" t="n">
        <v>2314.5</v>
      </c>
      <c r="J112" t="n">
        <v>25584.7</v>
      </c>
    </row>
    <row r="113">
      <c r="G113" s="34" t="n">
        <v>46072</v>
      </c>
      <c r="H113" t="n">
        <v>2279.3</v>
      </c>
      <c r="J113" t="n">
        <v>25446</v>
      </c>
    </row>
    <row r="114">
      <c r="G114" s="34" t="n">
        <v>46071</v>
      </c>
      <c r="H114" t="n">
        <v>2323.5</v>
      </c>
      <c r="J114" t="n">
        <v>26144.5</v>
      </c>
    </row>
    <row r="115">
      <c r="G115" s="34" t="n">
        <v>46070</v>
      </c>
      <c r="H115" t="n">
        <v>2312.3</v>
      </c>
      <c r="J115" t="n">
        <v>25898.7</v>
      </c>
    </row>
    <row r="116">
      <c r="G116" s="34" t="n">
        <v>46069</v>
      </c>
      <c r="H116" t="n">
        <v>2319</v>
      </c>
      <c r="J116" t="n">
        <v>25879</v>
      </c>
    </row>
    <row r="117">
      <c r="G117" s="34" t="n">
        <v>46066</v>
      </c>
      <c r="H117" t="n">
        <v>2305.2</v>
      </c>
      <c r="J117" t="n">
        <v>25688.6</v>
      </c>
    </row>
    <row r="118">
      <c r="G118" s="34" t="n">
        <v>46065</v>
      </c>
      <c r="H118" t="n">
        <v>2409.7</v>
      </c>
      <c r="J118" t="n">
        <v>26025.3</v>
      </c>
    </row>
    <row r="119">
      <c r="G119" s="34" t="n">
        <v>46064</v>
      </c>
      <c r="H119" t="n">
        <v>2462.9</v>
      </c>
      <c r="J119" t="n">
        <v>26151</v>
      </c>
    </row>
    <row r="120">
      <c r="G120" s="34" t="n">
        <v>46063</v>
      </c>
      <c r="H120" t="n">
        <v>2453.6</v>
      </c>
      <c r="J120" t="n">
        <v>26295.3</v>
      </c>
    </row>
    <row r="121">
      <c r="G121" s="34" t="n">
        <v>46062</v>
      </c>
      <c r="H121" t="n">
        <v>2435</v>
      </c>
      <c r="J121" t="n">
        <v>26068.8</v>
      </c>
    </row>
    <row r="122">
      <c r="G122" s="34" t="n">
        <v>46059</v>
      </c>
      <c r="H122" t="n">
        <v>2424.2</v>
      </c>
      <c r="J122" t="n">
        <v>26045.5</v>
      </c>
    </row>
    <row r="123">
      <c r="G123" s="34" t="n">
        <v>46058</v>
      </c>
      <c r="H123" t="n">
        <v>2354.4</v>
      </c>
      <c r="J123" t="n">
        <v>25725</v>
      </c>
    </row>
    <row r="124">
      <c r="G124" s="34" t="n">
        <v>46057</v>
      </c>
      <c r="H124" t="n">
        <v>2371</v>
      </c>
      <c r="J124" t="n">
        <v>25848.8</v>
      </c>
    </row>
    <row r="125">
      <c r="G125" s="34" t="n">
        <v>46056</v>
      </c>
      <c r="H125" t="n">
        <v>2368.6</v>
      </c>
      <c r="J125" t="n">
        <v>25976.7</v>
      </c>
    </row>
    <row r="126">
      <c r="G126" s="34" t="n">
        <v>46055</v>
      </c>
      <c r="H126" t="n">
        <v>2357.3</v>
      </c>
      <c r="J126" t="n">
        <v>25297.4</v>
      </c>
    </row>
    <row r="127">
      <c r="G127" s="34" t="n">
        <v>46054</v>
      </c>
      <c r="H127" t="n">
        <v>2350.7</v>
      </c>
      <c r="J127" t="n">
        <v>25029.6</v>
      </c>
    </row>
    <row r="128">
      <c r="G128" s="34" t="n">
        <v>46052</v>
      </c>
      <c r="H128" t="n">
        <v>2373</v>
      </c>
      <c r="J128" t="n">
        <v>25582.8</v>
      </c>
    </row>
    <row r="129">
      <c r="G129" s="34" t="n">
        <v>46051</v>
      </c>
      <c r="H129" t="n">
        <v>2352.6</v>
      </c>
      <c r="J129" t="n">
        <v>25707.1</v>
      </c>
    </row>
    <row r="130">
      <c r="G130" s="34" t="n">
        <v>46050</v>
      </c>
      <c r="H130" t="n">
        <v>2378.4</v>
      </c>
      <c r="J130" t="n">
        <v>25778.8</v>
      </c>
    </row>
    <row r="131">
      <c r="G131" s="34" t="n">
        <v>46049</v>
      </c>
      <c r="H131" t="n">
        <v>2400.9</v>
      </c>
      <c r="J131" t="n">
        <v>25569.3</v>
      </c>
    </row>
    <row r="132">
      <c r="G132" s="34" t="n">
        <v>46045</v>
      </c>
      <c r="H132" t="n">
        <v>2409.5</v>
      </c>
      <c r="J132" t="n">
        <v>25202.6</v>
      </c>
    </row>
    <row r="133">
      <c r="G133" s="34" t="n">
        <v>46044</v>
      </c>
      <c r="H133" t="n">
        <v>2390.6</v>
      </c>
      <c r="J133" t="n">
        <v>25688.4</v>
      </c>
    </row>
    <row r="134">
      <c r="G134" s="34" t="n">
        <v>46043</v>
      </c>
      <c r="H134" t="n">
        <v>2368</v>
      </c>
      <c r="J134" t="n">
        <v>25397.9</v>
      </c>
    </row>
    <row r="135">
      <c r="G135" s="34" t="n">
        <v>46042</v>
      </c>
      <c r="H135" t="n">
        <v>2379.1</v>
      </c>
      <c r="J135" t="n">
        <v>25737.8</v>
      </c>
    </row>
    <row r="136">
      <c r="G136" s="34" t="n">
        <v>46041</v>
      </c>
      <c r="H136" t="n">
        <v>2413.9</v>
      </c>
      <c r="J136" t="n">
        <v>26071.1</v>
      </c>
    </row>
    <row r="137">
      <c r="G137" s="34" t="n">
        <v>46038</v>
      </c>
      <c r="H137" t="n">
        <v>2360.4</v>
      </c>
      <c r="J137" t="n">
        <v>26046.9</v>
      </c>
    </row>
    <row r="138">
      <c r="G138" s="34" t="n">
        <v>46036</v>
      </c>
      <c r="H138" t="n">
        <v>2353.5</v>
      </c>
      <c r="J138" t="n">
        <v>26109</v>
      </c>
    </row>
    <row r="139">
      <c r="G139" s="34" t="n">
        <v>46035</v>
      </c>
      <c r="H139" t="n">
        <v>2389.5</v>
      </c>
      <c r="J139" t="n">
        <v>25876</v>
      </c>
    </row>
    <row r="140">
      <c r="G140" s="34" t="n">
        <v>46034</v>
      </c>
      <c r="H140" t="n">
        <v>2406.2</v>
      </c>
      <c r="J140" t="n">
        <v>25933.6</v>
      </c>
    </row>
    <row r="141">
      <c r="G141" s="34" t="n">
        <v>46031</v>
      </c>
      <c r="H141" t="n">
        <v>2372.6</v>
      </c>
      <c r="J141" t="n">
        <v>26327.4</v>
      </c>
    </row>
    <row r="142">
      <c r="G142" s="34" t="n">
        <v>46030</v>
      </c>
      <c r="H142" t="n">
        <v>2386.7</v>
      </c>
      <c r="J142" t="n">
        <v>26567.7</v>
      </c>
    </row>
    <row r="143">
      <c r="G143" s="34" t="n">
        <v>46029</v>
      </c>
      <c r="H143" t="n">
        <v>2399.4</v>
      </c>
      <c r="J143" t="n">
        <v>26285.1</v>
      </c>
    </row>
    <row r="144">
      <c r="G144" s="34" t="n">
        <v>46028</v>
      </c>
      <c r="H144" t="n">
        <v>2424.7</v>
      </c>
      <c r="J144" t="n">
        <v>26331.3</v>
      </c>
    </row>
    <row r="145">
      <c r="G145" s="34" t="n">
        <v>46027</v>
      </c>
      <c r="H145" t="n">
        <v>2384.1</v>
      </c>
      <c r="J145" t="n">
        <v>26591.5</v>
      </c>
    </row>
    <row r="146">
      <c r="G146" s="34" t="n">
        <v>46024</v>
      </c>
      <c r="H146" t="n">
        <v>2348</v>
      </c>
      <c r="J146" t="n">
        <v>26436.9</v>
      </c>
    </row>
    <row r="147">
      <c r="G147" s="34" t="n">
        <v>46023</v>
      </c>
      <c r="H147" t="n">
        <v>2323</v>
      </c>
      <c r="J147" t="n">
        <v>26296.3</v>
      </c>
    </row>
    <row r="148">
      <c r="G148" s="34" t="n">
        <v>46022</v>
      </c>
      <c r="H148" t="n">
        <v>2315.9</v>
      </c>
      <c r="J148" t="n">
        <v>26258.4</v>
      </c>
    </row>
    <row r="149">
      <c r="G149" s="34" t="n">
        <v>46021</v>
      </c>
      <c r="H149" t="n">
        <v>2290.2</v>
      </c>
      <c r="J149" t="n">
        <v>26265.4</v>
      </c>
    </row>
    <row r="150">
      <c r="G150" s="34" t="n">
        <v>46020</v>
      </c>
      <c r="H150" t="n">
        <v>2293.3</v>
      </c>
      <c r="J150" t="n">
        <v>26060.2</v>
      </c>
    </row>
    <row r="151">
      <c r="G151" s="34" t="n">
        <v>46017</v>
      </c>
      <c r="H151" t="n">
        <v>2285.4</v>
      </c>
      <c r="J151" t="n">
        <v>26498.6</v>
      </c>
    </row>
    <row r="152">
      <c r="G152" s="34" t="n">
        <v>46015</v>
      </c>
      <c r="H152" t="n">
        <v>2282.2</v>
      </c>
      <c r="J152" t="n">
        <v>26392.8</v>
      </c>
    </row>
    <row r="153">
      <c r="G153" s="34" t="n">
        <v>46014</v>
      </c>
      <c r="H153" t="n">
        <v>2302.6</v>
      </c>
      <c r="J153" t="n">
        <v>26197.9</v>
      </c>
    </row>
    <row r="154">
      <c r="G154" s="34" t="n">
        <v>46013</v>
      </c>
      <c r="H154" t="n">
        <v>2289.5</v>
      </c>
      <c r="J154" t="n">
        <v>26331.5</v>
      </c>
    </row>
    <row r="155">
      <c r="G155" s="34" t="n">
        <v>46010</v>
      </c>
      <c r="H155" t="n">
        <v>2280</v>
      </c>
      <c r="J155" t="n">
        <v>25880.6</v>
      </c>
    </row>
    <row r="156">
      <c r="G156" s="34" t="n">
        <v>46009</v>
      </c>
      <c r="H156" t="n">
        <v>2265.5</v>
      </c>
      <c r="J156" t="n">
        <v>26061.8</v>
      </c>
    </row>
    <row r="157">
      <c r="G157" s="34" t="n">
        <v>46008</v>
      </c>
      <c r="H157" t="n">
        <v>2275.6</v>
      </c>
      <c r="J157" t="n">
        <v>26112.9</v>
      </c>
    </row>
    <row r="158">
      <c r="G158" s="34" t="n">
        <v>46007</v>
      </c>
      <c r="H158" t="n">
        <v>2281.1</v>
      </c>
      <c r="J158" t="n">
        <v>26407.3</v>
      </c>
    </row>
    <row r="159">
      <c r="G159" s="34" t="n">
        <v>46006</v>
      </c>
      <c r="H159" t="n">
        <v>2293.5</v>
      </c>
      <c r="J159" t="n">
        <v>26145.4</v>
      </c>
    </row>
    <row r="160">
      <c r="G160" s="34" t="n">
        <v>46003</v>
      </c>
      <c r="H160" t="n">
        <v>2260.6</v>
      </c>
      <c r="J160" t="n">
        <v>26009.5</v>
      </c>
    </row>
    <row r="161">
      <c r="G161" s="34" t="n">
        <v>46002</v>
      </c>
      <c r="H161" t="n">
        <v>2305.6</v>
      </c>
      <c r="J161" t="n">
        <v>26032.4</v>
      </c>
    </row>
    <row r="162">
      <c r="G162" s="34" t="n">
        <v>46001</v>
      </c>
      <c r="H162" t="n">
        <v>2301.7</v>
      </c>
      <c r="J162" t="n">
        <v>25960.2</v>
      </c>
    </row>
    <row r="163">
      <c r="G163" s="34" t="n">
        <v>46000</v>
      </c>
      <c r="H163" t="n">
        <v>2306.5</v>
      </c>
      <c r="J163" t="n">
        <v>26064.7</v>
      </c>
    </row>
    <row r="164">
      <c r="G164" s="34" t="n">
        <v>45999</v>
      </c>
      <c r="H164" t="n">
        <v>2314</v>
      </c>
      <c r="J164" t="n">
        <v>26333.2</v>
      </c>
    </row>
    <row r="165">
      <c r="G165" s="34" t="n">
        <v>45996</v>
      </c>
      <c r="H165" t="n">
        <v>2338.6</v>
      </c>
      <c r="J165" t="n">
        <v>26350.5</v>
      </c>
    </row>
    <row r="166">
      <c r="G166" s="34" t="n">
        <v>45995</v>
      </c>
      <c r="H166" t="n">
        <v>2462.2</v>
      </c>
      <c r="J166" t="n">
        <v>26302.6</v>
      </c>
    </row>
    <row r="167">
      <c r="G167" s="34" t="n">
        <v>45994</v>
      </c>
      <c r="H167" t="n">
        <v>2448</v>
      </c>
      <c r="J167" t="n">
        <v>26530</v>
      </c>
    </row>
    <row r="168">
      <c r="G168" s="34" t="n">
        <v>45993</v>
      </c>
      <c r="H168" t="n">
        <v>2477.8</v>
      </c>
      <c r="J168" t="n">
        <v>26503.1</v>
      </c>
    </row>
    <row r="169">
      <c r="G169" s="34" t="n">
        <v>45992</v>
      </c>
      <c r="H169" t="n">
        <v>2464.5</v>
      </c>
      <c r="J169" t="n">
        <v>26387.4</v>
      </c>
    </row>
    <row r="170">
      <c r="G170" s="34" t="n">
        <v>45989</v>
      </c>
      <c r="H170" t="n">
        <v>2466.6</v>
      </c>
      <c r="J170" t="n">
        <v>26699.1</v>
      </c>
    </row>
    <row r="171">
      <c r="G171" s="34" t="n">
        <v>45988</v>
      </c>
      <c r="H171" t="n">
        <v>2451.7</v>
      </c>
      <c r="J171" t="n">
        <v>26381.2</v>
      </c>
    </row>
    <row r="172">
      <c r="G172" s="34" t="n">
        <v>45987</v>
      </c>
      <c r="H172" t="n">
        <v>2425.2</v>
      </c>
      <c r="J172" t="n">
        <v>25886.8</v>
      </c>
    </row>
    <row r="173">
      <c r="G173" s="34" t="n">
        <v>45986</v>
      </c>
      <c r="H173" t="n">
        <v>2414.1</v>
      </c>
      <c r="J173" t="n">
        <v>26358.6</v>
      </c>
    </row>
    <row r="174">
      <c r="G174" s="34" t="n">
        <v>45985</v>
      </c>
      <c r="H174" t="n">
        <v>2424.2</v>
      </c>
      <c r="J174" t="n">
        <v>26077.5</v>
      </c>
    </row>
    <row r="175">
      <c r="G175" s="34" t="n">
        <v>45982</v>
      </c>
      <c r="H175" t="n">
        <v>2433.7</v>
      </c>
      <c r="J175" t="n">
        <v>26220.8</v>
      </c>
    </row>
    <row r="176">
      <c r="G176" s="34" t="n">
        <v>45981</v>
      </c>
      <c r="H176" t="n">
        <v>2428.4</v>
      </c>
      <c r="J176" t="n">
        <v>26415</v>
      </c>
    </row>
    <row r="177">
      <c r="G177" s="34" t="n">
        <v>45980</v>
      </c>
      <c r="H177" t="n">
        <v>2441.6</v>
      </c>
      <c r="J177" t="n">
        <v>26316.4</v>
      </c>
    </row>
    <row r="178">
      <c r="G178" s="34" t="n">
        <v>45979</v>
      </c>
      <c r="H178" t="n">
        <v>2404</v>
      </c>
      <c r="J178" t="n">
        <v>26240</v>
      </c>
    </row>
    <row r="179">
      <c r="G179" s="34" t="n">
        <v>45978</v>
      </c>
      <c r="H179" t="n">
        <v>2425</v>
      </c>
      <c r="J179" t="n">
        <v>25951.4</v>
      </c>
    </row>
    <row r="180">
      <c r="G180" s="34" t="n">
        <v>45975</v>
      </c>
      <c r="H180" t="n">
        <v>2427.7</v>
      </c>
      <c r="J180" t="n">
        <v>26134.9</v>
      </c>
    </row>
    <row r="181">
      <c r="G181" s="34" t="n">
        <v>45974</v>
      </c>
      <c r="H181" t="n">
        <v>2407.6</v>
      </c>
      <c r="J181" t="n">
        <v>25986.1</v>
      </c>
    </row>
    <row r="182">
      <c r="G182" s="34" t="n">
        <v>45973</v>
      </c>
      <c r="H182" t="n">
        <v>2424.5</v>
      </c>
      <c r="J182" t="n">
        <v>26165</v>
      </c>
    </row>
    <row r="183">
      <c r="G183" s="34" t="n">
        <v>45972</v>
      </c>
      <c r="H183" t="n">
        <v>2427.5</v>
      </c>
      <c r="J183" t="n">
        <v>25882.9</v>
      </c>
    </row>
    <row r="184">
      <c r="G184" s="34" t="n">
        <v>45971</v>
      </c>
      <c r="H184" t="n">
        <v>2408.8</v>
      </c>
      <c r="J184" t="n">
        <v>25589.2</v>
      </c>
    </row>
    <row r="185">
      <c r="G185" s="34" t="n">
        <v>45968</v>
      </c>
      <c r="H185" t="n">
        <v>2414</v>
      </c>
      <c r="J185" t="n">
        <v>25807.1</v>
      </c>
    </row>
    <row r="186">
      <c r="G186" s="34" t="n">
        <v>45967</v>
      </c>
      <c r="H186" t="n">
        <v>2436</v>
      </c>
      <c r="J186" t="n">
        <v>25708.3</v>
      </c>
    </row>
    <row r="187">
      <c r="G187" s="34" t="n">
        <v>45965</v>
      </c>
      <c r="H187" t="n">
        <v>2445.7</v>
      </c>
      <c r="J187" t="n">
        <v>25898.9</v>
      </c>
    </row>
    <row r="188">
      <c r="G188" s="34" t="n">
        <v>45964</v>
      </c>
      <c r="H188" t="n">
        <v>2460</v>
      </c>
      <c r="J188" t="n">
        <v>26088.5</v>
      </c>
    </row>
    <row r="189">
      <c r="G189" s="34" t="n">
        <v>45961</v>
      </c>
      <c r="H189" t="n">
        <v>2465.5</v>
      </c>
      <c r="J189" t="n">
        <v>26031.6</v>
      </c>
    </row>
    <row r="190">
      <c r="G190" s="34" t="n">
        <v>45960</v>
      </c>
      <c r="H190" t="n">
        <v>2469.6</v>
      </c>
      <c r="J190" t="n">
        <v>26577.4</v>
      </c>
    </row>
    <row r="191">
      <c r="G191" s="34" t="n">
        <v>45959</v>
      </c>
      <c r="H191" t="n">
        <v>2488.1</v>
      </c>
      <c r="J191" t="n">
        <v>26090.1</v>
      </c>
    </row>
    <row r="192">
      <c r="G192" s="34" t="n">
        <v>45958</v>
      </c>
      <c r="H192" t="n">
        <v>2497.1</v>
      </c>
      <c r="J192" t="n">
        <v>26347.3</v>
      </c>
    </row>
    <row r="193">
      <c r="G193" s="34" t="n">
        <v>45957</v>
      </c>
      <c r="H193" t="n">
        <v>2511.8</v>
      </c>
      <c r="J193" t="n">
        <v>26130.2</v>
      </c>
    </row>
    <row r="194">
      <c r="G194" s="34" t="n">
        <v>45954</v>
      </c>
      <c r="H194" t="n">
        <v>2516.4</v>
      </c>
      <c r="J194" t="n">
        <v>26279.8</v>
      </c>
    </row>
    <row r="195">
      <c r="G195" s="34" t="n">
        <v>45953</v>
      </c>
      <c r="H195" t="n">
        <v>2601.6</v>
      </c>
      <c r="J195" t="n">
        <v>26194.8</v>
      </c>
    </row>
    <row r="196">
      <c r="G196" s="34" t="n">
        <v>45951</v>
      </c>
      <c r="H196" t="n">
        <v>2591.7</v>
      </c>
      <c r="J196" t="n">
        <v>26046.3</v>
      </c>
    </row>
    <row r="197">
      <c r="G197" s="34" t="n">
        <v>45950</v>
      </c>
      <c r="H197" t="n">
        <v>2594.4</v>
      </c>
      <c r="J197" t="n">
        <v>25757.8</v>
      </c>
    </row>
    <row r="198">
      <c r="G198" s="34" t="n">
        <v>45947</v>
      </c>
      <c r="H198" t="n">
        <v>2603.7</v>
      </c>
      <c r="J198" t="n">
        <v>25943.1</v>
      </c>
    </row>
    <row r="199">
      <c r="G199" s="34" t="n">
        <v>45946</v>
      </c>
      <c r="H199" t="n">
        <v>2561.5</v>
      </c>
      <c r="J199" t="n">
        <v>25713.6</v>
      </c>
    </row>
    <row r="200">
      <c r="G200" s="34" t="n">
        <v>45945</v>
      </c>
      <c r="H200" t="n">
        <v>2519</v>
      </c>
      <c r="J200" t="n">
        <v>25503.4</v>
      </c>
    </row>
    <row r="201">
      <c r="G201" s="34" t="n">
        <v>45944</v>
      </c>
      <c r="H201" t="n">
        <v>2502.3</v>
      </c>
      <c r="J201" t="n">
        <v>25309.3</v>
      </c>
    </row>
    <row r="202">
      <c r="G202" s="34" t="n">
        <v>45943</v>
      </c>
      <c r="H202" t="n">
        <v>2492.8</v>
      </c>
      <c r="J202" t="n">
        <v>25540.1</v>
      </c>
    </row>
    <row r="203">
      <c r="G203" s="34" t="n">
        <v>45940</v>
      </c>
      <c r="H203" t="n">
        <v>2528.9</v>
      </c>
      <c r="J203" t="n">
        <v>25403</v>
      </c>
    </row>
    <row r="204">
      <c r="G204" s="34" t="n">
        <v>45939</v>
      </c>
      <c r="H204" t="n">
        <v>2517.6</v>
      </c>
      <c r="J204" t="n">
        <v>25247.7</v>
      </c>
    </row>
    <row r="205">
      <c r="G205" s="34" t="n">
        <v>45938</v>
      </c>
      <c r="H205" t="n">
        <v>2500.1</v>
      </c>
      <c r="J205" t="n">
        <v>25514.5</v>
      </c>
    </row>
    <row r="206">
      <c r="G206" s="34" t="n">
        <v>45937</v>
      </c>
      <c r="H206" t="n">
        <v>2517.2</v>
      </c>
      <c r="J206" t="n">
        <v>25314.2</v>
      </c>
    </row>
    <row r="207">
      <c r="G207" s="34" t="n">
        <v>45936</v>
      </c>
      <c r="H207" t="n">
        <v>2541.8</v>
      </c>
      <c r="J207" t="n">
        <v>25290.7</v>
      </c>
    </row>
    <row r="208">
      <c r="G208" s="34" t="n">
        <v>45933</v>
      </c>
      <c r="H208" t="n">
        <v>2544.9</v>
      </c>
      <c r="J208" t="n">
        <v>24967.2</v>
      </c>
    </row>
    <row r="209">
      <c r="G209" s="34" t="n">
        <v>45931</v>
      </c>
      <c r="H209" t="n">
        <v>2536.2</v>
      </c>
      <c r="J209" t="n">
        <v>24914.3</v>
      </c>
    </row>
    <row r="210">
      <c r="G210" s="34" t="n">
        <v>45930</v>
      </c>
      <c r="H210" t="n">
        <v>2514.4</v>
      </c>
      <c r="J210" t="n">
        <v>24944.8</v>
      </c>
    </row>
    <row r="211">
      <c r="G211" s="34" t="n">
        <v>45929</v>
      </c>
      <c r="H211" t="n">
        <v>2497.9</v>
      </c>
      <c r="J211" t="n">
        <v>24812</v>
      </c>
    </row>
    <row r="212">
      <c r="G212" s="34" t="n">
        <v>45926</v>
      </c>
      <c r="H212" t="n">
        <v>2511.8</v>
      </c>
      <c r="J212" t="n">
        <v>25093.7</v>
      </c>
    </row>
    <row r="213">
      <c r="G213" s="34" t="n">
        <v>45925</v>
      </c>
      <c r="H213" t="n">
        <v>2538.3</v>
      </c>
      <c r="J213" t="n">
        <v>25373.6</v>
      </c>
    </row>
    <row r="214">
      <c r="G214" s="34" t="n">
        <v>45924</v>
      </c>
      <c r="H214" t="n">
        <v>2549.5</v>
      </c>
      <c r="J214" t="n">
        <v>25383.3</v>
      </c>
    </row>
    <row r="215">
      <c r="G215" s="34" t="n">
        <v>45923</v>
      </c>
      <c r="H215" t="n">
        <v>2522.2</v>
      </c>
      <c r="J215" t="n">
        <v>25403.4</v>
      </c>
    </row>
    <row r="216">
      <c r="G216" s="34" t="n">
        <v>45922</v>
      </c>
      <c r="H216" t="n">
        <v>2572.2</v>
      </c>
      <c r="J216" t="n">
        <v>25534.5</v>
      </c>
    </row>
    <row r="217">
      <c r="G217" s="34" t="n">
        <v>45919</v>
      </c>
      <c r="H217" t="n">
        <v>2559.6</v>
      </c>
      <c r="J217" t="n">
        <v>25510.9</v>
      </c>
    </row>
    <row r="218">
      <c r="G218" s="34" t="n">
        <v>45918</v>
      </c>
      <c r="H218" t="n">
        <v>2586.8</v>
      </c>
      <c r="J218" t="n">
        <v>25540</v>
      </c>
    </row>
    <row r="219">
      <c r="G219" s="34" t="n">
        <v>45917</v>
      </c>
      <c r="H219" t="n">
        <v>2569.7</v>
      </c>
      <c r="J219" t="n">
        <v>25331.4</v>
      </c>
    </row>
    <row r="220">
      <c r="G220" s="34" t="n">
        <v>45916</v>
      </c>
      <c r="H220" t="n">
        <v>2580.9</v>
      </c>
      <c r="J220" t="n">
        <v>25284</v>
      </c>
    </row>
    <row r="221">
      <c r="G221" s="34" t="n">
        <v>45915</v>
      </c>
      <c r="H221" t="n">
        <v>2581</v>
      </c>
      <c r="J221" t="n">
        <v>25438.8</v>
      </c>
    </row>
    <row r="222">
      <c r="G222" s="34" t="n">
        <v>45912</v>
      </c>
      <c r="H222" t="n">
        <v>2580.5</v>
      </c>
      <c r="J222" t="n">
        <v>25104.5</v>
      </c>
    </row>
    <row r="223">
      <c r="G223" s="34" t="n">
        <v>45911</v>
      </c>
      <c r="H223" t="n">
        <v>2622</v>
      </c>
      <c r="J223" t="n">
        <v>25072.3</v>
      </c>
    </row>
    <row r="224">
      <c r="G224" s="34" t="n">
        <v>45910</v>
      </c>
      <c r="H224" t="n">
        <v>2643.5</v>
      </c>
      <c r="J224" t="n">
        <v>24950.3</v>
      </c>
    </row>
    <row r="225">
      <c r="G225" s="34" t="n">
        <v>45909</v>
      </c>
      <c r="H225" t="n">
        <v>2642</v>
      </c>
      <c r="J225" t="n">
        <v>24892.7</v>
      </c>
    </row>
    <row r="226">
      <c r="G226" s="34" t="n">
        <v>45908</v>
      </c>
      <c r="H226" t="n">
        <v>2623.9</v>
      </c>
      <c r="J226" t="n">
        <v>24964.5</v>
      </c>
    </row>
    <row r="227">
      <c r="G227" s="34" t="n">
        <v>45905</v>
      </c>
      <c r="H227" t="n">
        <v>2633.4</v>
      </c>
      <c r="J227" t="n">
        <v>24827.5</v>
      </c>
    </row>
    <row r="228">
      <c r="G228" s="34" t="n">
        <v>45904</v>
      </c>
      <c r="H228" t="n">
        <v>2666.6</v>
      </c>
      <c r="J228" t="n">
        <v>24933</v>
      </c>
    </row>
    <row r="229">
      <c r="G229" s="34" t="n">
        <v>45903</v>
      </c>
      <c r="H229" t="n">
        <v>2664.7</v>
      </c>
      <c r="J229" t="n">
        <v>24808.9</v>
      </c>
    </row>
    <row r="230">
      <c r="G230" s="34" t="n">
        <v>45902</v>
      </c>
      <c r="H230" t="n">
        <v>2677</v>
      </c>
      <c r="J230" t="n">
        <v>24990.6</v>
      </c>
    </row>
    <row r="231">
      <c r="G231" s="34" t="n">
        <v>45901</v>
      </c>
      <c r="H231" t="n">
        <v>2649.5</v>
      </c>
      <c r="J231" t="n">
        <v>24684.3</v>
      </c>
    </row>
    <row r="232">
      <c r="G232" s="34" t="n">
        <v>45898</v>
      </c>
      <c r="H232" t="n">
        <v>2659.8</v>
      </c>
      <c r="J232" t="n">
        <v>24651.7</v>
      </c>
    </row>
    <row r="233">
      <c r="G233" s="34" t="n">
        <v>45897</v>
      </c>
      <c r="H233" t="n">
        <v>2654.4</v>
      </c>
      <c r="J233" t="n">
        <v>24857.5</v>
      </c>
    </row>
    <row r="234">
      <c r="G234" s="34" t="n">
        <v>45895</v>
      </c>
      <c r="H234" t="n">
        <v>2692.6</v>
      </c>
      <c r="J234" t="n">
        <v>24989.7</v>
      </c>
    </row>
    <row r="235">
      <c r="G235" s="34" t="n">
        <v>45894</v>
      </c>
      <c r="H235" t="n">
        <v>2631.6</v>
      </c>
      <c r="J235" t="n">
        <v>25039.2</v>
      </c>
    </row>
    <row r="236">
      <c r="G236" s="34" t="n">
        <v>45891</v>
      </c>
      <c r="H236" t="n">
        <v>2629.9</v>
      </c>
      <c r="J236" t="n">
        <v>25386.3</v>
      </c>
    </row>
    <row r="237">
      <c r="G237" s="34" t="n">
        <v>45890</v>
      </c>
      <c r="H237" t="n">
        <v>2648</v>
      </c>
      <c r="J237" t="n">
        <v>25083.3</v>
      </c>
    </row>
    <row r="238">
      <c r="G238" s="34" t="n">
        <v>45889</v>
      </c>
      <c r="H238" t="n">
        <v>2669.8</v>
      </c>
      <c r="J238" t="n">
        <v>25174.6</v>
      </c>
    </row>
    <row r="239">
      <c r="G239" s="34" t="n">
        <v>45888</v>
      </c>
      <c r="H239" t="n">
        <v>2604.8</v>
      </c>
      <c r="J239" t="n">
        <v>25224.1</v>
      </c>
    </row>
    <row r="240">
      <c r="G240" s="34" t="n">
        <v>45887</v>
      </c>
      <c r="H240" t="n">
        <v>2568.1</v>
      </c>
      <c r="J240" t="n">
        <v>24822.5</v>
      </c>
    </row>
    <row r="241">
      <c r="G241" s="34" t="n">
        <v>45883</v>
      </c>
      <c r="H241" t="n">
        <v>2480.6</v>
      </c>
      <c r="J241" t="n">
        <v>24712.2</v>
      </c>
    </row>
    <row r="242">
      <c r="G242" s="34" t="n">
        <v>45882</v>
      </c>
      <c r="H242" t="n">
        <v>2495.1</v>
      </c>
      <c r="J242" t="n">
        <v>24805.3</v>
      </c>
    </row>
    <row r="243">
      <c r="G243" s="34" t="n">
        <v>45881</v>
      </c>
      <c r="H243" t="n">
        <v>2483.8</v>
      </c>
      <c r="J243" t="n">
        <v>24755.5</v>
      </c>
    </row>
    <row r="244">
      <c r="G244" s="34" t="n">
        <v>45880</v>
      </c>
      <c r="H244" t="n">
        <v>2518.4</v>
      </c>
      <c r="J244" t="n">
        <v>24576.8</v>
      </c>
    </row>
    <row r="245">
      <c r="G245" s="34" t="n">
        <v>45877</v>
      </c>
      <c r="H245" t="n">
        <v>2498.6</v>
      </c>
      <c r="J245" t="n">
        <v>24673.4</v>
      </c>
    </row>
    <row r="246">
      <c r="G246" s="34" t="n">
        <v>45876</v>
      </c>
      <c r="H246" t="n">
        <v>2517.5</v>
      </c>
      <c r="J246" t="n">
        <v>24769.8</v>
      </c>
    </row>
    <row r="247">
      <c r="G247" s="34" t="n">
        <v>45875</v>
      </c>
      <c r="H247" t="n">
        <v>2535.6</v>
      </c>
      <c r="J247" t="n">
        <v>24959.7</v>
      </c>
    </row>
    <row r="248">
      <c r="G248" s="34" t="n">
        <v>45874</v>
      </c>
      <c r="H248" t="n">
        <v>2534.7</v>
      </c>
      <c r="J248" t="n">
        <v>25041.8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abSelected="1" topLeftCell="A16" workbookViewId="0">
      <selection activeCell="K19" sqref="K19"/>
    </sheetView>
  </sheetViews>
  <sheetFormatPr baseColWidth="8" defaultRowHeight="14.4"/>
  <cols>
    <col width="1.88671875" customWidth="1" style="109" min="1" max="1"/>
    <col width="17.109375" customWidth="1" style="109" min="2" max="2"/>
    <col width="10.6640625" customWidth="1" style="109" min="3" max="3"/>
    <col width="9.44140625" bestFit="1" customWidth="1" style="109" min="4" max="4"/>
    <col width="11.21875" customWidth="1" style="109" min="5" max="5"/>
    <col width="11.88671875" bestFit="1" customWidth="1" style="109" min="6" max="6"/>
    <col width="9.5546875" bestFit="1" customWidth="1" style="109" min="7" max="7"/>
    <col width="12.109375" customWidth="1" style="109" min="8" max="8"/>
    <col width="10.44140625" bestFit="1" customWidth="1" style="109" min="11" max="13"/>
    <col width="12.109375" customWidth="1" style="109" min="15" max="16"/>
    <col width="12.88671875" bestFit="1" customWidth="1" style="109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09"/>
    <row r="9">
      <c r="B9" s="84" t="n"/>
      <c r="C9" s="84" t="n"/>
      <c r="D9" s="166" t="inlineStr">
        <is>
          <t>Market Data</t>
        </is>
      </c>
      <c r="E9" s="183" t="n"/>
      <c r="F9" s="183" t="n"/>
      <c r="G9" s="183" t="n"/>
      <c r="H9" s="183" t="n"/>
      <c r="I9" s="183" t="n"/>
      <c r="J9" s="84" t="n"/>
      <c r="K9" s="166" t="inlineStr">
        <is>
          <t>Financials</t>
        </is>
      </c>
      <c r="L9" s="183" t="n"/>
      <c r="M9" s="183" t="n"/>
      <c r="N9" s="84" t="n"/>
      <c r="O9" s="166" t="inlineStr">
        <is>
          <t>Valuation</t>
        </is>
      </c>
      <c r="P9" s="183" t="n"/>
      <c r="Q9" s="183" t="n"/>
    </row>
    <row r="10" ht="30" customHeight="1" s="109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n"/>
      <c r="J10" s="84" t="n"/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09"/>
    <row r="12">
      <c r="B12" s="150">
        <f>'Raw FS'!L57</f>
        <v/>
      </c>
      <c r="C12" s="150" t="n"/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FS'!AS56</f>
        <v/>
      </c>
      <c r="H12" s="155">
        <f>'Raw FS'!AT56</f>
        <v/>
      </c>
      <c r="I12" s="150" t="n"/>
      <c r="J12" s="150" t="n"/>
      <c r="K12" s="155">
        <f>'Raw FS'!AU56</f>
        <v/>
      </c>
      <c r="L12" s="155">
        <f>'Raw FS'!AV56</f>
        <v/>
      </c>
      <c r="M12" s="155">
        <f>'Raw FS'!AW56</f>
        <v/>
      </c>
      <c r="N12" s="150" t="n"/>
      <c r="O12" s="151">
        <f>$H12/K12</f>
        <v/>
      </c>
      <c r="P12" s="151">
        <f>$H12/L12</f>
        <v/>
      </c>
      <c r="Q12" s="151">
        <f>F12/M12</f>
        <v/>
      </c>
    </row>
    <row r="13">
      <c r="B13" s="150">
        <f>'Raw FS'!L58</f>
        <v/>
      </c>
      <c r="C13" s="150" t="n"/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FS'!AS57</f>
        <v/>
      </c>
      <c r="H13" s="155">
        <f>'Raw FS'!AT57</f>
        <v/>
      </c>
      <c r="I13" s="150" t="n"/>
      <c r="J13" s="150" t="n"/>
      <c r="K13" s="155">
        <f>'Raw FS'!AU57</f>
        <v/>
      </c>
      <c r="L13" s="155">
        <f>'Raw FS'!AV57</f>
        <v/>
      </c>
      <c r="M13" s="155">
        <f>'Raw FS'!AW57</f>
        <v/>
      </c>
      <c r="N13" s="150" t="n"/>
      <c r="O13" s="151">
        <f>$H13/K13</f>
        <v/>
      </c>
      <c r="P13" s="151">
        <f>$H13/L13</f>
        <v/>
      </c>
      <c r="Q13" s="151">
        <f>F13/M13</f>
        <v/>
      </c>
    </row>
    <row r="14">
      <c r="B14" s="150">
        <f>'Raw FS'!L59</f>
        <v/>
      </c>
      <c r="C14" s="150" t="n"/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FS'!AS58</f>
        <v/>
      </c>
      <c r="H14" s="155">
        <f>'Raw FS'!AT58</f>
        <v/>
      </c>
      <c r="I14" s="150" t="n"/>
      <c r="J14" s="150" t="n"/>
      <c r="K14" s="155">
        <f>'Raw FS'!AU58</f>
        <v/>
      </c>
      <c r="L14" s="155">
        <f>'Raw FS'!AV58</f>
        <v/>
      </c>
      <c r="M14" s="155">
        <f>'Raw FS'!AW58</f>
        <v/>
      </c>
      <c r="N14" s="150" t="n"/>
      <c r="O14" s="151">
        <f>$H14/K14</f>
        <v/>
      </c>
      <c r="P14" s="151">
        <f>$H14/L14</f>
        <v/>
      </c>
      <c r="Q14" s="151">
        <f>F14/M14</f>
        <v/>
      </c>
    </row>
    <row r="15">
      <c r="B15" s="150">
        <f>'Raw FS'!L60</f>
        <v/>
      </c>
      <c r="C15" s="150" t="n"/>
      <c r="D15" s="155">
        <f>'Raw FS'!M60</f>
        <v/>
      </c>
      <c r="E15" s="155">
        <f>'Raw FS'!N60</f>
        <v/>
      </c>
      <c r="F15" s="155">
        <f>D15*E15</f>
        <v/>
      </c>
      <c r="G15" s="155">
        <f>'Raw FS'!AS59</f>
        <v/>
      </c>
      <c r="H15" s="155">
        <f>'Raw FS'!AT59</f>
        <v/>
      </c>
      <c r="I15" s="150" t="n"/>
      <c r="J15" s="150" t="n"/>
      <c r="K15" s="155">
        <f>'Raw FS'!AU59</f>
        <v/>
      </c>
      <c r="L15" s="155">
        <f>'Raw FS'!AV59</f>
        <v/>
      </c>
      <c r="M15" s="155">
        <f>'Raw FS'!AW59</f>
        <v/>
      </c>
      <c r="N15" s="150" t="n"/>
      <c r="O15" s="151">
        <f>$H15/K15</f>
        <v/>
      </c>
      <c r="P15" s="151">
        <f>$H15/L15</f>
        <v/>
      </c>
      <c r="Q15" s="151">
        <f>F15/M15</f>
        <v/>
      </c>
    </row>
    <row r="16">
      <c r="B16" s="150">
        <f>'Raw FS'!L61</f>
        <v/>
      </c>
      <c r="C16" s="150" t="n"/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FS'!AS60</f>
        <v/>
      </c>
      <c r="H16" s="155">
        <f>'Raw FS'!AT60</f>
        <v/>
      </c>
      <c r="I16" s="150" t="n"/>
      <c r="J16" s="150" t="n"/>
      <c r="K16" s="155">
        <f>'Raw FS'!AU60</f>
        <v/>
      </c>
      <c r="L16" s="155">
        <f>'Raw FS'!AV60</f>
        <v/>
      </c>
      <c r="M16" s="155">
        <f>'Raw FS'!AW60</f>
        <v/>
      </c>
      <c r="N16" s="150" t="n"/>
      <c r="O16" s="151">
        <f>$H16/K16</f>
        <v/>
      </c>
      <c r="P16" s="151">
        <f>$H16/L16</f>
        <v/>
      </c>
      <c r="Q16" s="151">
        <f>F16/M16</f>
        <v/>
      </c>
    </row>
    <row r="17">
      <c r="B17" s="150">
        <f>'Raw FS'!L62</f>
        <v/>
      </c>
      <c r="C17" s="150" t="n"/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FS'!AS61</f>
        <v/>
      </c>
      <c r="H17" s="155">
        <f>'Raw FS'!AT61</f>
        <v/>
      </c>
      <c r="I17" s="150" t="n"/>
      <c r="J17" s="150" t="n"/>
      <c r="K17" s="155">
        <f>'Raw FS'!AU61</f>
        <v/>
      </c>
      <c r="L17" s="155">
        <f>'Raw FS'!AV61</f>
        <v/>
      </c>
      <c r="M17" s="155">
        <f>'Raw FS'!AW61</f>
        <v/>
      </c>
      <c r="N17" s="150" t="n"/>
      <c r="O17" s="151">
        <f>$H17/K17</f>
        <v/>
      </c>
      <c r="P17" s="151">
        <f>$H17/L17</f>
        <v/>
      </c>
      <c r="Q17" s="151">
        <f>F17/M17</f>
        <v/>
      </c>
    </row>
    <row r="18">
      <c r="B18" s="150">
        <f>'Raw FS'!L63</f>
        <v/>
      </c>
      <c r="C18" s="150" t="n"/>
      <c r="D18" s="155">
        <f>'Raw FS'!M63</f>
        <v/>
      </c>
      <c r="E18" s="155">
        <f>'Raw FS'!N63</f>
        <v/>
      </c>
      <c r="F18" s="155">
        <f>D18*E18</f>
        <v/>
      </c>
      <c r="G18" s="155">
        <f>'Raw FS'!AS62</f>
        <v/>
      </c>
      <c r="H18" s="155">
        <f>'Raw FS'!AT62</f>
        <v/>
      </c>
      <c r="I18" s="150" t="n"/>
      <c r="J18" s="150" t="n"/>
      <c r="K18" s="155">
        <f>'Raw FS'!AU62</f>
        <v/>
      </c>
      <c r="L18" s="155">
        <f>'Raw FS'!AV62</f>
        <v/>
      </c>
      <c r="M18" s="155">
        <f>'Raw FS'!AW62</f>
        <v/>
      </c>
      <c r="N18" s="150" t="n"/>
      <c r="O18" s="151">
        <f>$H18/K18</f>
        <v/>
      </c>
      <c r="P18" s="151">
        <f>$H18/L18</f>
        <v/>
      </c>
      <c r="Q18" s="151">
        <f>F18/M18</f>
        <v/>
      </c>
    </row>
    <row r="19">
      <c r="B19" s="150">
        <f>'Raw FS'!L64</f>
        <v/>
      </c>
      <c r="C19" s="150" t="n"/>
      <c r="D19" s="155">
        <f>'Raw FS'!M64</f>
        <v/>
      </c>
      <c r="E19" s="155">
        <f>'Raw FS'!N64</f>
        <v/>
      </c>
      <c r="F19" s="155">
        <f>D19*E19</f>
        <v/>
      </c>
      <c r="G19" s="155">
        <f>'Raw FS'!AS63</f>
        <v/>
      </c>
      <c r="H19" s="155">
        <f>'Raw FS'!AT63</f>
        <v/>
      </c>
      <c r="I19" s="150" t="n"/>
      <c r="J19" s="150" t="n"/>
      <c r="K19" s="155">
        <f>'Raw FS'!AU63</f>
        <v/>
      </c>
      <c r="L19" s="155">
        <f>'Raw FS'!AV63</f>
        <v/>
      </c>
      <c r="M19" s="155">
        <f>'Raw FS'!AW63</f>
        <v/>
      </c>
      <c r="N19" s="150" t="n"/>
      <c r="O19" s="151">
        <f>$H19/K19</f>
        <v/>
      </c>
      <c r="P19" s="151">
        <f>$H19/L19</f>
        <v/>
      </c>
      <c r="Q19" s="151">
        <f>F19/M19</f>
        <v/>
      </c>
    </row>
    <row r="20">
      <c r="B20" s="150">
        <f>'Raw FS'!L65</f>
        <v/>
      </c>
      <c r="C20" s="150" t="n"/>
      <c r="D20" s="155">
        <f>'Raw FS'!M65</f>
        <v/>
      </c>
      <c r="E20" s="155">
        <f>'Raw FS'!N65</f>
        <v/>
      </c>
      <c r="F20" s="155">
        <f>D20*E20</f>
        <v/>
      </c>
      <c r="G20" s="155">
        <f>'Raw FS'!AS64</f>
        <v/>
      </c>
      <c r="H20" s="155">
        <f>'Raw FS'!AT64</f>
        <v/>
      </c>
      <c r="I20" s="150" t="n"/>
      <c r="J20" s="150" t="n"/>
      <c r="K20" s="155">
        <f>'Raw FS'!AU64</f>
        <v/>
      </c>
      <c r="L20" s="155">
        <f>'Raw FS'!AV64</f>
        <v/>
      </c>
      <c r="M20" s="155">
        <f>'Raw FS'!AW64</f>
        <v/>
      </c>
      <c r="N20" s="150" t="n"/>
      <c r="O20" s="151">
        <f>$H20/K20</f>
        <v/>
      </c>
      <c r="P20" s="151">
        <f>$H20/L20</f>
        <v/>
      </c>
      <c r="Q20" s="151">
        <f>F20/M20</f>
        <v/>
      </c>
    </row>
    <row r="21">
      <c r="B21" s="150">
        <f>'Raw FS'!L66</f>
        <v/>
      </c>
      <c r="C21" s="150" t="n"/>
      <c r="D21" s="155">
        <f>'Raw FS'!M66</f>
        <v/>
      </c>
      <c r="E21" s="155">
        <f>'Raw FS'!N66</f>
        <v/>
      </c>
      <c r="F21" s="155">
        <f>D21*E21</f>
        <v/>
      </c>
      <c r="G21" s="155">
        <f>'Raw FS'!AS65</f>
        <v/>
      </c>
      <c r="H21" s="155">
        <f>'Raw FS'!AT65</f>
        <v/>
      </c>
      <c r="I21" s="150" t="n"/>
      <c r="J21" s="150" t="n"/>
      <c r="K21" s="155">
        <f>'Raw FS'!AU65</f>
        <v/>
      </c>
      <c r="L21" s="155">
        <f>'Raw FS'!AV65</f>
        <v/>
      </c>
      <c r="M21" s="155">
        <f>'Raw FS'!AW65</f>
        <v/>
      </c>
      <c r="N21" s="150" t="n"/>
      <c r="O21" s="151">
        <f>$H21/K21</f>
        <v/>
      </c>
      <c r="P21" s="151">
        <f>$H21/L21</f>
        <v/>
      </c>
      <c r="Q21" s="151">
        <f>F21/M21</f>
        <v/>
      </c>
    </row>
    <row r="22" ht="6.6" customHeight="1" s="109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86">
        <f>MAX(O12,O14:O21)</f>
        <v/>
      </c>
      <c r="P23" s="86">
        <f>MAX(P12,P14:P21)</f>
        <v/>
      </c>
      <c r="Q23" s="86">
        <f>MAX(Q12,Q14:Q21)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87">
        <f>_xlfn.QUARTILE.INC((O12,O14:O21),1)</f>
        <v/>
      </c>
      <c r="P24" s="87">
        <f>_xlfn.QUARTILE.INC((P12,P14:P21),1)</f>
        <v/>
      </c>
      <c r="Q24" s="87">
        <f>_xlfn.QUARTILE.INC((Q12,Q14:Q21),1)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 t="n"/>
      <c r="J25" s="152" t="n"/>
      <c r="K25" s="152" t="n"/>
      <c r="L25" s="152" t="n"/>
      <c r="M25" s="152" t="n"/>
      <c r="N25" s="152" t="n"/>
      <c r="O25" s="153">
        <f>MEDIAN(O12,O14:O21)</f>
        <v/>
      </c>
      <c r="P25" s="153">
        <f>MEDIAN(P12,P14:P21)</f>
        <v/>
      </c>
      <c r="Q25" s="153">
        <f>MEDIAN(Q12,Q14:Q21)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 t="n"/>
      <c r="J26" s="152" t="n"/>
      <c r="K26" s="152" t="n"/>
      <c r="L26" s="152" t="n"/>
      <c r="M26" s="152" t="n"/>
      <c r="N26" s="152" t="n"/>
      <c r="O26" s="153">
        <f>AVERAGE(O12,O14:O21)</f>
        <v/>
      </c>
      <c r="P26" s="153">
        <f>AVERAGE(P12,P14:P21)</f>
        <v/>
      </c>
      <c r="Q26" s="153">
        <f>AVERAGE(Q12,Q14:Q21)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87">
        <f>QUARTILE((O12,O14:O21),3)</f>
        <v/>
      </c>
      <c r="P27" s="87">
        <f>QUARTILE((P12,P14:P21),3)</f>
        <v/>
      </c>
      <c r="Q27" s="87">
        <f>QUARTILE((Q12,Q14:Q21),3)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86">
        <f>MIN(O12,O14:O21)</f>
        <v/>
      </c>
      <c r="P28" s="86">
        <f>MIN(P12,P14:P21)</f>
        <v/>
      </c>
      <c r="Q28" s="86">
        <f>MIN(Q12,Q14:Q21)</f>
        <v/>
      </c>
    </row>
    <row r="30">
      <c r="B30" s="84" t="inlineStr">
        <is>
          <t>ITC Comparable Valuation</t>
        </is>
      </c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5">
        <f>K13*O26</f>
        <v/>
      </c>
      <c r="P32" s="155">
        <f>L13*P26</f>
        <v/>
      </c>
      <c r="Q32" s="155">
        <f>M13*Q26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5">
        <f>$G$13</f>
        <v/>
      </c>
      <c r="P33" s="155">
        <f>$G$13</f>
        <v/>
      </c>
      <c r="Q33" s="155">
        <f>$G$13</f>
        <v/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5">
        <f>$E$13</f>
        <v/>
      </c>
      <c r="P35" s="155">
        <f>$E$13</f>
        <v/>
      </c>
      <c r="Q35" s="155">
        <f>$E$13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O39">
        <f>IF(O37&gt;$D$13,"Overvalued","Undervalued")</f>
        <v/>
      </c>
      <c r="P39">
        <f>IF(P37&gt;$D$13,"Overvalued","Undervalued")</f>
        <v/>
      </c>
      <c r="Q39">
        <f>IF(Q37&gt;$D$13,"Overvalued","Undervalued")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09" min="1" max="1"/>
    <col width="26.77734375" customWidth="1" style="109" min="2" max="2"/>
    <col width="11" bestFit="1" customWidth="1" style="109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09">
      <c r="B7" s="37" t="n"/>
    </row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/>
    <row r="13" ht="5.4" customHeight="1" s="109"/>
    <row r="15" ht="21" customHeight="1" s="109">
      <c r="B15" s="99" t="inlineStr">
        <is>
          <t>Financial Summary</t>
        </is>
      </c>
    </row>
    <row r="35" ht="18" customHeight="1" s="109">
      <c r="B35" s="101" t="inlineStr">
        <is>
          <t>Recent Updates</t>
        </is>
      </c>
    </row>
    <row r="37">
      <c r="A37" t="inlineStr">
        <is>
          <t>•</t>
        </is>
      </c>
      <c r="B37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8"/>
    <row r="39">
      <c r="A39" t="inlineStr">
        <is>
          <t>•</t>
        </is>
      </c>
      <c r="B39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40"/>
    <row r="41">
      <c r="A41" t="inlineStr">
        <is>
          <t>•</t>
        </is>
      </c>
      <c r="B41" s="167" t="inlineStr">
        <is>
          <t>ITC Infotech will deliver AI-enabled innovation, scaling capabilities inside BAT's new Future Capabilities Centre in India alongside hubs in Poland, Romania, and Malaysia</t>
        </is>
      </c>
    </row>
    <row r="42"/>
    <row r="43">
      <c r="A43" t="inlineStr">
        <is>
          <t>•</t>
        </is>
      </c>
      <c r="B43" s="167" t="inlineStr">
        <is>
          <t>ITC completed the integration of Century Pulp &amp; Paper from Aditya Birla Real Estate.Net Profit Drop: Declined by 27.1% YoY to ₹3,579 crore (estimated at ₹4,368 crore)</t>
        </is>
      </c>
    </row>
    <row r="44"/>
    <row r="45">
      <c r="A45" t="inlineStr">
        <is>
          <t>•</t>
        </is>
      </c>
      <c r="B45" s="167" t="inlineStr">
        <is>
          <t>Despite severe margin pressures in its core tobacco business, the conglomerate continues aggressive expansions across its FMCG, hospitality, paper, and technology segments</t>
        </is>
      </c>
    </row>
    <row r="46"/>
    <row r="47">
      <c r="A47" t="inlineStr">
        <is>
          <t>•</t>
        </is>
      </c>
      <c r="B47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09"/>
    <row r="54" ht="30.6" customHeight="1" s="109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0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0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0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0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09" min="1" max="1"/>
    <col width="26.77734375" customWidth="1" style="109" min="2" max="2"/>
    <col width="12.6640625" bestFit="1" customWidth="1" style="109" min="5" max="5"/>
    <col width="12.77734375" bestFit="1" customWidth="1" style="109" min="6" max="7"/>
    <col width="13.44140625" bestFit="1" customWidth="1" style="109" min="8" max="8"/>
    <col width="12.77734375" bestFit="1" customWidth="1" style="109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09"/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 ht="5.4" customHeight="1" s="109"/>
    <row r="14" ht="21" customHeight="1" s="109">
      <c r="B14" s="99" t="inlineStr">
        <is>
          <t>Financial Summary</t>
        </is>
      </c>
    </row>
    <row r="34" ht="18" customHeight="1" s="109">
      <c r="B34" s="101" t="inlineStr">
        <is>
          <t>Recent Updates</t>
        </is>
      </c>
    </row>
    <row r="36">
      <c r="A36" t="inlineStr">
        <is>
          <t>•</t>
        </is>
      </c>
      <c r="B36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7"/>
    <row r="38" ht="14.4" customHeight="1" s="109">
      <c r="A38" t="inlineStr">
        <is>
          <t>•</t>
        </is>
      </c>
      <c r="B38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39"/>
    <row r="40" ht="20.4" customHeight="1" s="109">
      <c r="A40" t="inlineStr">
        <is>
          <t>•</t>
        </is>
      </c>
      <c r="B40" s="167" t="inlineStr">
        <is>
          <t>ITC Infotech will deliver AI-enabled innovation, scaling capabilities inside BAT's new Future Capabilities Centre in India alongside hubs in Poland, Romania, and Malaysia</t>
        </is>
      </c>
    </row>
    <row r="41"/>
    <row r="42">
      <c r="A42" t="inlineStr">
        <is>
          <t>•</t>
        </is>
      </c>
      <c r="B42" s="167" t="inlineStr">
        <is>
          <t>ITC completed the integration of Century Pulp &amp; Paper from Aditya Birla Real Estate.Net Profit Drop: Declined by 27.1% YoY to ₹3,579 crore (estimated at ₹4,368 crore)</t>
        </is>
      </c>
    </row>
    <row r="43"/>
    <row r="44">
      <c r="A44" t="inlineStr">
        <is>
          <t>•</t>
        </is>
      </c>
      <c r="B44" s="167" t="inlineStr">
        <is>
          <t>Despite severe margin pressures in its core tobacco business, the conglomerate continues aggressive expansions across its FMCG, hospitality, paper, and technology segments</t>
        </is>
      </c>
    </row>
    <row r="45"/>
    <row r="46">
      <c r="A46" t="inlineStr">
        <is>
          <t>•</t>
        </is>
      </c>
      <c r="B46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09"/>
    <row r="53" ht="30.6" customHeight="1" s="109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0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0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0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0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0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0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69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09" min="1" max="1"/>
    <col width="22.77734375" bestFit="1" customWidth="1" style="109" min="2" max="2"/>
    <col width="9.44140625" customWidth="1" style="109" min="12" max="12"/>
    <col width="22.77734375" bestFit="1" customWidth="1" style="109" min="17" max="17"/>
    <col width="25.77734375" bestFit="1" customWidth="1" style="109" min="18" max="18"/>
    <col width="14.77734375" customWidth="1" style="109" min="46" max="46"/>
    <col width="11.6640625" customWidth="1" style="109" min="47" max="47"/>
    <col width="12.6640625" customWidth="1" style="109" min="48" max="48"/>
    <col width="13.21875" customWidth="1" style="109" min="50" max="50"/>
  </cols>
  <sheetData>
    <row r="3">
      <c r="B3" s="84" t="inlineStr">
        <is>
          <t>Particulars</t>
        </is>
      </c>
      <c r="C3" s="40" t="n">
        <v>42064</v>
      </c>
      <c r="D3" s="40" t="n">
        <v>42430</v>
      </c>
      <c r="E3" s="40" t="n">
        <v>42795</v>
      </c>
      <c r="F3" s="40" t="n">
        <v>43160</v>
      </c>
      <c r="G3" s="40" t="n">
        <v>43525</v>
      </c>
      <c r="H3" s="40" t="n">
        <v>43891</v>
      </c>
      <c r="I3" s="40" t="n">
        <v>44256</v>
      </c>
      <c r="J3" s="40" t="n">
        <v>44621</v>
      </c>
      <c r="K3" s="40" t="n">
        <v>44986</v>
      </c>
      <c r="L3" s="40" t="n">
        <v>45352</v>
      </c>
      <c r="M3" s="40" t="n">
        <v>45717</v>
      </c>
      <c r="N3" s="40" t="n">
        <v>46082</v>
      </c>
      <c r="O3" s="40" t="n"/>
      <c r="S3" s="35" t="n">
        <v>42064</v>
      </c>
      <c r="T3" s="35" t="n">
        <v>42430</v>
      </c>
      <c r="U3" s="35" t="n">
        <v>42795</v>
      </c>
      <c r="V3" s="35" t="n">
        <v>43160</v>
      </c>
      <c r="W3" s="35" t="n">
        <v>43525</v>
      </c>
      <c r="X3" s="35" t="n">
        <v>43891</v>
      </c>
      <c r="Y3" s="35" t="n">
        <v>44256</v>
      </c>
      <c r="Z3" s="35" t="n">
        <v>44621</v>
      </c>
      <c r="AA3" s="35" t="n">
        <v>44986</v>
      </c>
      <c r="AB3" s="35" t="n">
        <v>45352</v>
      </c>
      <c r="AC3" s="35" t="n">
        <v>45717</v>
      </c>
      <c r="AD3" s="35" t="n">
        <v>46082</v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38817</v>
      </c>
      <c r="T4" s="73" t="n">
        <v>39192</v>
      </c>
      <c r="U4" s="73" t="n">
        <v>42768</v>
      </c>
      <c r="V4" s="73" t="n">
        <v>43449</v>
      </c>
      <c r="W4" s="73" t="n">
        <v>48340</v>
      </c>
      <c r="X4" s="73" t="n">
        <v>49388</v>
      </c>
      <c r="Y4" s="73" t="n">
        <v>49257</v>
      </c>
      <c r="Z4" s="73" t="n">
        <v>60645</v>
      </c>
      <c r="AA4" s="73" t="n">
        <v>70919</v>
      </c>
      <c r="AB4" s="73" t="n">
        <v>67932</v>
      </c>
      <c r="AC4" s="73" t="n">
        <v>75323</v>
      </c>
      <c r="AD4" s="73" t="n">
        <v>78868</v>
      </c>
      <c r="AE4" s="73" t="n">
        <v>76488</v>
      </c>
    </row>
    <row r="5">
      <c r="B5" s="35" t="inlineStr">
        <is>
          <t>Equity Capital</t>
        </is>
      </c>
      <c r="C5" t="n">
        <v>802</v>
      </c>
      <c r="D5" s="47" t="n">
        <v>805</v>
      </c>
      <c r="E5" s="47" t="n">
        <v>1215</v>
      </c>
      <c r="F5" s="47" t="n">
        <v>1220</v>
      </c>
      <c r="G5" s="47" t="n">
        <v>1226</v>
      </c>
      <c r="H5" s="47" t="n">
        <v>1229</v>
      </c>
      <c r="I5" s="47" t="n">
        <v>1231</v>
      </c>
      <c r="J5" s="47" t="n">
        <v>1232</v>
      </c>
      <c r="K5" s="47" t="n">
        <v>1243</v>
      </c>
      <c r="L5" s="47" t="n">
        <v>1248</v>
      </c>
      <c r="M5" s="47" t="n">
        <v>1251</v>
      </c>
      <c r="N5" s="47" t="n">
        <v>1253</v>
      </c>
      <c r="R5" t="inlineStr">
        <is>
          <t>Expenses +</t>
        </is>
      </c>
      <c r="S5" s="73" t="n">
        <v>24566</v>
      </c>
      <c r="T5" s="73" t="n">
        <v>24661</v>
      </c>
      <c r="U5" s="73" t="n">
        <v>27298</v>
      </c>
      <c r="V5" s="73" t="n">
        <v>26928</v>
      </c>
      <c r="W5" s="73" t="n">
        <v>29802</v>
      </c>
      <c r="X5" s="73" t="n">
        <v>30044</v>
      </c>
      <c r="Y5" s="73" t="n">
        <v>32193</v>
      </c>
      <c r="Z5" s="73" t="n">
        <v>40021</v>
      </c>
      <c r="AA5" s="73" t="n">
        <v>45215</v>
      </c>
      <c r="AB5" s="73" t="n">
        <v>42744</v>
      </c>
      <c r="AC5" s="73" t="n">
        <v>49492</v>
      </c>
      <c r="AD5" s="73" t="n">
        <v>51562</v>
      </c>
      <c r="AE5" s="73" t="n">
        <v>50806</v>
      </c>
    </row>
    <row r="6">
      <c r="B6" t="inlineStr">
        <is>
          <t>Reserves</t>
        </is>
      </c>
      <c r="C6" s="73" t="n">
        <v>30934</v>
      </c>
      <c r="D6" s="73" t="n">
        <v>41875</v>
      </c>
      <c r="E6" s="73" t="n">
        <v>45198</v>
      </c>
      <c r="F6" s="73" t="n">
        <v>51290</v>
      </c>
      <c r="G6" s="73" t="n">
        <v>57915</v>
      </c>
      <c r="H6" s="73" t="n">
        <v>64044</v>
      </c>
      <c r="I6" s="73" t="n">
        <v>59116</v>
      </c>
      <c r="J6" s="73" t="n">
        <v>61223</v>
      </c>
      <c r="K6" s="73" t="n">
        <v>67912</v>
      </c>
      <c r="L6" s="73" t="n">
        <v>73259</v>
      </c>
      <c r="M6" s="73" t="n">
        <v>68779</v>
      </c>
      <c r="N6" s="73" t="n">
        <v>71254</v>
      </c>
      <c r="O6" s="73" t="n"/>
      <c r="R6" t="inlineStr">
        <is>
          <t>Operating Profit</t>
        </is>
      </c>
      <c r="S6" s="73" t="n">
        <v>14252</v>
      </c>
      <c r="T6" s="73" t="n">
        <v>14531</v>
      </c>
      <c r="U6" s="73" t="n">
        <v>15470</v>
      </c>
      <c r="V6" s="73" t="n">
        <v>16521</v>
      </c>
      <c r="W6" s="73" t="n">
        <v>18537</v>
      </c>
      <c r="X6" s="73" t="n">
        <v>19344</v>
      </c>
      <c r="Y6" s="73" t="n">
        <v>17065</v>
      </c>
      <c r="Z6" s="73" t="n">
        <v>20623</v>
      </c>
      <c r="AA6" s="73" t="n">
        <v>25704</v>
      </c>
      <c r="AB6" s="73" t="n">
        <v>25188</v>
      </c>
      <c r="AC6" s="73" t="n">
        <v>25832</v>
      </c>
      <c r="AD6" s="73" t="n">
        <v>27306</v>
      </c>
      <c r="AE6" s="73" t="n">
        <v>25682</v>
      </c>
    </row>
    <row r="7">
      <c r="B7" s="73" t="inlineStr">
        <is>
          <t>Borrowings -</t>
        </is>
      </c>
      <c r="C7" s="73" t="n">
        <v>269</v>
      </c>
      <c r="D7" s="73" t="n">
        <v>84</v>
      </c>
      <c r="E7" s="73" t="n">
        <v>46</v>
      </c>
      <c r="F7" s="73" t="n">
        <v>36</v>
      </c>
      <c r="G7" s="73" t="n">
        <v>13</v>
      </c>
      <c r="H7" s="73" t="n">
        <v>277</v>
      </c>
      <c r="I7" s="73" t="n">
        <v>271</v>
      </c>
      <c r="J7" s="73" t="n">
        <v>249</v>
      </c>
      <c r="K7" s="73" t="n">
        <v>306</v>
      </c>
      <c r="L7" s="73" t="n">
        <v>303</v>
      </c>
      <c r="M7" s="73" t="n">
        <v>285</v>
      </c>
      <c r="N7" s="73" t="n">
        <v>2399</v>
      </c>
      <c r="O7" s="73" t="n"/>
      <c r="R7" t="inlineStr">
        <is>
          <t>OPM %</t>
        </is>
      </c>
      <c r="S7" s="75" t="n">
        <v>0.37</v>
      </c>
      <c r="T7" s="75" t="n">
        <v>0.37</v>
      </c>
      <c r="U7" s="75" t="n">
        <v>0.36</v>
      </c>
      <c r="V7" s="75" t="n">
        <v>0.38</v>
      </c>
      <c r="W7" s="75" t="n">
        <v>0.38</v>
      </c>
      <c r="X7" s="75" t="n">
        <v>0.39</v>
      </c>
      <c r="Y7" s="75" t="n">
        <v>0.35</v>
      </c>
      <c r="Z7" s="75" t="n">
        <v>0.34</v>
      </c>
      <c r="AA7" s="75" t="n">
        <v>0.36</v>
      </c>
      <c r="AB7" s="75" t="n">
        <v>0.37</v>
      </c>
      <c r="AC7" s="75" t="n">
        <v>0.34</v>
      </c>
      <c r="AD7" s="75" t="n">
        <v>0.35</v>
      </c>
      <c r="AE7" s="75" t="n">
        <v>0.34</v>
      </c>
    </row>
    <row r="8">
      <c r="B8" s="73" t="inlineStr">
        <is>
          <t>Long term Borrowings</t>
        </is>
      </c>
      <c r="C8" s="73" t="n">
        <v>61</v>
      </c>
      <c r="D8" s="73" t="n">
        <v>27</v>
      </c>
      <c r="E8" s="73" t="n">
        <v>18</v>
      </c>
      <c r="F8" s="73" t="n">
        <v>12</v>
      </c>
      <c r="G8" s="73" t="n">
        <v>8</v>
      </c>
      <c r="H8" s="73" t="n">
        <v>6</v>
      </c>
      <c r="I8" s="73" t="n">
        <v>6</v>
      </c>
      <c r="J8" s="73" t="n">
        <v>5</v>
      </c>
      <c r="K8" s="73" t="n">
        <v>3</v>
      </c>
      <c r="L8" s="73" t="n">
        <v>2</v>
      </c>
      <c r="M8" s="73" t="n">
        <v>0</v>
      </c>
      <c r="N8" s="73" t="n">
        <v>60</v>
      </c>
      <c r="R8" t="inlineStr">
        <is>
          <t>Other Income +</t>
        </is>
      </c>
      <c r="S8" s="73" t="n">
        <v>1229</v>
      </c>
      <c r="T8" s="73" t="n">
        <v>1483</v>
      </c>
      <c r="U8" s="73" t="n">
        <v>1759</v>
      </c>
      <c r="V8" s="73" t="n">
        <v>2240</v>
      </c>
      <c r="W8" s="73" t="n">
        <v>2080</v>
      </c>
      <c r="X8" s="73" t="n">
        <v>2417</v>
      </c>
      <c r="Y8" s="73" t="n">
        <v>2577</v>
      </c>
      <c r="Z8" s="73" t="n">
        <v>1910</v>
      </c>
      <c r="AA8" s="73" t="n">
        <v>2098</v>
      </c>
      <c r="AB8" s="73" t="n">
        <v>3330</v>
      </c>
      <c r="AC8" s="73" t="n">
        <v>17803</v>
      </c>
      <c r="AD8" s="73" t="n">
        <v>2523</v>
      </c>
      <c r="AE8" s="73" t="n">
        <v>2908</v>
      </c>
    </row>
    <row r="9">
      <c r="B9" t="inlineStr">
        <is>
          <t>Short term Borrowings</t>
        </is>
      </c>
      <c r="C9" t="n">
        <v>195</v>
      </c>
      <c r="D9" t="n">
        <v>44</v>
      </c>
      <c r="E9" t="n">
        <v>19</v>
      </c>
      <c r="F9" t="n">
        <v>17</v>
      </c>
      <c r="G9" t="n">
        <v>2</v>
      </c>
      <c r="H9" t="n">
        <v>1</v>
      </c>
      <c r="I9" t="n">
        <v>4</v>
      </c>
      <c r="J9" t="n">
        <v>1</v>
      </c>
      <c r="K9" t="n">
        <v>35</v>
      </c>
      <c r="L9" t="n">
        <v>10</v>
      </c>
      <c r="M9" t="n">
        <v>91</v>
      </c>
      <c r="N9" s="73" t="n">
        <v>2126</v>
      </c>
      <c r="R9" t="inlineStr">
        <is>
          <t>Interest</t>
        </is>
      </c>
      <c r="S9" t="n">
        <v>91</v>
      </c>
      <c r="T9" t="n">
        <v>78</v>
      </c>
      <c r="U9" t="n">
        <v>49</v>
      </c>
      <c r="V9" t="n">
        <v>115</v>
      </c>
      <c r="W9" t="n">
        <v>71</v>
      </c>
      <c r="X9" t="n">
        <v>81</v>
      </c>
      <c r="Y9" t="n">
        <v>58</v>
      </c>
      <c r="Z9" t="n">
        <v>60</v>
      </c>
      <c r="AA9" t="n">
        <v>78</v>
      </c>
      <c r="AB9" t="n">
        <v>39</v>
      </c>
      <c r="AC9" t="n">
        <v>45</v>
      </c>
      <c r="AD9" t="n">
        <v>85</v>
      </c>
      <c r="AE9" t="n">
        <v>108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268</v>
      </c>
      <c r="I10" t="n">
        <v>261</v>
      </c>
      <c r="J10" t="n">
        <v>244</v>
      </c>
      <c r="K10" t="n">
        <v>267</v>
      </c>
      <c r="L10" t="n">
        <v>292</v>
      </c>
      <c r="M10" t="n">
        <v>193</v>
      </c>
      <c r="N10" t="n">
        <v>213</v>
      </c>
      <c r="O10" s="73" t="n"/>
      <c r="R10" t="inlineStr">
        <is>
          <t>Depreciation</t>
        </is>
      </c>
      <c r="S10" s="73" t="n">
        <v>1028</v>
      </c>
      <c r="T10" s="73" t="n">
        <v>1077</v>
      </c>
      <c r="U10" s="73" t="n">
        <v>1153</v>
      </c>
      <c r="V10" s="73" t="n">
        <v>1236</v>
      </c>
      <c r="W10" s="73" t="n">
        <v>1397</v>
      </c>
      <c r="X10" s="73" t="n">
        <v>1645</v>
      </c>
      <c r="Y10" s="73" t="n">
        <v>1646</v>
      </c>
      <c r="Z10" s="73" t="n">
        <v>1732</v>
      </c>
      <c r="AA10" s="73" t="n">
        <v>1809</v>
      </c>
      <c r="AB10" s="73" t="n">
        <v>1518</v>
      </c>
      <c r="AC10" s="73" t="n">
        <v>1646</v>
      </c>
      <c r="AD10" s="73" t="n">
        <v>1711</v>
      </c>
      <c r="AE10" s="73" t="n">
        <v>1715</v>
      </c>
    </row>
    <row r="11">
      <c r="B11" s="73" t="inlineStr">
        <is>
          <t>Other Borrowings</t>
        </is>
      </c>
      <c r="C11" s="73" t="n">
        <v>13</v>
      </c>
      <c r="D11" s="73" t="n">
        <v>13</v>
      </c>
      <c r="E11" s="73" t="n">
        <v>8</v>
      </c>
      <c r="F11" s="73" t="n">
        <v>7</v>
      </c>
      <c r="G11" s="73" t="n">
        <v>3</v>
      </c>
      <c r="H11" s="73" t="n">
        <v>2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14362</v>
      </c>
      <c r="T11" s="73" t="n">
        <v>14859</v>
      </c>
      <c r="U11" s="73" t="n">
        <v>16026</v>
      </c>
      <c r="V11" s="73" t="n">
        <v>17409</v>
      </c>
      <c r="W11" s="73" t="n">
        <v>19150</v>
      </c>
      <c r="X11" s="73" t="n">
        <v>20035</v>
      </c>
      <c r="Y11" s="73" t="n">
        <v>17938</v>
      </c>
      <c r="Z11" s="73" t="n">
        <v>20740</v>
      </c>
      <c r="AA11" s="73" t="n">
        <v>25915</v>
      </c>
      <c r="AB11" s="73" t="n">
        <v>26961</v>
      </c>
      <c r="AC11" s="73" t="n">
        <v>41943</v>
      </c>
      <c r="AD11" s="73" t="n">
        <v>28033</v>
      </c>
      <c r="AE11" s="73" t="n">
        <v>26766</v>
      </c>
    </row>
    <row r="12">
      <c r="B12" s="73" t="inlineStr">
        <is>
          <t>Other Liabilities -</t>
        </is>
      </c>
      <c r="C12" s="73" t="n">
        <v>13948</v>
      </c>
      <c r="D12" s="73" t="n">
        <v>8888</v>
      </c>
      <c r="E12" s="73" t="n">
        <v>9440</v>
      </c>
      <c r="F12" s="73" t="n">
        <v>11695</v>
      </c>
      <c r="G12" s="73" t="n">
        <v>12585</v>
      </c>
      <c r="H12" s="73" t="n">
        <v>11760</v>
      </c>
      <c r="I12" s="73" t="n">
        <v>13143</v>
      </c>
      <c r="J12" s="73" t="n">
        <v>14491</v>
      </c>
      <c r="K12" s="73" t="n">
        <v>16370</v>
      </c>
      <c r="L12" s="73" t="n">
        <v>16944</v>
      </c>
      <c r="M12" s="73" t="n">
        <v>17688</v>
      </c>
      <c r="N12" s="73" t="n">
        <v>18731</v>
      </c>
      <c r="R12" t="inlineStr">
        <is>
          <t>Tax %</t>
        </is>
      </c>
      <c r="S12" s="75" t="n">
        <v>0.32</v>
      </c>
      <c r="T12" s="75" t="n">
        <v>0.36</v>
      </c>
      <c r="U12" s="75" t="n">
        <v>0.35</v>
      </c>
      <c r="V12" s="75" t="n">
        <v>0.34</v>
      </c>
      <c r="W12" s="75" t="n">
        <v>0.33</v>
      </c>
      <c r="X12" s="75" t="n">
        <v>0.22</v>
      </c>
      <c r="Y12" s="75" t="n">
        <v>0.25</v>
      </c>
      <c r="Z12" s="75" t="n">
        <v>0.25</v>
      </c>
      <c r="AA12" s="75" t="n">
        <v>0.25</v>
      </c>
      <c r="AB12" s="75" t="n">
        <v>0.23</v>
      </c>
      <c r="AC12" s="75" t="n">
        <v>0.16</v>
      </c>
      <c r="AD12" s="75" t="n">
        <v>0.25</v>
      </c>
    </row>
    <row r="13">
      <c r="B13" t="inlineStr">
        <is>
          <t>Non controlling int</t>
        </is>
      </c>
      <c r="C13" t="n">
        <v>225</v>
      </c>
      <c r="D13" t="n">
        <v>261</v>
      </c>
      <c r="E13" t="n">
        <v>295</v>
      </c>
      <c r="F13" t="n">
        <v>334</v>
      </c>
      <c r="G13" t="n">
        <v>343</v>
      </c>
      <c r="H13" t="n">
        <v>377</v>
      </c>
      <c r="I13" t="n">
        <v>347</v>
      </c>
      <c r="J13" t="n">
        <v>366</v>
      </c>
      <c r="K13" t="n">
        <v>384</v>
      </c>
      <c r="L13" t="n">
        <v>383</v>
      </c>
      <c r="M13" t="n">
        <v>368</v>
      </c>
      <c r="N13" t="n">
        <v>366</v>
      </c>
      <c r="O13" s="73" t="n"/>
      <c r="R13" t="inlineStr">
        <is>
          <t>Net Profit +</t>
        </is>
      </c>
      <c r="S13" s="73" t="n">
        <v>9779</v>
      </c>
      <c r="T13" s="73" t="n">
        <v>9501</v>
      </c>
      <c r="U13" s="73" t="n">
        <v>10477</v>
      </c>
      <c r="V13" s="73" t="n">
        <v>11493</v>
      </c>
      <c r="W13" s="73" t="n">
        <v>12836</v>
      </c>
      <c r="X13" s="73" t="n">
        <v>15593</v>
      </c>
      <c r="Y13" s="73" t="n">
        <v>13383</v>
      </c>
      <c r="Z13" s="73" t="n">
        <v>15503</v>
      </c>
      <c r="AA13" s="73" t="n">
        <v>19477</v>
      </c>
      <c r="AB13" s="73" t="n">
        <v>20751</v>
      </c>
      <c r="AC13" s="73" t="n">
        <v>35052</v>
      </c>
      <c r="AD13" s="73" t="n">
        <v>21018</v>
      </c>
      <c r="AE13" s="73" t="n">
        <v>20184</v>
      </c>
    </row>
    <row r="14">
      <c r="B14" s="73" t="inlineStr">
        <is>
          <t>Trade Payables</t>
        </is>
      </c>
      <c r="C14" s="73" t="n">
        <v>2020</v>
      </c>
      <c r="D14" s="73" t="n">
        <v>2339</v>
      </c>
      <c r="E14" s="73" t="n">
        <v>2659</v>
      </c>
      <c r="F14" s="73" t="n">
        <v>3496</v>
      </c>
      <c r="G14" s="73" t="n">
        <v>3510</v>
      </c>
      <c r="H14" s="73" t="n">
        <v>3630</v>
      </c>
      <c r="I14" s="73" t="n">
        <v>4319</v>
      </c>
      <c r="J14" s="73" t="n">
        <v>4417</v>
      </c>
      <c r="K14" s="73" t="n">
        <v>4659</v>
      </c>
      <c r="L14" s="73" t="n">
        <v>4798</v>
      </c>
      <c r="M14" s="73" t="n">
        <v>4807</v>
      </c>
      <c r="N14" s="73" t="n">
        <v>5640</v>
      </c>
    </row>
    <row r="15">
      <c r="B15" t="inlineStr">
        <is>
          <t>Advance from Customers</t>
        </is>
      </c>
      <c r="C15" t="n">
        <v>0</v>
      </c>
      <c r="D15" t="n">
        <v>805</v>
      </c>
      <c r="E15" t="n">
        <v>495</v>
      </c>
      <c r="F15" t="n">
        <v>461</v>
      </c>
      <c r="G15" t="n">
        <v>430</v>
      </c>
      <c r="H15" t="n">
        <v>703</v>
      </c>
      <c r="I15" t="n">
        <v>811</v>
      </c>
      <c r="J15" s="73" t="n">
        <v>1278</v>
      </c>
      <c r="K15" s="73" t="n">
        <v>1295</v>
      </c>
      <c r="L15" t="n">
        <v>886</v>
      </c>
      <c r="M15" s="73" t="n">
        <v>1264</v>
      </c>
      <c r="N15" s="73" t="n">
        <v>1342</v>
      </c>
      <c r="O15" s="73" t="n"/>
    </row>
    <row r="16">
      <c r="B16" s="73" t="inlineStr">
        <is>
          <t>Other liability items</t>
        </is>
      </c>
      <c r="C16" s="73" t="n">
        <v>11702</v>
      </c>
      <c r="D16" s="73" t="n">
        <v>5483</v>
      </c>
      <c r="E16" s="73" t="n">
        <v>5991</v>
      </c>
      <c r="F16" s="73" t="n">
        <v>7404</v>
      </c>
      <c r="G16" s="73" t="n">
        <v>8301</v>
      </c>
      <c r="H16" s="73" t="n">
        <v>7050</v>
      </c>
      <c r="I16" s="73" t="n">
        <v>7666</v>
      </c>
      <c r="J16" s="73" t="n">
        <v>8429</v>
      </c>
      <c r="K16" s="73" t="n">
        <v>10032</v>
      </c>
      <c r="L16" s="73" t="n">
        <v>10877</v>
      </c>
      <c r="M16" s="73" t="n">
        <v>11249</v>
      </c>
      <c r="N16" s="73" t="n">
        <v>11384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>
        <f>SUM(C5:C17)</f>
        <v/>
      </c>
      <c r="D18" s="71">
        <f>SUM(D5:D17)</f>
        <v/>
      </c>
      <c r="E18" s="71">
        <f>SUM(E5:E17)</f>
        <v/>
      </c>
      <c r="F18" s="71">
        <f>SUM(F5:F17)</f>
        <v/>
      </c>
      <c r="G18" s="71">
        <f>SUM(G5:G17)</f>
        <v/>
      </c>
      <c r="H18" s="71">
        <f>SUM(H5:H17)</f>
        <v/>
      </c>
      <c r="I18" s="71">
        <f>SUM(I5:I17)</f>
        <v/>
      </c>
      <c r="J18" s="71">
        <f>SUM(J5:J17)</f>
        <v/>
      </c>
      <c r="K18" s="71">
        <f>SUM(K5:K17)</f>
        <v/>
      </c>
      <c r="L18" s="71">
        <f>SUM(L5:L17)</f>
        <v/>
      </c>
      <c r="M18" s="71">
        <f>SUM(M5:M17)</f>
        <v/>
      </c>
      <c r="N18" s="71">
        <f>SUM(N5:N17)</f>
        <v/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9843</v>
      </c>
      <c r="T19" s="73" t="n">
        <v>9799</v>
      </c>
      <c r="U19" s="73" t="n">
        <v>10627</v>
      </c>
      <c r="V19" s="73" t="n">
        <v>13169</v>
      </c>
      <c r="W19" s="73" t="n">
        <v>12583</v>
      </c>
      <c r="X19" s="73" t="n">
        <v>14690</v>
      </c>
      <c r="Y19" s="73" t="n">
        <v>12527</v>
      </c>
      <c r="Z19" s="73" t="n">
        <v>15776</v>
      </c>
      <c r="AA19" s="73" t="n">
        <v>18878</v>
      </c>
      <c r="AB19" s="73" t="n">
        <v>17179</v>
      </c>
      <c r="AC19" s="73" t="n">
        <v>17627</v>
      </c>
      <c r="AD19" s="73" t="n">
        <v>18464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14261</v>
      </c>
      <c r="T20" s="73" t="n">
        <v>15154</v>
      </c>
      <c r="U20" s="73" t="n">
        <v>16075</v>
      </c>
      <c r="V20" s="73" t="n">
        <v>17433</v>
      </c>
      <c r="W20" s="73" t="n">
        <v>18862</v>
      </c>
      <c r="X20" s="73" t="n">
        <v>19416</v>
      </c>
      <c r="Y20" s="73" t="n">
        <v>17326</v>
      </c>
      <c r="Z20" s="73" t="n">
        <v>20857</v>
      </c>
      <c r="AA20" s="73" t="n">
        <v>26052</v>
      </c>
      <c r="AB20" s="73" t="n">
        <v>26635</v>
      </c>
      <c r="AC20" s="73" t="n">
        <v>26719</v>
      </c>
      <c r="AD20" s="73" t="n">
        <v>27600</v>
      </c>
    </row>
    <row r="21">
      <c r="B21" s="73" t="inlineStr">
        <is>
          <t>Fixed Assets -</t>
        </is>
      </c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R21" t="inlineStr">
        <is>
          <t>Receivables</t>
        </is>
      </c>
      <c r="S21" t="n">
        <v>558</v>
      </c>
      <c r="T21" t="n">
        <v>-207</v>
      </c>
      <c r="U21" t="n">
        <v>-870</v>
      </c>
      <c r="V21" t="n">
        <v>-964</v>
      </c>
      <c r="W21" t="n">
        <v>-755</v>
      </c>
      <c r="X21" s="73" t="n">
        <v>1411</v>
      </c>
      <c r="Y21" t="n">
        <v>-66</v>
      </c>
      <c r="Z21" t="n">
        <v>-732</v>
      </c>
      <c r="AA21" t="n">
        <v>-884</v>
      </c>
      <c r="AB21" t="n">
        <v>-934</v>
      </c>
      <c r="AC21" s="73" t="n">
        <v>-1023</v>
      </c>
      <c r="AD21" t="n">
        <v>468</v>
      </c>
    </row>
    <row r="22">
      <c r="B22" s="73" t="inlineStr">
        <is>
          <t>Land</t>
        </is>
      </c>
      <c r="C22" s="73" t="n">
        <v>1717</v>
      </c>
      <c r="D22" s="73" t="n">
        <v>1615</v>
      </c>
      <c r="E22" s="73" t="n">
        <v>1673</v>
      </c>
      <c r="F22" s="73" t="n">
        <v>1685</v>
      </c>
      <c r="G22" s="73" t="n">
        <v>2021</v>
      </c>
      <c r="H22" s="73" t="n">
        <v>2797</v>
      </c>
      <c r="I22" s="73" t="n">
        <v>2889</v>
      </c>
      <c r="J22" s="73" t="n">
        <v>2829</v>
      </c>
      <c r="K22" s="73" t="n">
        <v>2830</v>
      </c>
      <c r="L22" s="73" t="n">
        <v>2865</v>
      </c>
      <c r="M22" s="73" t="n">
        <v>1588</v>
      </c>
      <c r="N22" s="73" t="n">
        <v>1633</v>
      </c>
      <c r="O22" s="73" t="n"/>
      <c r="R22" t="inlineStr">
        <is>
          <t>Inventory</t>
        </is>
      </c>
      <c r="S22" t="n">
        <v>-505</v>
      </c>
      <c r="T22" t="n">
        <v>-693</v>
      </c>
      <c r="U22" t="n">
        <v>593</v>
      </c>
      <c r="V22" t="n">
        <v>602</v>
      </c>
      <c r="W22" t="n">
        <v>-359</v>
      </c>
      <c r="X22" t="n">
        <v>-508</v>
      </c>
      <c r="Y22" s="73" t="n">
        <v>-1460</v>
      </c>
      <c r="Z22" t="n">
        <v>-466</v>
      </c>
      <c r="AA22" s="73" t="n">
        <v>-1098</v>
      </c>
      <c r="AB22" s="73" t="n">
        <v>-2545</v>
      </c>
      <c r="AC22" s="73" t="n">
        <v>-2975</v>
      </c>
      <c r="AD22" s="73" t="n">
        <v>-3306</v>
      </c>
    </row>
    <row r="23">
      <c r="B23" s="73" t="inlineStr">
        <is>
          <t>Building</t>
        </is>
      </c>
      <c r="C23" s="73" t="n">
        <v>4860</v>
      </c>
      <c r="D23" s="73" t="n">
        <v>4219</v>
      </c>
      <c r="E23" s="73" t="n">
        <v>4716</v>
      </c>
      <c r="F23" s="73" t="n">
        <v>5331</v>
      </c>
      <c r="G23" s="73" t="n">
        <v>6996</v>
      </c>
      <c r="H23" s="73" t="n">
        <v>8161</v>
      </c>
      <c r="I23" s="73" t="n">
        <v>8387</v>
      </c>
      <c r="J23" s="73" t="n">
        <v>9100</v>
      </c>
      <c r="K23" s="73" t="n">
        <v>9789</v>
      </c>
      <c r="L23" s="73" t="n">
        <v>10944</v>
      </c>
      <c r="M23" s="73" t="n">
        <v>7550</v>
      </c>
      <c r="N23" s="73" t="n">
        <v>7791</v>
      </c>
      <c r="O23" s="73" t="n"/>
      <c r="R23" t="inlineStr">
        <is>
          <t>Payables</t>
        </is>
      </c>
      <c r="S23" t="n">
        <v>-23</v>
      </c>
      <c r="T23" t="n">
        <v>622</v>
      </c>
      <c r="U23" t="n">
        <v>321</v>
      </c>
      <c r="V23" s="73" t="n">
        <v>2098</v>
      </c>
      <c r="W23" t="n">
        <v>639</v>
      </c>
      <c r="X23" t="n">
        <v>-607</v>
      </c>
      <c r="Y23" s="73" t="n">
        <v>1112</v>
      </c>
      <c r="Z23" s="73" t="n">
        <v>1099</v>
      </c>
      <c r="AA23" s="73" t="n">
        <v>1058</v>
      </c>
      <c r="AB23" t="n">
        <v>141</v>
      </c>
      <c r="AC23" s="73" t="n">
        <v>1256</v>
      </c>
      <c r="AD23" t="n">
        <v>76</v>
      </c>
    </row>
    <row r="24">
      <c r="B24" s="73" t="inlineStr">
        <is>
          <t>Plant Machinery</t>
        </is>
      </c>
      <c r="C24" s="73" t="n">
        <v>14667</v>
      </c>
      <c r="D24" s="73" t="n">
        <v>9112</v>
      </c>
      <c r="E24" s="73" t="n">
        <v>10384</v>
      </c>
      <c r="F24" s="73" t="n">
        <v>11453</v>
      </c>
      <c r="G24" s="73" t="n">
        <v>13316</v>
      </c>
      <c r="H24" s="73" t="n">
        <v>14625</v>
      </c>
      <c r="I24" s="73" t="n">
        <v>15307</v>
      </c>
      <c r="J24" s="73" t="n">
        <v>16912</v>
      </c>
      <c r="K24" s="73" t="n">
        <v>18480</v>
      </c>
      <c r="L24" s="73" t="n">
        <v>20718</v>
      </c>
      <c r="M24" s="73" t="n">
        <v>19423</v>
      </c>
      <c r="N24" s="73" t="n">
        <v>20424</v>
      </c>
      <c r="R24" t="inlineStr">
        <is>
          <t>Working capital changes</t>
        </is>
      </c>
      <c r="S24" t="n">
        <v>31</v>
      </c>
      <c r="T24" t="n">
        <v>-277</v>
      </c>
      <c r="U24" t="n">
        <v>44</v>
      </c>
      <c r="V24" s="73" t="n">
        <v>1736</v>
      </c>
      <c r="W24" t="n">
        <v>-476</v>
      </c>
      <c r="X24" t="n">
        <v>296</v>
      </c>
      <c r="Y24" t="n">
        <v>-413</v>
      </c>
      <c r="Z24" t="n">
        <v>-100</v>
      </c>
      <c r="AA24" t="n">
        <v>-924</v>
      </c>
      <c r="AB24" s="73" t="n">
        <v>-3337</v>
      </c>
      <c r="AC24" s="73" t="n">
        <v>-2742</v>
      </c>
      <c r="AD24" s="73" t="n">
        <v>-2762</v>
      </c>
    </row>
    <row r="25">
      <c r="B25" t="inlineStr">
        <is>
          <t>Equipments</t>
        </is>
      </c>
      <c r="C25" t="n">
        <v>46</v>
      </c>
      <c r="D25" t="n">
        <v>27</v>
      </c>
      <c r="E25" t="n">
        <v>32</v>
      </c>
      <c r="F25" t="n">
        <v>32</v>
      </c>
      <c r="G25" t="n">
        <v>34</v>
      </c>
      <c r="H25" t="n">
        <v>40</v>
      </c>
      <c r="I25" t="n">
        <v>41</v>
      </c>
      <c r="J25" t="n">
        <v>44</v>
      </c>
      <c r="K25" t="n">
        <v>44</v>
      </c>
      <c r="L25" t="n">
        <v>53</v>
      </c>
      <c r="M25" t="n">
        <v>63</v>
      </c>
      <c r="N25" t="n">
        <v>75</v>
      </c>
      <c r="R25" t="inlineStr">
        <is>
          <t>Direct taxes</t>
        </is>
      </c>
      <c r="S25" s="73" t="n">
        <v>-4449</v>
      </c>
      <c r="T25" s="73" t="n">
        <v>-5078</v>
      </c>
      <c r="U25" s="73" t="n">
        <v>-5492</v>
      </c>
      <c r="V25" s="73" t="n">
        <v>-6000</v>
      </c>
      <c r="W25" s="73" t="n">
        <v>-5803</v>
      </c>
      <c r="X25" s="73" t="n">
        <v>-5023</v>
      </c>
      <c r="Y25" s="73" t="n">
        <v>-4387</v>
      </c>
      <c r="Z25" s="73" t="n">
        <v>-4982</v>
      </c>
      <c r="AA25" s="73" t="n">
        <v>-6250</v>
      </c>
      <c r="AB25" s="73" t="n">
        <v>-6120</v>
      </c>
      <c r="AC25" s="73" t="n">
        <v>-6350</v>
      </c>
      <c r="AD25" s="73" t="n">
        <v>-6374</v>
      </c>
    </row>
    <row r="26">
      <c r="B26" s="73" t="inlineStr">
        <is>
          <t>Furniture n fittings</t>
        </is>
      </c>
      <c r="C26" s="73" t="n">
        <v>805</v>
      </c>
      <c r="D26" s="73" t="n">
        <v>413</v>
      </c>
      <c r="E26" s="73" t="n">
        <v>459</v>
      </c>
      <c r="F26" s="73" t="n">
        <v>497</v>
      </c>
      <c r="G26" s="73" t="n">
        <v>644</v>
      </c>
      <c r="H26" s="73" t="n">
        <v>810</v>
      </c>
      <c r="I26" s="73" t="n">
        <v>833</v>
      </c>
      <c r="J26" s="73" t="n">
        <v>907</v>
      </c>
      <c r="K26" s="73" t="n">
        <v>1000</v>
      </c>
      <c r="L26" s="73" t="n">
        <v>1068</v>
      </c>
      <c r="M26" s="73" t="n">
        <v>282</v>
      </c>
      <c r="N26" s="73" t="n">
        <v>304</v>
      </c>
      <c r="R26" t="inlineStr">
        <is>
          <t>Cash from Investing Activity -</t>
        </is>
      </c>
      <c r="S26" s="73" t="n">
        <v>-5275</v>
      </c>
      <c r="T26" s="73" t="n">
        <v>-3921</v>
      </c>
      <c r="U26" s="73" t="n">
        <v>-3251</v>
      </c>
      <c r="V26" s="73" t="n">
        <v>-7114</v>
      </c>
      <c r="W26" s="73" t="n">
        <v>-5546</v>
      </c>
      <c r="X26" s="73" t="n">
        <v>-6174</v>
      </c>
      <c r="Y26" s="73" t="n">
        <v>5740</v>
      </c>
      <c r="Z26" s="73" t="n">
        <v>-2238</v>
      </c>
      <c r="AA26" s="73" t="n">
        <v>-5732</v>
      </c>
      <c r="AB26" s="73" t="n">
        <v>1563</v>
      </c>
      <c r="AC26" t="n">
        <v>-564</v>
      </c>
      <c r="AD26" s="73" t="n">
        <v>-2321</v>
      </c>
    </row>
    <row r="27">
      <c r="B27" s="73" t="inlineStr">
        <is>
          <t>Railway sidings</t>
        </is>
      </c>
      <c r="C27" s="73" t="n">
        <v>2</v>
      </c>
      <c r="D27" s="73" t="n">
        <v>2</v>
      </c>
      <c r="E27" s="73" t="n">
        <v>2</v>
      </c>
      <c r="F27" s="73" t="n">
        <v>2</v>
      </c>
      <c r="G27" s="73" t="n">
        <v>2</v>
      </c>
      <c r="H27" s="73" t="n">
        <v>2</v>
      </c>
      <c r="I27" s="73" t="n">
        <v>2</v>
      </c>
      <c r="J27" s="73" t="n">
        <v>2</v>
      </c>
      <c r="K27" s="73" t="n">
        <v>2</v>
      </c>
      <c r="L27" s="73" t="n">
        <v>2</v>
      </c>
      <c r="M27" s="73" t="n">
        <v>2</v>
      </c>
      <c r="N27" s="73" t="n">
        <v>2</v>
      </c>
      <c r="R27" t="inlineStr">
        <is>
          <t>Fixed assets purchased</t>
        </is>
      </c>
      <c r="S27" s="73" t="n">
        <v>-3300</v>
      </c>
      <c r="T27" s="73" t="n">
        <v>-2348</v>
      </c>
      <c r="U27" s="73" t="n">
        <v>-3122</v>
      </c>
      <c r="V27" s="73" t="n">
        <v>-2878</v>
      </c>
      <c r="W27" s="73" t="n">
        <v>-3169</v>
      </c>
      <c r="X27" s="73" t="n">
        <v>-2441</v>
      </c>
      <c r="Y27" s="73" t="n">
        <v>-1837</v>
      </c>
      <c r="Z27" s="73" t="n">
        <v>-2142</v>
      </c>
      <c r="AA27" s="73" t="n">
        <v>-2743</v>
      </c>
      <c r="AB27" s="73" t="n">
        <v>-3563</v>
      </c>
      <c r="AC27" s="73" t="n">
        <v>-2279</v>
      </c>
      <c r="AD27" s="73" t="n">
        <v>-2183</v>
      </c>
    </row>
    <row r="28">
      <c r="B28" t="inlineStr">
        <is>
          <t>Vehicles</t>
        </is>
      </c>
      <c r="C28" t="n">
        <v>128</v>
      </c>
      <c r="D28" t="n">
        <v>107</v>
      </c>
      <c r="E28" t="n">
        <v>128</v>
      </c>
      <c r="F28" t="n">
        <v>140</v>
      </c>
      <c r="G28" t="n">
        <v>161</v>
      </c>
      <c r="H28" t="n">
        <v>184</v>
      </c>
      <c r="I28" t="n">
        <v>180</v>
      </c>
      <c r="J28" t="n">
        <v>179</v>
      </c>
      <c r="K28" t="n">
        <v>189</v>
      </c>
      <c r="L28" t="n">
        <v>192</v>
      </c>
      <c r="M28" t="n">
        <v>141</v>
      </c>
      <c r="N28" t="n">
        <v>155</v>
      </c>
      <c r="O28" s="73" t="n"/>
      <c r="R28" t="inlineStr">
        <is>
          <t>Fixed assets sold</t>
        </is>
      </c>
      <c r="S28" s="73" t="n">
        <v>9</v>
      </c>
      <c r="T28" s="73" t="n">
        <v>8</v>
      </c>
      <c r="U28" s="73" t="n">
        <v>50</v>
      </c>
      <c r="V28" s="73" t="n">
        <v>80</v>
      </c>
      <c r="W28" s="73" t="n">
        <v>28</v>
      </c>
      <c r="X28" s="73" t="n">
        <v>27</v>
      </c>
      <c r="Y28" s="73" t="n">
        <v>3</v>
      </c>
      <c r="Z28" s="73" t="n">
        <v>133</v>
      </c>
      <c r="AA28" s="73" t="n">
        <v>49</v>
      </c>
      <c r="AB28" t="n">
        <v>107</v>
      </c>
      <c r="AC28" s="73" t="n">
        <v>175</v>
      </c>
      <c r="AD28" s="73" t="n">
        <v>50</v>
      </c>
    </row>
    <row r="29">
      <c r="B29" t="inlineStr">
        <is>
          <t>Intangible Assets</t>
        </is>
      </c>
      <c r="C29" t="n">
        <v>678</v>
      </c>
      <c r="D29" t="n">
        <v>563</v>
      </c>
      <c r="E29" t="n">
        <v>563</v>
      </c>
      <c r="F29" t="n">
        <v>570</v>
      </c>
      <c r="G29" t="n">
        <v>684</v>
      </c>
      <c r="H29" t="n">
        <v>684</v>
      </c>
      <c r="I29" s="73" t="n">
        <v>2734</v>
      </c>
      <c r="J29" s="73" t="n">
        <v>2744</v>
      </c>
      <c r="K29" s="73" t="n">
        <v>3490</v>
      </c>
      <c r="L29" s="73" t="n">
        <v>3505</v>
      </c>
      <c r="M29" s="73" t="n">
        <v>3622</v>
      </c>
      <c r="N29" s="73" t="n">
        <v>4248</v>
      </c>
      <c r="R29" t="inlineStr">
        <is>
          <t>Investments purchased</t>
        </is>
      </c>
      <c r="S29" s="73" t="n">
        <v>-98742</v>
      </c>
      <c r="T29" s="73" t="n">
        <v>-154081</v>
      </c>
      <c r="U29" s="73" t="n">
        <v>-85683</v>
      </c>
      <c r="V29" s="73" t="n">
        <v>-98330</v>
      </c>
      <c r="W29" s="73" t="n">
        <v>-94187</v>
      </c>
      <c r="X29" s="73" t="n">
        <v>-79835</v>
      </c>
      <c r="Y29" s="73" t="n">
        <v>-57553</v>
      </c>
      <c r="Z29" s="73" t="n">
        <v>-69776</v>
      </c>
      <c r="AA29" s="73" t="n">
        <v>-80932</v>
      </c>
      <c r="AB29" s="73" t="n">
        <v>-75107</v>
      </c>
      <c r="AC29" s="73" t="n">
        <v>-66373</v>
      </c>
      <c r="AD29" s="73" t="n">
        <v>-68173</v>
      </c>
    </row>
    <row r="30">
      <c r="B30" t="inlineStr">
        <is>
          <t>Other fixed assets</t>
        </is>
      </c>
      <c r="C30" t="n">
        <v>458</v>
      </c>
      <c r="D30" t="n">
        <v>117</v>
      </c>
      <c r="E30" t="n">
        <v>138</v>
      </c>
      <c r="F30" t="n">
        <v>212</v>
      </c>
      <c r="G30" t="n">
        <v>234</v>
      </c>
      <c r="H30" t="n">
        <v>663</v>
      </c>
      <c r="I30" t="n">
        <v>716</v>
      </c>
      <c r="J30" t="n">
        <v>719</v>
      </c>
      <c r="K30" t="n">
        <v>786</v>
      </c>
      <c r="L30" t="n">
        <v>841</v>
      </c>
      <c r="M30" t="n">
        <v>967</v>
      </c>
      <c r="N30" s="73" t="n">
        <v>1041</v>
      </c>
      <c r="O30" s="73" t="n"/>
      <c r="R30" t="inlineStr">
        <is>
          <t>Investments sold</t>
        </is>
      </c>
      <c r="S30" s="73" t="n">
        <v>99658</v>
      </c>
      <c r="T30" s="73" t="n">
        <v>150651</v>
      </c>
      <c r="U30" s="73" t="n">
        <v>81034</v>
      </c>
      <c r="V30" s="73" t="n">
        <v>95017</v>
      </c>
      <c r="W30" s="73" t="n">
        <v>92454</v>
      </c>
      <c r="X30" s="73" t="n">
        <v>75835</v>
      </c>
      <c r="Y30" s="73" t="n">
        <v>62797</v>
      </c>
      <c r="Z30" s="73" t="n">
        <v>70992</v>
      </c>
      <c r="AA30" s="73" t="n">
        <v>77230</v>
      </c>
      <c r="AB30" s="73" t="n">
        <v>77830</v>
      </c>
      <c r="AC30" s="73" t="n">
        <v>67311</v>
      </c>
      <c r="AD30" s="73" t="n">
        <v>65737</v>
      </c>
    </row>
    <row r="31">
      <c r="B31" t="inlineStr">
        <is>
          <t>Gross Block</t>
        </is>
      </c>
      <c r="C31" s="73" t="n">
        <v>23361</v>
      </c>
      <c r="D31" s="73" t="n">
        <v>16176</v>
      </c>
      <c r="E31" s="73" t="n">
        <v>18094</v>
      </c>
      <c r="F31" s="73" t="n">
        <v>19920</v>
      </c>
      <c r="G31" s="73" t="n">
        <v>24090</v>
      </c>
      <c r="H31" s="73" t="n">
        <v>27965</v>
      </c>
      <c r="I31" s="73" t="n">
        <v>31088</v>
      </c>
      <c r="J31" s="73" t="n">
        <v>33435</v>
      </c>
      <c r="K31" s="73" t="n">
        <v>36608</v>
      </c>
      <c r="L31" s="73" t="n">
        <v>40189</v>
      </c>
      <c r="M31" s="73" t="n">
        <v>33638</v>
      </c>
      <c r="N31" s="73" t="n">
        <v>35672</v>
      </c>
      <c r="O31" s="73" t="n"/>
      <c r="R31" t="inlineStr">
        <is>
          <t>Interest received</t>
        </is>
      </c>
      <c r="S31" t="n">
        <v>559</v>
      </c>
      <c r="T31" t="n">
        <v>741</v>
      </c>
      <c r="U31" s="73" t="n">
        <v>756</v>
      </c>
      <c r="V31" s="73" t="n">
        <v>736</v>
      </c>
      <c r="W31" s="73" t="n">
        <v>1184</v>
      </c>
      <c r="X31" s="73" t="n">
        <v>1513</v>
      </c>
      <c r="Y31" s="73" t="n">
        <v>1275</v>
      </c>
      <c r="Z31" s="73" t="n">
        <v>1035</v>
      </c>
      <c r="AA31" s="73" t="n">
        <v>1324</v>
      </c>
      <c r="AB31" s="73" t="n">
        <v>1138</v>
      </c>
      <c r="AC31" s="73" t="n">
        <v>1072</v>
      </c>
      <c r="AD31" s="73" t="n">
        <v>917</v>
      </c>
    </row>
    <row r="32">
      <c r="B32" s="73" t="inlineStr">
        <is>
          <t>Accumulated Depreciation</t>
        </is>
      </c>
      <c r="C32" s="73" t="n">
        <v>8057</v>
      </c>
      <c r="D32" s="73" t="n">
        <v>1069</v>
      </c>
      <c r="E32" s="73" t="n">
        <v>2201</v>
      </c>
      <c r="F32" s="73" t="n">
        <v>3396</v>
      </c>
      <c r="G32" s="73" t="n">
        <v>4716</v>
      </c>
      <c r="H32" s="73" t="n">
        <v>6252</v>
      </c>
      <c r="I32" s="73" t="n">
        <v>7790</v>
      </c>
      <c r="J32" s="73" t="n">
        <v>9204</v>
      </c>
      <c r="K32" s="73" t="n">
        <v>10757</v>
      </c>
      <c r="L32" s="73" t="n">
        <v>12368</v>
      </c>
      <c r="M32" s="73" t="n">
        <v>11683</v>
      </c>
      <c r="N32" s="73" t="n">
        <v>13230</v>
      </c>
      <c r="O32" s="73" t="n"/>
      <c r="R32" t="inlineStr">
        <is>
          <t>Dividends received</t>
        </is>
      </c>
      <c r="S32" t="n">
        <v>268</v>
      </c>
      <c r="T32" t="n">
        <v>64</v>
      </c>
      <c r="U32" s="73" t="n">
        <v>4</v>
      </c>
      <c r="V32" t="n">
        <v>13</v>
      </c>
      <c r="W32" t="n">
        <v>13</v>
      </c>
      <c r="X32" t="n">
        <v>17</v>
      </c>
      <c r="Y32" s="73" t="n">
        <v>7</v>
      </c>
      <c r="Z32" s="73" t="n">
        <v>16</v>
      </c>
      <c r="AA32" s="73" t="n">
        <v>19</v>
      </c>
      <c r="AB32" s="73" t="n">
        <v>36</v>
      </c>
      <c r="AC32" s="73" t="n">
        <v>38</v>
      </c>
      <c r="AD32" s="73" t="n">
        <v>45</v>
      </c>
    </row>
    <row r="33">
      <c r="B33" t="inlineStr">
        <is>
          <t>Net Block</t>
        </is>
      </c>
      <c r="C33" s="73">
        <f>C31-C32</f>
        <v/>
      </c>
      <c r="D33" s="73">
        <f>D31-D32</f>
        <v/>
      </c>
      <c r="E33" s="73">
        <f>E31-E32</f>
        <v/>
      </c>
      <c r="F33" s="73">
        <f>F31-F32</f>
        <v/>
      </c>
      <c r="G33" s="73">
        <f>G31-G32</f>
        <v/>
      </c>
      <c r="H33" s="73">
        <f>H31-H32</f>
        <v/>
      </c>
      <c r="I33" s="73">
        <f>I31-I32</f>
        <v/>
      </c>
      <c r="J33" s="73">
        <f>J31-J32</f>
        <v/>
      </c>
      <c r="K33" s="73">
        <f>K31-K32</f>
        <v/>
      </c>
      <c r="L33" s="73">
        <f>L31-L32</f>
        <v/>
      </c>
      <c r="M33" s="73">
        <f>M31-M32</f>
        <v/>
      </c>
      <c r="N33" s="73">
        <f>N31-N32</f>
        <v/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-2</v>
      </c>
      <c r="Z34" s="73" t="n">
        <v>-2</v>
      </c>
      <c r="AA34" s="73" t="n">
        <v>-2</v>
      </c>
      <c r="AB34" s="73" t="n">
        <v>-65</v>
      </c>
      <c r="AC34" s="73" t="n">
        <v>-30</v>
      </c>
      <c r="AD34" s="73" t="n">
        <v>-183</v>
      </c>
    </row>
    <row r="35">
      <c r="B35" t="inlineStr">
        <is>
          <t>CWIP</t>
        </is>
      </c>
      <c r="C35" s="73" t="n">
        <v>2700</v>
      </c>
      <c r="D35" s="73" t="n">
        <v>2560</v>
      </c>
      <c r="E35" s="73" t="n">
        <v>3730</v>
      </c>
      <c r="F35" s="73" t="n">
        <v>5508</v>
      </c>
      <c r="G35" s="73" t="n">
        <v>4136</v>
      </c>
      <c r="H35" s="73" t="n">
        <v>3256</v>
      </c>
      <c r="I35" s="73" t="n">
        <v>4011</v>
      </c>
      <c r="J35" s="73" t="n">
        <v>3226</v>
      </c>
      <c r="K35" s="73" t="n">
        <v>3003</v>
      </c>
      <c r="L35" s="73" t="n">
        <v>2861</v>
      </c>
      <c r="M35" s="73" t="n">
        <v>1091</v>
      </c>
      <c r="N35" s="73" t="n">
        <v>1602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6943</v>
      </c>
      <c r="D36" s="73" t="n">
        <v>11748</v>
      </c>
      <c r="E36" s="73" t="n">
        <v>17581</v>
      </c>
      <c r="F36" s="73" t="n">
        <v>22053</v>
      </c>
      <c r="G36" s="73" t="n">
        <v>25043</v>
      </c>
      <c r="H36" s="73" t="n">
        <v>28663</v>
      </c>
      <c r="I36" s="73" t="n">
        <v>24871</v>
      </c>
      <c r="J36" s="73" t="n">
        <v>24841</v>
      </c>
      <c r="K36" s="73" t="n">
        <v>29415</v>
      </c>
      <c r="L36" s="73" t="n">
        <v>31114</v>
      </c>
      <c r="M36" s="73" t="n">
        <v>34720</v>
      </c>
      <c r="N36" s="73" t="n">
        <v>38128</v>
      </c>
      <c r="O36" s="73" t="n"/>
      <c r="R36" t="inlineStr">
        <is>
          <t>Other investing items</t>
        </is>
      </c>
      <c r="S36" s="73" t="n">
        <v>-3728</v>
      </c>
      <c r="T36" s="73" t="n">
        <v>1052</v>
      </c>
      <c r="U36" s="73" t="n">
        <v>3579</v>
      </c>
      <c r="V36" s="73" t="n">
        <v>-1769</v>
      </c>
      <c r="W36" s="73" t="n">
        <v>-1887</v>
      </c>
      <c r="X36" s="73" t="n">
        <v>-1290</v>
      </c>
      <c r="Y36" s="73" t="n">
        <v>1051</v>
      </c>
      <c r="Z36" s="73" t="n">
        <v>-2494</v>
      </c>
      <c r="AA36" t="n">
        <v>-733</v>
      </c>
      <c r="AB36" s="73" t="n">
        <v>1187</v>
      </c>
      <c r="AC36" t="n">
        <v>-478</v>
      </c>
      <c r="AD36" s="73" t="n">
        <v>1469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-4661</v>
      </c>
      <c r="T37" s="73" t="n">
        <v>-5613</v>
      </c>
      <c r="U37" s="73" t="n">
        <v>-7301</v>
      </c>
      <c r="V37" s="73" t="n">
        <v>-6221</v>
      </c>
      <c r="W37" s="73" t="n">
        <v>-6869</v>
      </c>
      <c r="X37" s="73" t="n">
        <v>-8181</v>
      </c>
      <c r="Y37" s="73" t="n">
        <v>-18634</v>
      </c>
      <c r="Z37" s="73" t="n">
        <v>-13580</v>
      </c>
      <c r="AA37" s="73" t="n">
        <v>-13006</v>
      </c>
      <c r="AB37" s="73" t="n">
        <v>-18551</v>
      </c>
      <c r="AC37" s="73" t="n">
        <v>-17037</v>
      </c>
      <c r="AD37" s="73" t="n">
        <v>-16147</v>
      </c>
    </row>
    <row r="38">
      <c r="B38" t="inlineStr">
        <is>
          <t>Other Assets -</t>
        </is>
      </c>
      <c r="C38" s="73" t="n">
        <v>21006</v>
      </c>
      <c r="D38" s="73" t="n">
        <v>22237</v>
      </c>
      <c r="E38" s="73" t="n">
        <v>18694</v>
      </c>
      <c r="F38" s="73" t="n">
        <v>20156</v>
      </c>
      <c r="G38" s="73" t="n">
        <v>23185</v>
      </c>
      <c r="H38" s="73" t="n">
        <v>23678</v>
      </c>
      <c r="I38" s="73" t="n">
        <v>21580</v>
      </c>
      <c r="J38" s="73" t="n">
        <v>24898</v>
      </c>
      <c r="K38" s="73" t="n">
        <v>27561</v>
      </c>
      <c r="L38" s="73" t="n">
        <v>29959</v>
      </c>
      <c r="M38" s="73" t="n">
        <v>30237</v>
      </c>
      <c r="N38" s="73" t="n">
        <v>31464</v>
      </c>
      <c r="O38" s="73" t="n"/>
      <c r="R38" t="inlineStr">
        <is>
          <t>Proceeds from shares</t>
        </is>
      </c>
      <c r="S38" t="n">
        <v>979</v>
      </c>
      <c r="T38" t="n">
        <v>532</v>
      </c>
      <c r="U38" s="73" t="n">
        <v>1067</v>
      </c>
      <c r="V38" t="n">
        <v>913</v>
      </c>
      <c r="W38" t="n">
        <v>969</v>
      </c>
      <c r="X38" t="n">
        <v>625</v>
      </c>
      <c r="Y38" t="n">
        <v>291</v>
      </c>
      <c r="Z38" t="n">
        <v>292</v>
      </c>
      <c r="AA38" s="73" t="n">
        <v>2477</v>
      </c>
      <c r="AB38" s="73" t="n">
        <v>1443</v>
      </c>
      <c r="AC38" t="n">
        <v>797</v>
      </c>
      <c r="AD38" t="n">
        <v>405</v>
      </c>
    </row>
    <row r="39">
      <c r="B39" t="inlineStr">
        <is>
          <t>Inventories</t>
        </is>
      </c>
      <c r="C39" s="73" t="n">
        <v>8587</v>
      </c>
      <c r="D39" s="73" t="n">
        <v>9062</v>
      </c>
      <c r="E39" s="73" t="n">
        <v>8116</v>
      </c>
      <c r="F39" s="73" t="n">
        <v>7495</v>
      </c>
      <c r="G39" s="73" t="n">
        <v>7860</v>
      </c>
      <c r="H39" s="73" t="n">
        <v>8879</v>
      </c>
      <c r="I39" s="73" t="n">
        <v>10397</v>
      </c>
      <c r="J39" s="73" t="n">
        <v>10864</v>
      </c>
      <c r="K39" s="73" t="n">
        <v>11771</v>
      </c>
      <c r="L39" s="73" t="n">
        <v>14153</v>
      </c>
      <c r="M39" s="73" t="n">
        <v>15638</v>
      </c>
      <c r="N39" s="73" t="n">
        <v>18623</v>
      </c>
      <c r="O39" s="73" t="n"/>
      <c r="R39" t="inlineStr">
        <is>
          <t>Proceeds from borrowings</t>
        </is>
      </c>
      <c r="S39" t="n">
        <v>7</v>
      </c>
      <c r="T39" t="n">
        <v>0</v>
      </c>
      <c r="U39" t="n">
        <v>0</v>
      </c>
      <c r="V39" t="n">
        <v>11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8</v>
      </c>
      <c r="AC39" t="n">
        <v>90</v>
      </c>
      <c r="AD39" s="73" t="n">
        <v>2120</v>
      </c>
    </row>
    <row r="40">
      <c r="B40" t="inlineStr">
        <is>
          <t>Trade receivables +</t>
        </is>
      </c>
      <c r="C40" s="73" t="n">
        <v>1982</v>
      </c>
      <c r="D40" s="73" t="n">
        <v>1917</v>
      </c>
      <c r="E40" s="73" t="n">
        <v>2474</v>
      </c>
      <c r="F40" s="73" t="n">
        <v>2682</v>
      </c>
      <c r="G40" s="73" t="n">
        <v>4035</v>
      </c>
      <c r="H40" s="73" t="n">
        <v>2562</v>
      </c>
      <c r="I40" s="73" t="n">
        <v>2502</v>
      </c>
      <c r="J40" s="73" t="n">
        <v>2462</v>
      </c>
      <c r="K40" s="73" t="n">
        <v>2956</v>
      </c>
      <c r="L40" s="73" t="n">
        <v>4026</v>
      </c>
      <c r="M40" s="73" t="n">
        <v>4720</v>
      </c>
      <c r="N40" s="73" t="n">
        <v>3923</v>
      </c>
      <c r="O40" s="73" t="n"/>
      <c r="R40" t="inlineStr">
        <is>
          <t>Repayment of borrowings</t>
        </is>
      </c>
      <c r="S40" t="n">
        <v>-20</v>
      </c>
      <c r="T40" t="n">
        <v>-13</v>
      </c>
      <c r="U40" t="n">
        <v>-13</v>
      </c>
      <c r="V40" s="73" t="n">
        <v>-8</v>
      </c>
      <c r="W40" t="n">
        <v>-18</v>
      </c>
      <c r="X40" t="n">
        <v>-3</v>
      </c>
      <c r="Y40" s="73" t="n">
        <v>-2</v>
      </c>
      <c r="Z40" t="n">
        <v>-1</v>
      </c>
      <c r="AA40" s="73" t="n">
        <v>-1</v>
      </c>
      <c r="AB40" s="73" t="n">
        <v>-2</v>
      </c>
      <c r="AC40" s="73" t="n">
        <v>-54</v>
      </c>
      <c r="AD40" s="73" t="n">
        <v>-105</v>
      </c>
    </row>
    <row r="41">
      <c r="B41" t="inlineStr">
        <is>
          <t>Cash Equivalents</t>
        </is>
      </c>
      <c r="C41" s="73" t="n">
        <v>7896</v>
      </c>
      <c r="D41" s="73" t="n">
        <v>6063</v>
      </c>
      <c r="E41" s="73" t="n">
        <v>2967</v>
      </c>
      <c r="F41" s="73" t="n">
        <v>2900</v>
      </c>
      <c r="G41" s="73" t="n">
        <v>4152</v>
      </c>
      <c r="H41" s="73" t="n">
        <v>7277</v>
      </c>
      <c r="I41" s="73" t="n">
        <v>4659</v>
      </c>
      <c r="J41" s="73" t="n">
        <v>4654</v>
      </c>
      <c r="K41" s="73" t="n">
        <v>4880</v>
      </c>
      <c r="L41" s="73" t="n">
        <v>7218</v>
      </c>
      <c r="M41" s="73" t="n">
        <v>4012</v>
      </c>
      <c r="N41" s="73" t="n">
        <v>3009</v>
      </c>
      <c r="O41" s="73" t="n"/>
      <c r="R41" t="inlineStr">
        <is>
          <t>Interest paid fin</t>
        </is>
      </c>
      <c r="S41" s="73" t="n">
        <v>-16</v>
      </c>
      <c r="T41" s="73" t="n">
        <v>-28</v>
      </c>
      <c r="U41" s="73" t="n">
        <v>-25</v>
      </c>
      <c r="V41" s="73" t="n">
        <v>-49</v>
      </c>
      <c r="W41" s="73" t="n">
        <v>-98</v>
      </c>
      <c r="X41" s="73" t="n">
        <v>-44</v>
      </c>
      <c r="Y41" s="73" t="n">
        <v>-41</v>
      </c>
      <c r="Z41" s="73" t="n">
        <v>-40</v>
      </c>
      <c r="AA41" s="73" t="n">
        <v>-41</v>
      </c>
      <c r="AB41" s="73" t="n">
        <v>-46</v>
      </c>
      <c r="AC41" s="73" t="n">
        <v>-50</v>
      </c>
      <c r="AD41" s="73" t="n">
        <v>-82</v>
      </c>
    </row>
    <row r="42">
      <c r="B42" t="inlineStr">
        <is>
          <t>Loans n Advances</t>
        </is>
      </c>
      <c r="C42" s="73" t="n">
        <v>150</v>
      </c>
      <c r="D42" s="73" t="n">
        <v>14</v>
      </c>
      <c r="E42" s="73" t="n">
        <v>7</v>
      </c>
      <c r="F42" s="73" t="n">
        <v>74</v>
      </c>
      <c r="G42" s="73" t="n">
        <v>67</v>
      </c>
      <c r="H42" s="73" t="n">
        <v>6</v>
      </c>
      <c r="I42" s="73" t="n">
        <v>7</v>
      </c>
      <c r="J42" s="73" t="n">
        <v>11</v>
      </c>
      <c r="K42" s="73" t="n">
        <v>13</v>
      </c>
      <c r="L42" s="73" t="n">
        <v>31</v>
      </c>
      <c r="M42" s="73" t="n">
        <v>10</v>
      </c>
      <c r="N42" s="73" t="n">
        <v>9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2391</v>
      </c>
      <c r="D43" s="73" t="n">
        <v>5180</v>
      </c>
      <c r="E43" s="73" t="n">
        <v>5129</v>
      </c>
      <c r="F43" s="73" t="n">
        <v>7004</v>
      </c>
      <c r="G43" s="73" t="n">
        <v>7071</v>
      </c>
      <c r="H43" s="73" t="n">
        <v>4952</v>
      </c>
      <c r="I43" s="73" t="n">
        <v>4015</v>
      </c>
      <c r="J43" s="73" t="n">
        <v>6906</v>
      </c>
      <c r="K43" s="73" t="n">
        <v>7941</v>
      </c>
      <c r="L43" s="73" t="n">
        <v>4531</v>
      </c>
      <c r="M43" s="73" t="n">
        <v>5858</v>
      </c>
      <c r="N43" s="73" t="n">
        <v>5901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45952</v>
      </c>
      <c r="D44" s="73" t="n">
        <v>51651</v>
      </c>
      <c r="E44" s="73" t="n">
        <v>55898</v>
      </c>
      <c r="F44" s="73" t="n">
        <v>64241</v>
      </c>
      <c r="G44" s="73" t="n">
        <v>71739</v>
      </c>
      <c r="H44" s="73" t="n">
        <v>77311</v>
      </c>
      <c r="I44" s="73" t="n">
        <v>73761</v>
      </c>
      <c r="J44" s="73" t="n">
        <v>77196</v>
      </c>
      <c r="K44" s="73" t="n">
        <v>85831</v>
      </c>
      <c r="L44" s="73" t="n">
        <v>91754</v>
      </c>
      <c r="M44" s="73" t="n">
        <v>88003</v>
      </c>
      <c r="N44" s="73" t="n">
        <v>93637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-93</v>
      </c>
      <c r="T45" t="n">
        <v>266</v>
      </c>
      <c r="U45" t="n">
        <v>75</v>
      </c>
      <c r="V45" t="n">
        <v>-166</v>
      </c>
      <c r="W45" t="n">
        <v>169</v>
      </c>
      <c r="X45" t="n">
        <v>334</v>
      </c>
      <c r="Y45" t="n">
        <v>-367</v>
      </c>
      <c r="Z45" t="n">
        <v>-43</v>
      </c>
      <c r="AA45" t="n">
        <v>139</v>
      </c>
      <c r="AB45" t="n">
        <v>191</v>
      </c>
      <c r="AC45" t="n">
        <v>26</v>
      </c>
      <c r="AD45" t="n">
        <v>-4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t="inlineStr">
        <is>
          <t>Name</t>
        </is>
      </c>
      <c r="M56" t="inlineStr">
        <is>
          <t>CMP Rs.</t>
        </is>
      </c>
      <c r="N56" t="inlineStr">
        <is>
          <t>No. Eq. Shares Cr.</t>
        </is>
      </c>
      <c r="AR56" t="n">
        <v>486179.04</v>
      </c>
      <c r="AS56">
        <f>AZ56-BA56</f>
        <v/>
      </c>
      <c r="AT56" t="n">
        <v>484409.04</v>
      </c>
      <c r="AU56" t="n">
        <v>66052</v>
      </c>
      <c r="AV56">
        <f>AT56/AX56</f>
        <v/>
      </c>
      <c r="AW56" t="n">
        <v>14971</v>
      </c>
      <c r="AX56" t="n">
        <v>30.12</v>
      </c>
      <c r="AZ56" t="n">
        <v>1478</v>
      </c>
      <c r="BA56" t="n">
        <v>3248</v>
      </c>
    </row>
    <row r="57">
      <c r="K57" t="n">
        <v>1</v>
      </c>
      <c r="L57" t="inlineStr">
        <is>
          <t>Hind. Unilever</t>
        </is>
      </c>
      <c r="M57" t="n">
        <v>2070</v>
      </c>
      <c r="N57" t="n">
        <v>234.96</v>
      </c>
      <c r="AR57" t="n">
        <v>350880.25</v>
      </c>
      <c r="AS57">
        <f>AZ57-BA57</f>
        <v/>
      </c>
      <c r="AT57" t="n">
        <v>350270.52</v>
      </c>
      <c r="AU57" t="n">
        <v>76487.98</v>
      </c>
      <c r="AV57">
        <f>AT57/AX57</f>
        <v/>
      </c>
      <c r="AW57" t="n">
        <v>20183.53</v>
      </c>
      <c r="AX57" t="n">
        <v>12.3</v>
      </c>
      <c r="AZ57" t="n">
        <v>2399.06</v>
      </c>
      <c r="BA57" t="n">
        <v>3008.79</v>
      </c>
    </row>
    <row r="58">
      <c r="K58" t="n">
        <v>2</v>
      </c>
      <c r="L58" t="inlineStr">
        <is>
          <t>ITC</t>
        </is>
      </c>
      <c r="M58" t="n">
        <v>279.4</v>
      </c>
      <c r="N58" t="n">
        <v>1252.95</v>
      </c>
      <c r="AR58" t="n">
        <v>288186.08</v>
      </c>
      <c r="AS58">
        <f>AZ58-BA58</f>
        <v/>
      </c>
      <c r="AT58" t="n">
        <v>287289.37</v>
      </c>
      <c r="AU58" t="n">
        <v>24436.62</v>
      </c>
      <c r="AV58">
        <f>AT58/AX58</f>
        <v/>
      </c>
      <c r="AW58" t="n">
        <v>3860.49</v>
      </c>
      <c r="AX58" t="n">
        <v>49.51</v>
      </c>
      <c r="AZ58" t="n">
        <v>444.16</v>
      </c>
      <c r="BA58" t="n">
        <v>1340.87</v>
      </c>
    </row>
    <row r="59">
      <c r="K59" t="n">
        <v>3</v>
      </c>
      <c r="L59" t="inlineStr">
        <is>
          <t>Nestle India</t>
        </is>
      </c>
      <c r="M59" t="n">
        <v>1490</v>
      </c>
      <c r="N59" t="n">
        <v>192.83</v>
      </c>
      <c r="AR59" t="n">
        <v>147482.67</v>
      </c>
      <c r="AS59">
        <f>AZ59-BA59</f>
        <v/>
      </c>
      <c r="AT59" t="n">
        <v>147992.36</v>
      </c>
      <c r="AU59" t="n">
        <v>24126.49</v>
      </c>
      <c r="AV59">
        <f>AT59/AX59</f>
        <v/>
      </c>
      <c r="AW59" t="n">
        <v>3409.28</v>
      </c>
      <c r="AX59" t="n">
        <v>24.5</v>
      </c>
      <c r="AZ59" t="n">
        <v>2508.18</v>
      </c>
      <c r="BA59" t="n">
        <v>1998.49</v>
      </c>
    </row>
    <row r="60">
      <c r="K60" t="n">
        <v>4</v>
      </c>
      <c r="L60" t="inlineStr">
        <is>
          <t>Varun Beverages</t>
        </is>
      </c>
      <c r="M60" t="n">
        <v>437</v>
      </c>
      <c r="N60" t="n">
        <v>338.25</v>
      </c>
      <c r="AR60" t="n">
        <v>135577.79</v>
      </c>
      <c r="AS60">
        <f>AZ60-BA60</f>
        <v/>
      </c>
      <c r="AT60" t="n">
        <v>136605.63</v>
      </c>
      <c r="AU60" t="n">
        <v>19529.34</v>
      </c>
      <c r="AV60">
        <f>AT60/AX60</f>
        <v/>
      </c>
      <c r="AW60" t="n">
        <v>2610.26</v>
      </c>
      <c r="AX60" t="n">
        <v>35.68</v>
      </c>
      <c r="AZ60" t="n">
        <v>1380.28</v>
      </c>
      <c r="BA60" t="n">
        <v>352.44</v>
      </c>
    </row>
    <row r="61">
      <c r="K61" t="n">
        <v>5</v>
      </c>
      <c r="L61" t="inlineStr">
        <is>
          <t>Britannia Inds.</t>
        </is>
      </c>
      <c r="M61" t="n">
        <v>5617.2</v>
      </c>
      <c r="N61" t="n">
        <v>24.09</v>
      </c>
      <c r="AR61" t="n">
        <v>111986.06</v>
      </c>
      <c r="AS61">
        <f>AZ61-BA61</f>
        <v/>
      </c>
      <c r="AT61" t="n">
        <v>112050.06</v>
      </c>
      <c r="AU61" t="n">
        <v>14277</v>
      </c>
      <c r="AV61">
        <f>AT61/AX61</f>
        <v/>
      </c>
      <c r="AW61" t="n">
        <v>1952</v>
      </c>
      <c r="AX61" t="n">
        <v>41.69</v>
      </c>
      <c r="AZ61" t="n">
        <v>557</v>
      </c>
      <c r="BA61" t="n">
        <v>493</v>
      </c>
    </row>
    <row r="62">
      <c r="K62" t="n">
        <v>6</v>
      </c>
      <c r="L62" t="inlineStr">
        <is>
          <t>Marico</t>
        </is>
      </c>
      <c r="M62" t="n">
        <v>864</v>
      </c>
      <c r="N62" t="n">
        <v>129.84</v>
      </c>
      <c r="AR62" t="n">
        <v>111137.21</v>
      </c>
      <c r="AS62">
        <f>AZ62-BA62</f>
        <v/>
      </c>
      <c r="AT62" t="n">
        <v>109573.21</v>
      </c>
      <c r="AU62" t="n">
        <v>12626</v>
      </c>
      <c r="AV62">
        <f>AT62/AX62</f>
        <v/>
      </c>
      <c r="AW62" t="n">
        <v>1884</v>
      </c>
      <c r="AX62" t="n">
        <v>39.29</v>
      </c>
      <c r="AZ62" t="n">
        <v>413</v>
      </c>
      <c r="BA62" t="n">
        <v>1977</v>
      </c>
    </row>
    <row r="63">
      <c r="K63" t="n">
        <v>7</v>
      </c>
      <c r="L63" t="inlineStr">
        <is>
          <t>United Spirits</t>
        </is>
      </c>
      <c r="M63" t="n">
        <v>1535</v>
      </c>
      <c r="N63" t="n">
        <v>72.73999999999999</v>
      </c>
      <c r="AR63" t="n">
        <v>108322.98</v>
      </c>
      <c r="AS63">
        <f>AZ63-BA63</f>
        <v/>
      </c>
      <c r="AT63" t="n">
        <v>107722</v>
      </c>
      <c r="AU63" t="n">
        <v>20860.4</v>
      </c>
      <c r="AV63">
        <f>AT63/AX63</f>
        <v/>
      </c>
      <c r="AW63" t="n">
        <v>1642.24</v>
      </c>
      <c r="AX63" t="n">
        <v>34.7</v>
      </c>
      <c r="AZ63" t="n">
        <v>2819.51</v>
      </c>
      <c r="BA63" t="n">
        <v>3420.49</v>
      </c>
    </row>
    <row r="64">
      <c r="K64" t="n">
        <v>8</v>
      </c>
      <c r="L64" t="inlineStr">
        <is>
          <t>Tata Consumer</t>
        </is>
      </c>
      <c r="M64" t="n">
        <v>1087.9</v>
      </c>
      <c r="N64" t="n">
        <v>98.97</v>
      </c>
      <c r="AR64" t="n">
        <v>103910.9</v>
      </c>
      <c r="AS64">
        <f>AZ64-BA64</f>
        <v/>
      </c>
      <c r="AT64" t="n">
        <v>107326.01</v>
      </c>
      <c r="AU64" t="n">
        <v>15948.95</v>
      </c>
      <c r="AV64">
        <f>AT64/AX64</f>
        <v/>
      </c>
      <c r="AW64" t="n">
        <v>1913.54</v>
      </c>
      <c r="AX64" t="n">
        <v>30.69</v>
      </c>
      <c r="AZ64" t="n">
        <v>4420.52</v>
      </c>
      <c r="BA64" t="n">
        <v>1005.41</v>
      </c>
    </row>
    <row r="65">
      <c r="K65" t="n">
        <v>9</v>
      </c>
      <c r="L65" t="inlineStr">
        <is>
          <t>Godrej Consumer</t>
        </is>
      </c>
      <c r="M65" t="n">
        <v>1018</v>
      </c>
      <c r="N65" t="n">
        <v>102.33</v>
      </c>
      <c r="AR65" t="n">
        <v>72767.19</v>
      </c>
      <c r="AS65">
        <f>AZ65-BA65</f>
        <v/>
      </c>
      <c r="AT65" t="n">
        <v>73492.44</v>
      </c>
      <c r="AU65" t="n">
        <v>13552.38</v>
      </c>
      <c r="AV65">
        <f>AT65/AX65</f>
        <v/>
      </c>
      <c r="AW65" t="n">
        <v>1946.56</v>
      </c>
      <c r="AX65" t="n">
        <v>23.32</v>
      </c>
      <c r="AZ65" t="n">
        <v>1287.32</v>
      </c>
      <c r="BA65" t="n">
        <v>562.0700000000001</v>
      </c>
    </row>
    <row r="66">
      <c r="K66" t="n">
        <v>10</v>
      </c>
      <c r="L66" t="inlineStr">
        <is>
          <t>Dabur India</t>
        </is>
      </c>
      <c r="M66" t="n">
        <v>410</v>
      </c>
      <c r="N66" t="n">
        <v>177.4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09" min="2" max="2"/>
    <col width="23.44140625" customWidth="1" style="109" min="3" max="3"/>
    <col width="26.88671875" customWidth="1" style="109" min="4" max="4"/>
    <col width="24" customWidth="1" style="109" min="5" max="5"/>
  </cols>
  <sheetData>
    <row r="1" ht="15" customHeight="1" s="109" thickBot="1"/>
    <row r="2" ht="15" customHeight="1" s="109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09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09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09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09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09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09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09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09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09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09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09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09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09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09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09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09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09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09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09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09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09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09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09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09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09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09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09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09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09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09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09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09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09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09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09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09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09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09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09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09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09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09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09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09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09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09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09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09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09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09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09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09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09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09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09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09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09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09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09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09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09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09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09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09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09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09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09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09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09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09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09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09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09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09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09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09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09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09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09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09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09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09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09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09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09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09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09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09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09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09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09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09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09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09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09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09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09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09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09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09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09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09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09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09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09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09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09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09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09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09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09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09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09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09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09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09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09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09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09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09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09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09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09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09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09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09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09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09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09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09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09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09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09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09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09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09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09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09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09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09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09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09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09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09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09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09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09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09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09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09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09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09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09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09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09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09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09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09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09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09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09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09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09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09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09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09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09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09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09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09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09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09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09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09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09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09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09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09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09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09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09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09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09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09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09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09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09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09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09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09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09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09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09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09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09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09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09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09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09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09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09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09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09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09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09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09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09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09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09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09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09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09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09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09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09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09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09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09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09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09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09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09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09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09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09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09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09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09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09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09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09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09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09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09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09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09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09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09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09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09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09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09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09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09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09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09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09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09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09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09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09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09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09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09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09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09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09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09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09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09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09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09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09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09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09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09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09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09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09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09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09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09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09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09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09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09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09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09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09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09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09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09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09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09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09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09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09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09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09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09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09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09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09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09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09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09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09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09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09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09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09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09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09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09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09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09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09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09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09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09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09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09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09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09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09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09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09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09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09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09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09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09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09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09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09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09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09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09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09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09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09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09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09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09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09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09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09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09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09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09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09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09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09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09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09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09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09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09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09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09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09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09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09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09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09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09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09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09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09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09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09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09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09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09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09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09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09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09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09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09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09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09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09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09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09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09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09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09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09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09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09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09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09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09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09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09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09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09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09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09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09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09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09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09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09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09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09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09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09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09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09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09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09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09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09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09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09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09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09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09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09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09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09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09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09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09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09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09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09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09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09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09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09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09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09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09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09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09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09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09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09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09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09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09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09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09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09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09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09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09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09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09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09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09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09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09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09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09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09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09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09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09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09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09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09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09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09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09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09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09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09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09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09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09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09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09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09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09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09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09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09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09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09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09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09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09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09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09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09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09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09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09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09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09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09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09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09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09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09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09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09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09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09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09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09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09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09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09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09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09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09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09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09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09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09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09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09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09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09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09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09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09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09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09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09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09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09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09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09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09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09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09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09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09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09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09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09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09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09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09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09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09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09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09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09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09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09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09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09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09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09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09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09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09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09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09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09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09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09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09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09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09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09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09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09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09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09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09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09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09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09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09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09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09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09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09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09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09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09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09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09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09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09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09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09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09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09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09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09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09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09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09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09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09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09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09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09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09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09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09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09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09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09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09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09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09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09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09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09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09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09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09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09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09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09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09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09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09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09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09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09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09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09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09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09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09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09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09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09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09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09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09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09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09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09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09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09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09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09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09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09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09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09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09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09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09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09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09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09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09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09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09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09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09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09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09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09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09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09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09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09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09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09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09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09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09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09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09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09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09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09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09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09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09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09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09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09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09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09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09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09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09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09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09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09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09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09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09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09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09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09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09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09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09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09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09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09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09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09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09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09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09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09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09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09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09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09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09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09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09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09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09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09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09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09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09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09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09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09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09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09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09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09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09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09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09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09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09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09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09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09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09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09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09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09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09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09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09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09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09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09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09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09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09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09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09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09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09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09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09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09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09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09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09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09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09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09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09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09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09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09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09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09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09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09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09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09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09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09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09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09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09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09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09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09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09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09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09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09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09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09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09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09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09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09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09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09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09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09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09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09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09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09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09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09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09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09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09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09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09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09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09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09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09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09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09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09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09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09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09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09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09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09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09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09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09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09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09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09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09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09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09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09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09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09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09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09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09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09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09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09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09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09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09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09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09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09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09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09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09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09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09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09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09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09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09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09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09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09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09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09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09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09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09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09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09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09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09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09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09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09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09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09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09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09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09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09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09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09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09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09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09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09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09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09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09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09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09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09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09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09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09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09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09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09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09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09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09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09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09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09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09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09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09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09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09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09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09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09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09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09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09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09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09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09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09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09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09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09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09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09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09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09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09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09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09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09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09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09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09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09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09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09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09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09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09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09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09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09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09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09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09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09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09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09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09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09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09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09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09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09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09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09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09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09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09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09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09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09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09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09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09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09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09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09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09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09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09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09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09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09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09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09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09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09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09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09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09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09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09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09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09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09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09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09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09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09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09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09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09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09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09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09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09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09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09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09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09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09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09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09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09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09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09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09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09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09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09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09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09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09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09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09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09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09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09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09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09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09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09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09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09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09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09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09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09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09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09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09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09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09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09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09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09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09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09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09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09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09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09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09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09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09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09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09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09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09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09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09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09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09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09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09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09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09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09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09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09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09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09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09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09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09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09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09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09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09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09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09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09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09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09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09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09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09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09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09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09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09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09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09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09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09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09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09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09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09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09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09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09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09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09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09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09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09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09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09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09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09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09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09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09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09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09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09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09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09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09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09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09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09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09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09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09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09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09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09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09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09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09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09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09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09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09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09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09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09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09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09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09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09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09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09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09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09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09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09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09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09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09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09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09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09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09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09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09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09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09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09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09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09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09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09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09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09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09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09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09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09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09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09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09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09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09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09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09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09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09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09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09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09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09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09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09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09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09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09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09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09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09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09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09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09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09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09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09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09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09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09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09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09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09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09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09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09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09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09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09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09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09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09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09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09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09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09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09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09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09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09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09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09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09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09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09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09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09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09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09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09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09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09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09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09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09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09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09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09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09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09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09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09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09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09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09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09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09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09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09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09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09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09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09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09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09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09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09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09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09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09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09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09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09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09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09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09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09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09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09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09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09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09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09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09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09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09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09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09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09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09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09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09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09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09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09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09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09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09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09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09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09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09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09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09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09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09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09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09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09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09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09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09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09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09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09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09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09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09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09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09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09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09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09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09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09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09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09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09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09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09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09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09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09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09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09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09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09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09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09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09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09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09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09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09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09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09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09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09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09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09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09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09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09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09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09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09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09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09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09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09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09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09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09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09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09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09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09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09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09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09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09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09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09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09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09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09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09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09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09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09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09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09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09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09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09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09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09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09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09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09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09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09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09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09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09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09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09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09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09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09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09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09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09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09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09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09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09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09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09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09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09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09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09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09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09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09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09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09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09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09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09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09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09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09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09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09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09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09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09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09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09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09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09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09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09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09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09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09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09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09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09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09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09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09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09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09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09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09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09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09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09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09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09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09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09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09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09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09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09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09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09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09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09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09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09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09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09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09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09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09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09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09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09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09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09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09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09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09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09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09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09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09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09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09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09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09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09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09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09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09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09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09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09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09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09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09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09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09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09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09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09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09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09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09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09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09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09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09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09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09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09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09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09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09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09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09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09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09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09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09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09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09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09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09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09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09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09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09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09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09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09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09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09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09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09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09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09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09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09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09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09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09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09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09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09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09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09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09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09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09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09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09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09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09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09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09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09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09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09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09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09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09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09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09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09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09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09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09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09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09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09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09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09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09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09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09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09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09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09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09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09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09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09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09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09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09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09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09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09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09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09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09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09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09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09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09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09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09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09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09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09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09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09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09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09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09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09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09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09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09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09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09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09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09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09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09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09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09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09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09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09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09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09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09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09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09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09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09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09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09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09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09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09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09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09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09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09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09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09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09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09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09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09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09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09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09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09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09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09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09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09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09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09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09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09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09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09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09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09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09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09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09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09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09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09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09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09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09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09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09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09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09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09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09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09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09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09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09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09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09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09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09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09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09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09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09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09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09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09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09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09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09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09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09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09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09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09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09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09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09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09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09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09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09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09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09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09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09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09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09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09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09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09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09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09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09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09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09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09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09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09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09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09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09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09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09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09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09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09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09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09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09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09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09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09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09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09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09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09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09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09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09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09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09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09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09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09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09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09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09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09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09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09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09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09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09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09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09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09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09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09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09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09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09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09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09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09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09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09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09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09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09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09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09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09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09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09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09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09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09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09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09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09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09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09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09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09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09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09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09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09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09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09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09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09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09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09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09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09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09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09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09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09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09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09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09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09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09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09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09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09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09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09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09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09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09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09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09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09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09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09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09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09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09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09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09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09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09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09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09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09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09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09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09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09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09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09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09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09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09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09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09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09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09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09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09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09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09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09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09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09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09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09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09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09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09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09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09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09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09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09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09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09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09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09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09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09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09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09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09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09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09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09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09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09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09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09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09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09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09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09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09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09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09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09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09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09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09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09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09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09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09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09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09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09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09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09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09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09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09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09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09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09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09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09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09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09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09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09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09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09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09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09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09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09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09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09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09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09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09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09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09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09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09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09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09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09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09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09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09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09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09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09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09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09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09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09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09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09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09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09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09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09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09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09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09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09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09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09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09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09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09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09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09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09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09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09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09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09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09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09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09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09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09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09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09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09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09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09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09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09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09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09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09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09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09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09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09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09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09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09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09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09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09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09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09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09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09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09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09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09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09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09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09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09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09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09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09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09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09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09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09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09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09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09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09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09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09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09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09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09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09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09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09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09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09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09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09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09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09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09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09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09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09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09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09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09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09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09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09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09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09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09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09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09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09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09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09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09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09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09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09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09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09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09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09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09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09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09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09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09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09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09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09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09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09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09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09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09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09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09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09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09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09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09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09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09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09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09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09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09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09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09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09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09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09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09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09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09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09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09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09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09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09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09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09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09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09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09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09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09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09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09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09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09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09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09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09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09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09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09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09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09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09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09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09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09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09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09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09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09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09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09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09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09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09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09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09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09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09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09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09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09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09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09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09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09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09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09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09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09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09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09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09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09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09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09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09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09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09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09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09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09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09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09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09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09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09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09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09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09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09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09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09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09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09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09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09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09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09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09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09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09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09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09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09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09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09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09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09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09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09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09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09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09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09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09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09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09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09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09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09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09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09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09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09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09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09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09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09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09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09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09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09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09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09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09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09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09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09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09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09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09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09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09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09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09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09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09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09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09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09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09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09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09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09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09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09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09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09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09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09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09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09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09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09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09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09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09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09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09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09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09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09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09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09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09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09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09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09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09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09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09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09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09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09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09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09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09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09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09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09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09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09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09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09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09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09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09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09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09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09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09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09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09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09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09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09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09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09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09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09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09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09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09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09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09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09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09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09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09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09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09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09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09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09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09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09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09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09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09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09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09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09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09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09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09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09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09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09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09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09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09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09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09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09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09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09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09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09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09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09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09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09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09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09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09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09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09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09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09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09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09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09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09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09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09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09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09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09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09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09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09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09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09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09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09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09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09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09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09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09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09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09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09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09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09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09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09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09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09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09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09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09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09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09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09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09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09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09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09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09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09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09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09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09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09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09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09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09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09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09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09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09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09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09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09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09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09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09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09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09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09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09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09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09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09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09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09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09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09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09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09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09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09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09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09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09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09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09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09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09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09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09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09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09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09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09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09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09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09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09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09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09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09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09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09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09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09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09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09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09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09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09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09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09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09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09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09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09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09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09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09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09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09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09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09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09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09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09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09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09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09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09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09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09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09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09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09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09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09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09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09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09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09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09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09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09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09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09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09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09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09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09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09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09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09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09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09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09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09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09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09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09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09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09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09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09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09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09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09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09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09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09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09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09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09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09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09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09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09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09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09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09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09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09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09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09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09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09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09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09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09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09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09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09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09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09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09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09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09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09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09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09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09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09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09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09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09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09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09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09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09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09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09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09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09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09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09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09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09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09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09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09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09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09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09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09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09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09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09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09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09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09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09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09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09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09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09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09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09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09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09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09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09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09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09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09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09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09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09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09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09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09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09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09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09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09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09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09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09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09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09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09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09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09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09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09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09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09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09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09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09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09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09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09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09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09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09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09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09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09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09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09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09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09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09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09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09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09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09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09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09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09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09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09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09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09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09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09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09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09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09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09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09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09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09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09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09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09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09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09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09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09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09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09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09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09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09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09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09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09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09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09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09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09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09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09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09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09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09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09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09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09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09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09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09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09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09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09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09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09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09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09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09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09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09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09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09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09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09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09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09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09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09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09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09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09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09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09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09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09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09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09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09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09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09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09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09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09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09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09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09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09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09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09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09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09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09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09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09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09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09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09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09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09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09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09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09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09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09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09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09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09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09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09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09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09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09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09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09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09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09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09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09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09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09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09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09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09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09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09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09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09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09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09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09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09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09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09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09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09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09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09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09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09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09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09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09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09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09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09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09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09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09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09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09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09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09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09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09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09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09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09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09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09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09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09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09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09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09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09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09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09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09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09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09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09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09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09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09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09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09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09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09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09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09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09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09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09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09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09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09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09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09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09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09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09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09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09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09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09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09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09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09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09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09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09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09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09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09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09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09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09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09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09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09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09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09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09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09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09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09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09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09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09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09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09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09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09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09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09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09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09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09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09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09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09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09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09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09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09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09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09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09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09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09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09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09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09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09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09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09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09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09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09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09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09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09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09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09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09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09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09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09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09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09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09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09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09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09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09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09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09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09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09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09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09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09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09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09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09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09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09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09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09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09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09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09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09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09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09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09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09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09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09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09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09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09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09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09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09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09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09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09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09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09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09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09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09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09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09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09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09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09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09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09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09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09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09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09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09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09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09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09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09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09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09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09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09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09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09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09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09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09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09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09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09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09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09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09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09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09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09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09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09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09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09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09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09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09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09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09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09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09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09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09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09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09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09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09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09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09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09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09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09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09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09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09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09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09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09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09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09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09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09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09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09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09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09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09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09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09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09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09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09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09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09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09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09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09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09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09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09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09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09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09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09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09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09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09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09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09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09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09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09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09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09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09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09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09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09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09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09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09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09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09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09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09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09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09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09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09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09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09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09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09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09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09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09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09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09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09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09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09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09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09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09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09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09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09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09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09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09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09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09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09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09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09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09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09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09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09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09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09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09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09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09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09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09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09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09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09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09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09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09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09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09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09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09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09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09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09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09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09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09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09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09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09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09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09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09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09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09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09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09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09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09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09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09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09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09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09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09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09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09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09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09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09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09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09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09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09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09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09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09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09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09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09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09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09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09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09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09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09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09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09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09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09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09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09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09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09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09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09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09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09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09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09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09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09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09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09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09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09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09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09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09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09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09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09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09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09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09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09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09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09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09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09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09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09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09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09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09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09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09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09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09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09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09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09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09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09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09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09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09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09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09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09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09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09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09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09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09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09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09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09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09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09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09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09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09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09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09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09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09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09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09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09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09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09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09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09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09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09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09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09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09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09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09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09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09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09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09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09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09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09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09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09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09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09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09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09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09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09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09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09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09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09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09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09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09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09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09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09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09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09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09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09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09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09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09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09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09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09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09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09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09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09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09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09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09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09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09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09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09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09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09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09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09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09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09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09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09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09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09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09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09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09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09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09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09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09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09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09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09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09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09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09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09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09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09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09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09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09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09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09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09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09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09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09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09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09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09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09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09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09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09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09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09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09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09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09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09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09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09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09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09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09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09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09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09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09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09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09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09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09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09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09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09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09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09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09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09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09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09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09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09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09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09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09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09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09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09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09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09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09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09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09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09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09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09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09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09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09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09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09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09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09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09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09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09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09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09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09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09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09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09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09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09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09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09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09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09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09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09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09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09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09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09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09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09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09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09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09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09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09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09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09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09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09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09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09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09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09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09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09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09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09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09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09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09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09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09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09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09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09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09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09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09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09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09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09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09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09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09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09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09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09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09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09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09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09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09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09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09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09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09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09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09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09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09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09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09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09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09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09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09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09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09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09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09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09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09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09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09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09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09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09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09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09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09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09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09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09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09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09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09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09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09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09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09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09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09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09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09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09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09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09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09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09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09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09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09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09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09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09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09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09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09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09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09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09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09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09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09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09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09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09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09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09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09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09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09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09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09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09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09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09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09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09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09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09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09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09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09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09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09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09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09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09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09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09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09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09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09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09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09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09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09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09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09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09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09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09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09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09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09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09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09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09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09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09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09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09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09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09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09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09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09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09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09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09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09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09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09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09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09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09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09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09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09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09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09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09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09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09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09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09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09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09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09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09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09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09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09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09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09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09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09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09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09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09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09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09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09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09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09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09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09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09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09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09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09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09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09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09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09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09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09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09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09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09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09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09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09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09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09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09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09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09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09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09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09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09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09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09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09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09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09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09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09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09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09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09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09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09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09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09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09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09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09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09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09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09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09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09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09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09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09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09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09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09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09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09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09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09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09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09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09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09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09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09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09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09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09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09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09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09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09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09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09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09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09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09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09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09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09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09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09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09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09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09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09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09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09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09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09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09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09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09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09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09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09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09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09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09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09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09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09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09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09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09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09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09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09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09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09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09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09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09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09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09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09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09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09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09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09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09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09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09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09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09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09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09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09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09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09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09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09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09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09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09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09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09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09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09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09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09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09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09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09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09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09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09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09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09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09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09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09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09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09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09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09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09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09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09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09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09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09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09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09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09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09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09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09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09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09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09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09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09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09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09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09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09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09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09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09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09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09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09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09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09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09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09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09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09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09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09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09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09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09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09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09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09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09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09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09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09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09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09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09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09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09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09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09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09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09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09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09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09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09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09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09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09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09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09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09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09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09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09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09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09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09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09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09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09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09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09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09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09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09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09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09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09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09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09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09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09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09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09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09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09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09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09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09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09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09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09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09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09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09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09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09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09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09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09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09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09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09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09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09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09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09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09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09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09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09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09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09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09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09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09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09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09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09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09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09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09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09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09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09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09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09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09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09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09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09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09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09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09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09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09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09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09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09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09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09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09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09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09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09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09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09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09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09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09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09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09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09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09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09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09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09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09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09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09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09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09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09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09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09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09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09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09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09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09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09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09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09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09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09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09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09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09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09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09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09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09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09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09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09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09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09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09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09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09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09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09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09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09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09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09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09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09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09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09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09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09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09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09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09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09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09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09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09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09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09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09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09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09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09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09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09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09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09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09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09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09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09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09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09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09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09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09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09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09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09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09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09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09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09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09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09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09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09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09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09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09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09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09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09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09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09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09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09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09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09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09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09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09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09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09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09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09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09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09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09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09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09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09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09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09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09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09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09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09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09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09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09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09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09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09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09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09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09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09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09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09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09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09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09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09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09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09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09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09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09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09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09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09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09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09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09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09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09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09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09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09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09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09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09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09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09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09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09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09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09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09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09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09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09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09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09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09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09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09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09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09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09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09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09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09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09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09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09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09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09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09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09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09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09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09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09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09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09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09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09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09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09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09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09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09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09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09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09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09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09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09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09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09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09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09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09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09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09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09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09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09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09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09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09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09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09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09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09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09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09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09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09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09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09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09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09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09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09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09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09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09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09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09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09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09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09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09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09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09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09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09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09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09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09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09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09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09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09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09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09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09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09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09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09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09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09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09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09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09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09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09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09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09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09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09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09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09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09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09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09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09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09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09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09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09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09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09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09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09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09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09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09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09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09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09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09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09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09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09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09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09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09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09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09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09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09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09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09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09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09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09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09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09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09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09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09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09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09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09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09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09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09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09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09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09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09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09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09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09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09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09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09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09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09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09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09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09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09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09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09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09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09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09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09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09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09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09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09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09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09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09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09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09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09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09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09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09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09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09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09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09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09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09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09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09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09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09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09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09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09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09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09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09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09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09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09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09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09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09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09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09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09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09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09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09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09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09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09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09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09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09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09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09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09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09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09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09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09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09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09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09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09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09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09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09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09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09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09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09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09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09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09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09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09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09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09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09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09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09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09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09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09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09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09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09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09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09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09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09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09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09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09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09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09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09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09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09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09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09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09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09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09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09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09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09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09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09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09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09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09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09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09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09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09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09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09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09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09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09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09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09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09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09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09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09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09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09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09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09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09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09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09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09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09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09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09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09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09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09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09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09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09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09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09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09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09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09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09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09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09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09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09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09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09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09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09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09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09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09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09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09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09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09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09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09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09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09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09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09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09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09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09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09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09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09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09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09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09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09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09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09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09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09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09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09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09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09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09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09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09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09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09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09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09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09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09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09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09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09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09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09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09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09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09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09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09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09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09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09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09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09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09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09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09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09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09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09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09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09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09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09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09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09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09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09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09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09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09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09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09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09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09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09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09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09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09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09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09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09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09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09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09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09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09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09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09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09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09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09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09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09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09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09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09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09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09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09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09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09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09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09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09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09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09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09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09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09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09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09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09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09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09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09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09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09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09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09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09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09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09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09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09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09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09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09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09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09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09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09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09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09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09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09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09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09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09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09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09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09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09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09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09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09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09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09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09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09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09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09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09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09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09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09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09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09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09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09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09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09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09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09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09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09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09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09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09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09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09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09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09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09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09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09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09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09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09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09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09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09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09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09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09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09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09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09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09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09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09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09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09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09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09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09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09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09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09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09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09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09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09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09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09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09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09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09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09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09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09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09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09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09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09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09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09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09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09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09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09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09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09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09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09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09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09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09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09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09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09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09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09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09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09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09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09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09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09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09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09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09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09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09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09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09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09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09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09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09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09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09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09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09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09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09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09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09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09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09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09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09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09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09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09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09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09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09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09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09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09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09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09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09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09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09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09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09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09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09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09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09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09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09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09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09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09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09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09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09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09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09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09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09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09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09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09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09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09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09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09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09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09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09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09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09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09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09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09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09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09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09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09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09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09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09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09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09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09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09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09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09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09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09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09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09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09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09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09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09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09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09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09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09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09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09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09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09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09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09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09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09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09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09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09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09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09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09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09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09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09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09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09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09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09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09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09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09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09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09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09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09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09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09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09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09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09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09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09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09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09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09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09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09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09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09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09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09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09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09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09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09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09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09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09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09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09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09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09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09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09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09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09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09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09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09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09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09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09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09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09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09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09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09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09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09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09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09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09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09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09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09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09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09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09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09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09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09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09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09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09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09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09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09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09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09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09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09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09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09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09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09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09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09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09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09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09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09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09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09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09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09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09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09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09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09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09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09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09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09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09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09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09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09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09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09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09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09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09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09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09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09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09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09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09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09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09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09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09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09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09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09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09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09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09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09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09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09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09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09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09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09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09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09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09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09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09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09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09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09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09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09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09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09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09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09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09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09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09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09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09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09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09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09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09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09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09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09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09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09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09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09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09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09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09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09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09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09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09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09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09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09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09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09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09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09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09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09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09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09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09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09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09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09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09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09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09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09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09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09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09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09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09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09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09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09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09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09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09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09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09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09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09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09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09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09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09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09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09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09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09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09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09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09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09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09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09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09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09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09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09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09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09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09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09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09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09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09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09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09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09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09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09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09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09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09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09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09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09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09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09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09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09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09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09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09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09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09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09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09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09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09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09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09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09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09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09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09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09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09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09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09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09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09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09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09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09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09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09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09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09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09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09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09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09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09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09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09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09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09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09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09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09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09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09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09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09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09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09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09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09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09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09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09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09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09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09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09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09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09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09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09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09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09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09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09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09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09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09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09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09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09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09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09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09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09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09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09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09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09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09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09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09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09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09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09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09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09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09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09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09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09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09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09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09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09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09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09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09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09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09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09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09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09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09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09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09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09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09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09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09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09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09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09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09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09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09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09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09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09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09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09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09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09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09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09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09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09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09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09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09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09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09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09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09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09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09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09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09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09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09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09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09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09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09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09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09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09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09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09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09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09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09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09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09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09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09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09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09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09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09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09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09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09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09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09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09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09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09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09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09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09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09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09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09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09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09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09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09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09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09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09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09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09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09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09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09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09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09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09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09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09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09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09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09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09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09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09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09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09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09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09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09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09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09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09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09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09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09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09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09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09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09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09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09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09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09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09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09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09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09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09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09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09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09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09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09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09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09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09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09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09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09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09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09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09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09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09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09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09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09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09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09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09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09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09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09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09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09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09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09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09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09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09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09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09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09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09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09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09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09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09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09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09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09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09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09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09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09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09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09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09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09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09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09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09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09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09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09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09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09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09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09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09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09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09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09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09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09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09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09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09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09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09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09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09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09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09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09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09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09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09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09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09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09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09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09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09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09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09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09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09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09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09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09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09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09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09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09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09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09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09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09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09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09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09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09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09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09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09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09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09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09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09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09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09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09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09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09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09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09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09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09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09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09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09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09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09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09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09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09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09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09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09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09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09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09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09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09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09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09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09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09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09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09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09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09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09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09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09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09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09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09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09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09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09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09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09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09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09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09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09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09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09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09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09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09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09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09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09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09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09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09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09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09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09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09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09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09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09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09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09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09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09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09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09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09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09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09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09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09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09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09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09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09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09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09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09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09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09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09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09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09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09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09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09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09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09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09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09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09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09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09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09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09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09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09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09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09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09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09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09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09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09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09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09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09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09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09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09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09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09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09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09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09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09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09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09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09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09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09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09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09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09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09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09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09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09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09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09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09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09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09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09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09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09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09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09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09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09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09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09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09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09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09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09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09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09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09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09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09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09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09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09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09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09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09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09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09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09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09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09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09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09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09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09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09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09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09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09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09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09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09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09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09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09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09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09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09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09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09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09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09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09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09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09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09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09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09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09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09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09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09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09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09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09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09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09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09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09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09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09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09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09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09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09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2026-09-23T12:27:50Z</dcterms:modified>
  <cp:lastModifiedBy>Loveish</cp:lastModifiedBy>
  <cp:lastPrinted>2012-12-06T18:14:13Z</cp:lastPrinted>
</cp:coreProperties>
</file>