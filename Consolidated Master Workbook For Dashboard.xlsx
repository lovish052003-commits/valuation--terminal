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"/>
    </mc:Choice>
  </mc:AlternateContent>
  <xr:revisionPtr revIDLastSave="0" documentId="13_ncr:1_{39A4B86F-925B-4B2F-A955-CF965DF5264C}" xr6:coauthVersionLast="47" xr6:coauthVersionMax="47" xr10:uidLastSave="{00000000-0000-0000-0000-000000000000}"/>
  <bookViews>
    <workbookView xWindow="-108" yWindow="-108" windowWidth="23256" windowHeight="12456" xr2:uid="{260A7F90-94FD-4B52-8C2C-301FFF211DCA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8" i="1" l="1"/>
  <c r="U7" i="1"/>
  <c r="U6" i="1"/>
  <c r="U5" i="1"/>
  <c r="U4" i="1"/>
  <c r="T8" i="1"/>
  <c r="T7" i="1"/>
  <c r="T6" i="1"/>
  <c r="T5" i="1"/>
  <c r="T4" i="1"/>
  <c r="S8" i="1"/>
  <c r="S7" i="1"/>
  <c r="S6" i="1"/>
  <c r="S5" i="1"/>
  <c r="S4" i="1"/>
  <c r="R8" i="1"/>
  <c r="R7" i="1"/>
  <c r="R6" i="1"/>
  <c r="R5" i="1"/>
  <c r="R4" i="1"/>
  <c r="Q8" i="1"/>
  <c r="Q7" i="1"/>
  <c r="Q6" i="1"/>
  <c r="Q5" i="1"/>
  <c r="Q4" i="1"/>
  <c r="L4" i="1" l="1"/>
  <c r="L5" i="1"/>
  <c r="L6" i="1"/>
  <c r="L7" i="1"/>
  <c r="L8" i="1"/>
  <c r="K4" i="1"/>
  <c r="K5" i="1"/>
  <c r="K6" i="1"/>
  <c r="K7" i="1"/>
  <c r="K8" i="1"/>
  <c r="J4" i="1"/>
  <c r="J5" i="1"/>
  <c r="J6" i="1"/>
  <c r="J7" i="1"/>
  <c r="J8" i="1"/>
  <c r="P4" i="1"/>
  <c r="P5" i="1"/>
  <c r="P6" i="1"/>
  <c r="P7" i="1"/>
  <c r="P8" i="1"/>
  <c r="O4" i="1"/>
  <c r="O5" i="1"/>
  <c r="O6" i="1"/>
  <c r="O7" i="1"/>
  <c r="O8" i="1"/>
  <c r="N4" i="1"/>
  <c r="M4" i="1"/>
  <c r="N5" i="1"/>
  <c r="M5" i="1"/>
  <c r="N6" i="1"/>
  <c r="M6" i="1"/>
  <c r="N7" i="1"/>
  <c r="M7" i="1"/>
  <c r="N8" i="1"/>
  <c r="M8" i="1"/>
  <c r="I4" i="1"/>
  <c r="I5" i="1"/>
  <c r="I6" i="1"/>
  <c r="I7" i="1"/>
  <c r="I8" i="1"/>
  <c r="H4" i="1"/>
  <c r="H5" i="1"/>
  <c r="H6" i="1"/>
  <c r="H7" i="1"/>
  <c r="H8" i="1"/>
  <c r="G4" i="1"/>
  <c r="G5" i="1"/>
  <c r="G6" i="1"/>
  <c r="G7" i="1"/>
  <c r="G8" i="1"/>
  <c r="D4" i="1"/>
  <c r="D5" i="1"/>
  <c r="D6" i="1"/>
  <c r="D7" i="1"/>
  <c r="D8" i="1"/>
  <c r="C8" i="1"/>
  <c r="C7" i="1"/>
  <c r="C6" i="1"/>
  <c r="C5" i="1"/>
  <c r="C4" i="1"/>
  <c r="E8" i="1" l="1"/>
  <c r="F8" i="1" s="1"/>
  <c r="E7" i="1"/>
  <c r="F7" i="1" s="1"/>
  <c r="E6" i="1"/>
  <c r="F6" i="1" s="1"/>
  <c r="E5" i="1"/>
  <c r="F5" i="1" s="1"/>
  <c r="E4" i="1"/>
  <c r="F4" i="1" s="1"/>
</calcChain>
</file>

<file path=xl/sharedStrings.xml><?xml version="1.0" encoding="utf-8"?>
<sst xmlns="http://schemas.openxmlformats.org/spreadsheetml/2006/main" count="25" uniqueCount="25">
  <si>
    <t>Company</t>
  </si>
  <si>
    <t>Current Market Price (₹)</t>
  </si>
  <si>
    <t>DCF Intrinsic Value (₹)</t>
  </si>
  <si>
    <t>Implied Price (EV/EBITDA)</t>
  </si>
  <si>
    <t>Implied Price (P/E)</t>
  </si>
  <si>
    <t>WACC (%)</t>
  </si>
  <si>
    <t>Hind. Unilever</t>
  </si>
  <si>
    <t>ITC</t>
  </si>
  <si>
    <t>Nestle India</t>
  </si>
  <si>
    <t>Varun Beverages</t>
  </si>
  <si>
    <t>Britannia Inds.</t>
  </si>
  <si>
    <t>PV of Explicit FCFF</t>
  </si>
  <si>
    <t>PV of Terminal Value</t>
  </si>
  <si>
    <t>Enterprise Value</t>
  </si>
  <si>
    <t>Cash</t>
  </si>
  <si>
    <t>Debt</t>
  </si>
  <si>
    <t>Equity Value</t>
  </si>
  <si>
    <t>Share Outstanding</t>
  </si>
  <si>
    <t>Upside (%)</t>
  </si>
  <si>
    <t>Valuation Recommendation</t>
  </si>
  <si>
    <t>Return on Assets (%)</t>
  </si>
  <si>
    <t>Return on Equity (%)</t>
  </si>
  <si>
    <t>Altman's Score</t>
  </si>
  <si>
    <t>EBITDA</t>
  </si>
  <si>
    <t>Net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</si>
</sst>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;\(&quot;₹&quot;\ #,##0.0\);\-"/>
  </numFmts>
  <fonts count="4" x14ac:knownFonts="1"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1" fillId="2" borderId="0" xfId="0" applyFont="1" applyFill="1"/>
    <xf numFmtId="0" fontId="2" fillId="0" borderId="1" xfId="0" applyNumberFormat="1" applyFont="1" applyBorder="1"/>
    <xf numFmtId="0" fontId="0" fillId="0" borderId="1" xfId="0" applyNumberFormat="1" applyBorder="1"/>
    <xf numFmtId="10" fontId="0" fillId="0" borderId="1" xfId="1" applyNumberFormat="1" applyFont="1" applyBorder="1"/>
    <xf numFmtId="0" fontId="0" fillId="0" borderId="1" xfId="0" applyNumberFormat="1" applyBorder="1" applyAlignment="1">
      <alignment horizontal="center"/>
    </xf>
    <xf numFmtId="164" fontId="0" fillId="0" borderId="1" xfId="0" applyNumberFormat="1" applyBorder="1"/>
    <xf numFmtId="4" fontId="0" fillId="0" borderId="1" xfId="0" applyNumberForma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wnloads\Advance%20Financial%20Project\Hind.%20Unilever%20Model.xlsx" TargetMode="External"/><Relationship Id="rId1" Type="http://schemas.openxmlformats.org/officeDocument/2006/relationships/externalLinkPath" Target="Hind.%20Unilever%20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wnloads\Advance%20Financial%20Project\ITC%20Model.xlsx" TargetMode="External"/><Relationship Id="rId1" Type="http://schemas.openxmlformats.org/officeDocument/2006/relationships/externalLinkPath" Target="ITC%20Mode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wnloads\Advance%20Financial%20Project\Nestle%20India%20Model.xlsx" TargetMode="External"/><Relationship Id="rId1" Type="http://schemas.openxmlformats.org/officeDocument/2006/relationships/externalLinkPath" Target="Nestle%20India%20Mode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wnloads\Advance%20Financial%20Project\Varun%20Beverages%20model.xlsx" TargetMode="External"/><Relationship Id="rId1" Type="http://schemas.openxmlformats.org/officeDocument/2006/relationships/externalLinkPath" Target="Varun%20Beverages%20mode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NOVO\Downloads\Advance%20Financial%20Project\Britannia%20Inds%20Model.xlsx" TargetMode="External"/><Relationship Id="rId1" Type="http://schemas.openxmlformats.org/officeDocument/2006/relationships/externalLinkPath" Target="Britannia%20Inds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fit &amp; Loss"/>
      <sheetName val="Quarters"/>
      <sheetName val="Balance Sheet"/>
      <sheetName val="Cash Flow"/>
      <sheetName val="Customization"/>
      <sheetName val="Cash Flow Statement"/>
      <sheetName val="Common Size Statement"/>
      <sheetName val="Historical FS"/>
      <sheetName val="Ratio Analysis"/>
      <sheetName val="Rm"/>
      <sheetName val="Raw Data"/>
      <sheetName val="Beta-Regression"/>
      <sheetName val="WACC"/>
      <sheetName val="DCF"/>
      <sheetName val="Intrinsic Valuation"/>
      <sheetName val="Comp_Valuation"/>
      <sheetName val="Data Sheet"/>
      <sheetName val="Dupont Analysis"/>
      <sheetName val="Altman's Z Score"/>
      <sheetName val="List of Stocks"/>
      <sheetName val="Raw FS"/>
      <sheetName val="Foreca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9">
          <cell r="L19">
            <v>18090</v>
          </cell>
        </row>
        <row r="37">
          <cell r="L37">
            <v>13187</v>
          </cell>
        </row>
      </sheetData>
      <sheetData sheetId="8"/>
      <sheetData sheetId="9"/>
      <sheetData sheetId="10"/>
      <sheetData sheetId="11"/>
      <sheetData sheetId="12">
        <row r="46">
          <cell r="K46">
            <v>0.11639541282808112</v>
          </cell>
        </row>
      </sheetData>
      <sheetData sheetId="13">
        <row r="32">
          <cell r="D32">
            <v>55644.395106485172</v>
          </cell>
        </row>
        <row r="33">
          <cell r="D33">
            <v>105654.95252012076</v>
          </cell>
        </row>
        <row r="34">
          <cell r="D34">
            <v>161299.34762660594</v>
          </cell>
        </row>
        <row r="36">
          <cell r="D36">
            <v>3248</v>
          </cell>
        </row>
        <row r="37">
          <cell r="D37">
            <v>1478</v>
          </cell>
        </row>
        <row r="39">
          <cell r="D39">
            <v>163069.34762660594</v>
          </cell>
        </row>
        <row r="40">
          <cell r="D40">
            <v>234.95912619999999</v>
          </cell>
        </row>
        <row r="41">
          <cell r="D41">
            <v>694.03283142872851</v>
          </cell>
        </row>
        <row r="43">
          <cell r="D43">
            <v>2086.6</v>
          </cell>
        </row>
      </sheetData>
      <sheetData sheetId="14"/>
      <sheetData sheetId="15">
        <row r="36">
          <cell r="P36">
            <v>2225.8699785656672</v>
          </cell>
          <cell r="Q36">
            <v>3264.2337243439592</v>
          </cell>
        </row>
      </sheetData>
      <sheetData sheetId="16"/>
      <sheetData sheetId="17">
        <row r="81">
          <cell r="I81">
            <v>0.30649779399027932</v>
          </cell>
        </row>
        <row r="87">
          <cell r="I87">
            <v>0.1884699970551563</v>
          </cell>
        </row>
      </sheetData>
      <sheetData sheetId="18">
        <row r="93">
          <cell r="I93">
            <v>11.590269955209473</v>
          </cell>
        </row>
      </sheetData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fit &amp; Loss"/>
      <sheetName val="Quarters"/>
      <sheetName val="Balance Sheet"/>
      <sheetName val="Cash Flow"/>
      <sheetName val="Customization"/>
      <sheetName val="Common Size Statement"/>
      <sheetName val="Data Sheet"/>
      <sheetName val="Cash Flow Statement"/>
      <sheetName val="Historical FS"/>
      <sheetName val="Ratio Analysis"/>
      <sheetName val="Forecasting"/>
      <sheetName val="Rm"/>
      <sheetName val="Beta-Regression"/>
      <sheetName val="WACC"/>
      <sheetName val="Intrinsic Valuation"/>
      <sheetName val="DCF"/>
      <sheetName val="Raw Data"/>
      <sheetName val="Comp_Valuation"/>
      <sheetName val="Dupont Analysis"/>
      <sheetName val="Altman's Z Score"/>
      <sheetName val="Raw FS"/>
      <sheetName val="List of Stoc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9">
          <cell r="L19">
            <v>29630.879999999994</v>
          </cell>
        </row>
        <row r="37">
          <cell r="L37">
            <v>20819.939999999995</v>
          </cell>
        </row>
      </sheetData>
      <sheetData sheetId="9"/>
      <sheetData sheetId="10"/>
      <sheetData sheetId="11"/>
      <sheetData sheetId="12"/>
      <sheetData sheetId="13">
        <row r="46">
          <cell r="K46">
            <v>0.11523601358805299</v>
          </cell>
        </row>
      </sheetData>
      <sheetData sheetId="14"/>
      <sheetData sheetId="15">
        <row r="33">
          <cell r="D33">
            <v>70746.76120442363</v>
          </cell>
        </row>
        <row r="34">
          <cell r="D34">
            <v>150113.22940712664</v>
          </cell>
        </row>
        <row r="35">
          <cell r="D35">
            <v>220859.99061155028</v>
          </cell>
        </row>
        <row r="37">
          <cell r="D37">
            <v>3008.79</v>
          </cell>
        </row>
        <row r="38">
          <cell r="D38">
            <v>2399.06</v>
          </cell>
        </row>
        <row r="39">
          <cell r="D39">
            <v>221469.72061155029</v>
          </cell>
        </row>
        <row r="40">
          <cell r="D40">
            <v>1252.9468231000001</v>
          </cell>
        </row>
        <row r="42">
          <cell r="D42">
            <v>176.75907431058977</v>
          </cell>
        </row>
        <row r="44">
          <cell r="D44">
            <v>276.5</v>
          </cell>
        </row>
      </sheetData>
      <sheetData sheetId="16"/>
      <sheetData sheetId="17">
        <row r="37">
          <cell r="P37">
            <v>782.08362718185617</v>
          </cell>
          <cell r="Q37">
            <v>852.35771829941496</v>
          </cell>
        </row>
      </sheetData>
      <sheetData sheetId="18">
        <row r="78">
          <cell r="I78">
            <v>0.29030243651927023</v>
          </cell>
        </row>
        <row r="96">
          <cell r="I96">
            <v>0.2278075466899068</v>
          </cell>
        </row>
      </sheetData>
      <sheetData sheetId="19">
        <row r="89">
          <cell r="I89">
            <v>13.297686898728788</v>
          </cell>
        </row>
      </sheetData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fit &amp; Loss"/>
      <sheetName val="Quarters"/>
      <sheetName val="Balance Sheet"/>
      <sheetName val="Cash Flow"/>
      <sheetName val="Customization"/>
      <sheetName val="Common Size Statement"/>
      <sheetName val="Cash Flow Statement"/>
      <sheetName val="Historical FS"/>
      <sheetName val="Ratio Analysis"/>
      <sheetName val="Forecasting"/>
      <sheetName val="Rm"/>
      <sheetName val="Beta-Regression"/>
      <sheetName val="WACC"/>
      <sheetName val="Intrinsic Valuation"/>
      <sheetName val="Raw FS"/>
      <sheetName val="DCF"/>
      <sheetName val="Raw Data"/>
      <sheetName val="Comp_Valuation"/>
      <sheetName val="Dupont Analysis"/>
      <sheetName val="Altman's Z Score"/>
      <sheetName val="Data Sheet"/>
      <sheetName val="List of Stoc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9">
          <cell r="L19">
            <v>4746.0599999999995</v>
          </cell>
        </row>
        <row r="37">
          <cell r="L37">
            <v>2823.4699999999993</v>
          </cell>
        </row>
      </sheetData>
      <sheetData sheetId="8"/>
      <sheetData sheetId="9"/>
      <sheetData sheetId="10"/>
      <sheetData sheetId="11"/>
      <sheetData sheetId="12">
        <row r="46">
          <cell r="K46">
            <v>0.11323696664251741</v>
          </cell>
        </row>
      </sheetData>
      <sheetData sheetId="13"/>
      <sheetData sheetId="14"/>
      <sheetData sheetId="15">
        <row r="33">
          <cell r="D33">
            <v>84650.940978145372</v>
          </cell>
        </row>
        <row r="34">
          <cell r="D34">
            <v>262540.70199665247</v>
          </cell>
        </row>
        <row r="35">
          <cell r="D35">
            <v>347191.64297479787</v>
          </cell>
        </row>
        <row r="37">
          <cell r="D37">
            <v>1340.87</v>
          </cell>
        </row>
        <row r="38">
          <cell r="D38">
            <v>444.16</v>
          </cell>
        </row>
        <row r="39">
          <cell r="D39">
            <v>348088.35297479789</v>
          </cell>
        </row>
        <row r="40">
          <cell r="D40">
            <v>192.83143200000001</v>
          </cell>
        </row>
        <row r="42">
          <cell r="D42">
            <v>1805.1432246522852</v>
          </cell>
        </row>
        <row r="44">
          <cell r="D44">
            <v>1498.8</v>
          </cell>
        </row>
      </sheetData>
      <sheetData sheetId="16"/>
      <sheetData sheetId="17">
        <row r="37">
          <cell r="P37">
            <v>915.06905057359052</v>
          </cell>
          <cell r="Q37">
            <v>932.34474679556968</v>
          </cell>
        </row>
      </sheetData>
      <sheetData sheetId="18">
        <row r="78">
          <cell r="I78">
            <v>0.75205884755457819</v>
          </cell>
        </row>
        <row r="96">
          <cell r="I96">
            <v>0.27604779553491954</v>
          </cell>
        </row>
      </sheetData>
      <sheetData sheetId="19">
        <row r="89">
          <cell r="I89">
            <v>25.948427864655628</v>
          </cell>
        </row>
      </sheetData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fit &amp; Loss"/>
      <sheetName val="Quarters"/>
      <sheetName val="Balance Sheet"/>
      <sheetName val="Cash Flow"/>
      <sheetName val="Customization"/>
      <sheetName val="Common Size Statement"/>
      <sheetName val="Cash Flow Statement"/>
      <sheetName val="Historical FS"/>
      <sheetName val="Ratio Analysis"/>
      <sheetName val="Data Sheet"/>
      <sheetName val="Forecasting"/>
      <sheetName val="Rm"/>
      <sheetName val="Beta-Regression"/>
      <sheetName val="WACC"/>
      <sheetName val="Intrinsic Valuation"/>
      <sheetName val="DCF"/>
      <sheetName val="Raw FS"/>
      <sheetName val="Raw Data"/>
      <sheetName val="Comp_Valuation"/>
      <sheetName val="Dupont Analysis"/>
      <sheetName val="Altman's Z Score"/>
      <sheetName val="List of Stoc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9">
          <cell r="L19">
            <v>5212.5399999999981</v>
          </cell>
        </row>
        <row r="37">
          <cell r="L37">
            <v>2852.489999999998</v>
          </cell>
        </row>
      </sheetData>
      <sheetData sheetId="8"/>
      <sheetData sheetId="9"/>
      <sheetData sheetId="10"/>
      <sheetData sheetId="11"/>
      <sheetData sheetId="12"/>
      <sheetData sheetId="13">
        <row r="46">
          <cell r="K46">
            <v>0.11329045758465377</v>
          </cell>
        </row>
      </sheetData>
      <sheetData sheetId="14"/>
      <sheetData sheetId="15">
        <row r="33">
          <cell r="D33">
            <v>873.4899646644426</v>
          </cell>
        </row>
        <row r="34">
          <cell r="D34">
            <v>30789.787202779233</v>
          </cell>
        </row>
        <row r="35">
          <cell r="D35">
            <v>31663.277167443674</v>
          </cell>
        </row>
        <row r="37">
          <cell r="D37">
            <v>1998.49</v>
          </cell>
        </row>
        <row r="38">
          <cell r="D38">
            <v>2508.1799999999998</v>
          </cell>
        </row>
        <row r="39">
          <cell r="D39">
            <v>31153.587167443671</v>
          </cell>
        </row>
        <row r="40">
          <cell r="D40">
            <v>338.19887690000002</v>
          </cell>
        </row>
        <row r="42">
          <cell r="D42">
            <v>92.11617570408221</v>
          </cell>
        </row>
        <row r="44">
          <cell r="D44">
            <v>436.25</v>
          </cell>
        </row>
      </sheetData>
      <sheetData sheetId="16"/>
      <sheetData sheetId="17"/>
      <sheetData sheetId="18">
        <row r="37">
          <cell r="P37">
            <v>588.4059373626759</v>
          </cell>
          <cell r="Q37">
            <v>504.1832295123391</v>
          </cell>
        </row>
      </sheetData>
      <sheetData sheetId="19">
        <row r="77">
          <cell r="I77">
            <v>0.16781505079095502</v>
          </cell>
        </row>
        <row r="95">
          <cell r="I95">
            <v>0.1247915083136734</v>
          </cell>
        </row>
      </sheetData>
      <sheetData sheetId="20">
        <row r="88">
          <cell r="I88">
            <v>19.330286392258877</v>
          </cell>
        </row>
      </sheetData>
      <sheetData sheetId="2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fit &amp; Loss"/>
      <sheetName val="Quarters"/>
      <sheetName val="Balance Sheet"/>
      <sheetName val="Cash Flow"/>
      <sheetName val="Customization"/>
      <sheetName val="Common Size Statement"/>
      <sheetName val="Data Sheet"/>
      <sheetName val="Cash Flow Statement"/>
      <sheetName val="Historical FS"/>
      <sheetName val="Ratio Analysis"/>
      <sheetName val="Forecasting"/>
      <sheetName val="Rm"/>
      <sheetName val="Beta-Regression"/>
      <sheetName val="WACC"/>
      <sheetName val="Intrinsic Valuation"/>
      <sheetName val="Raw FS"/>
      <sheetName val="DCF"/>
      <sheetName val="Raw Data"/>
      <sheetName val="Comp_Valuation"/>
      <sheetName val="Dupont Analysis"/>
      <sheetName val="Altman's Z Score"/>
      <sheetName val="List of Stoc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9">
          <cell r="L19">
            <v>4356.130000000001</v>
          </cell>
        </row>
        <row r="37">
          <cell r="L37">
            <v>3154.7700000000009</v>
          </cell>
        </row>
      </sheetData>
      <sheetData sheetId="9"/>
      <sheetData sheetId="10"/>
      <sheetData sheetId="11"/>
      <sheetData sheetId="12"/>
      <sheetData sheetId="13">
        <row r="46">
          <cell r="K46">
            <v>0.11330189423822679</v>
          </cell>
        </row>
      </sheetData>
      <sheetData sheetId="14"/>
      <sheetData sheetId="15"/>
      <sheetData sheetId="16">
        <row r="33">
          <cell r="D33">
            <v>2282.8442246806435</v>
          </cell>
        </row>
        <row r="34">
          <cell r="D34">
            <v>23008.402792705663</v>
          </cell>
        </row>
        <row r="35">
          <cell r="D35">
            <v>25291.247017386308</v>
          </cell>
        </row>
        <row r="37">
          <cell r="D37">
            <v>352.44</v>
          </cell>
        </row>
        <row r="38">
          <cell r="D38">
            <v>1380.28</v>
          </cell>
        </row>
        <row r="39">
          <cell r="D39">
            <v>24263.407017386307</v>
          </cell>
        </row>
        <row r="40">
          <cell r="D40">
            <v>24.086829600000002</v>
          </cell>
        </row>
        <row r="42">
          <cell r="D42">
            <v>1007.3308700363914</v>
          </cell>
        </row>
        <row r="44">
          <cell r="D44">
            <v>5618</v>
          </cell>
        </row>
      </sheetData>
      <sheetData sheetId="17"/>
      <sheetData sheetId="18">
        <row r="37">
          <cell r="P37">
            <v>5009.9070639126694</v>
          </cell>
          <cell r="Q37">
            <v>5317.9952084867127</v>
          </cell>
        </row>
      </sheetData>
      <sheetData sheetId="19">
        <row r="77">
          <cell r="I77">
            <v>0.53549250286400318</v>
          </cell>
        </row>
        <row r="95">
          <cell r="I95">
            <v>0.27290143248234644</v>
          </cell>
        </row>
      </sheetData>
      <sheetData sheetId="20">
        <row r="88">
          <cell r="I88">
            <v>20.804261006663111</v>
          </cell>
        </row>
      </sheetData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D8CA5-98D0-49B3-992D-BA3144F59EB6}">
  <dimension ref="B2:U8"/>
  <sheetViews>
    <sheetView showGridLines="0" tabSelected="1" topLeftCell="G1" workbookViewId="0">
      <selection activeCell="R10" sqref="R10"/>
    </sheetView>
  </sheetViews>
  <sheetFormatPr defaultRowHeight="14.4" x14ac:dyDescent="0.3"/>
  <cols>
    <col min="1" max="1" width="1.88671875" customWidth="1"/>
    <col min="2" max="2" width="21.77734375" customWidth="1"/>
    <col min="3" max="3" width="22" customWidth="1"/>
    <col min="4" max="4" width="18.88671875" bestFit="1" customWidth="1"/>
    <col min="5" max="5" width="18.88671875" customWidth="1"/>
    <col min="6" max="6" width="24" customWidth="1"/>
    <col min="7" max="7" width="22.21875" bestFit="1" customWidth="1"/>
    <col min="8" max="8" width="15.88671875" bestFit="1" customWidth="1"/>
    <col min="10" max="10" width="16" bestFit="1" customWidth="1"/>
    <col min="11" max="11" width="18.21875" bestFit="1" customWidth="1"/>
    <col min="12" max="12" width="14.44140625" bestFit="1" customWidth="1"/>
    <col min="13" max="14" width="9.44140625" bestFit="1" customWidth="1"/>
    <col min="15" max="15" width="11.88671875" bestFit="1" customWidth="1"/>
    <col min="16" max="16" width="15.88671875" bestFit="1" customWidth="1"/>
    <col min="17" max="17" width="18.44140625" bestFit="1" customWidth="1"/>
    <col min="18" max="18" width="18.5546875" bestFit="1" customWidth="1"/>
    <col min="19" max="19" width="13.6640625" bestFit="1" customWidth="1"/>
    <col min="20" max="21" width="10.44140625" bestFit="1" customWidth="1"/>
  </cols>
  <sheetData>
    <row r="2" spans="2:21" x14ac:dyDescent="0.3">
      <c r="B2" s="1" t="s">
        <v>0</v>
      </c>
      <c r="C2" s="1" t="s">
        <v>1</v>
      </c>
      <c r="D2" s="1" t="s">
        <v>2</v>
      </c>
      <c r="E2" s="1" t="s">
        <v>18</v>
      </c>
      <c r="F2" s="1" t="s">
        <v>19</v>
      </c>
      <c r="G2" s="1" t="s">
        <v>3</v>
      </c>
      <c r="H2" s="1" t="s">
        <v>4</v>
      </c>
      <c r="I2" s="1" t="s">
        <v>5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20</v>
      </c>
      <c r="R2" s="1" t="s">
        <v>21</v>
      </c>
      <c r="S2" s="1" t="s">
        <v>22</v>
      </c>
      <c r="T2" s="1" t="s">
        <v>23</v>
      </c>
      <c r="U2" s="1" t="s">
        <v>24</v>
      </c>
    </row>
    <row r="3" spans="2:21" ht="5.4" customHeight="1" x14ac:dyDescent="0.3"/>
    <row r="4" spans="2:21" x14ac:dyDescent="0.3">
      <c r="B4" s="2" t="s">
        <v>6</v>
      </c>
      <c r="C4" s="6">
        <f>[1]DCF!$D$43</f>
        <v>2086.6</v>
      </c>
      <c r="D4" s="6">
        <f>[1]DCF!$D$41</f>
        <v>694.03283142872851</v>
      </c>
      <c r="E4" s="4">
        <f>(D4-C4)/C4</f>
        <v>-0.66738578001115278</v>
      </c>
      <c r="F4" s="5" t="str">
        <f>IF(E4 &gt; 0.1, "BUY", IF(E4 &lt; -0.1, "SELL", "HOLD"))</f>
        <v>SELL</v>
      </c>
      <c r="G4" s="6">
        <f>[1]Comp_Valuation!$P$36</f>
        <v>2225.8699785656672</v>
      </c>
      <c r="H4" s="6">
        <f>[1]Comp_Valuation!$Q$36</f>
        <v>3264.2337243439592</v>
      </c>
      <c r="I4" s="3">
        <f>[1]WACC!$K$46</f>
        <v>0.11639541282808112</v>
      </c>
      <c r="J4" s="6">
        <f>[1]DCF!$D$32</f>
        <v>55644.395106485172</v>
      </c>
      <c r="K4" s="6">
        <f>[1]DCF!$D$33</f>
        <v>105654.95252012076</v>
      </c>
      <c r="L4" s="6">
        <f>[1]DCF!$D$34</f>
        <v>161299.34762660594</v>
      </c>
      <c r="M4" s="6">
        <f>[1]DCF!$D$36</f>
        <v>3248</v>
      </c>
      <c r="N4" s="6">
        <f>[1]DCF!$D$37</f>
        <v>1478</v>
      </c>
      <c r="O4" s="6">
        <f>[1]DCF!$D$39</f>
        <v>163069.34762660594</v>
      </c>
      <c r="P4" s="7">
        <f>[1]DCF!$D$40</f>
        <v>234.95912619999999</v>
      </c>
      <c r="Q4" s="4">
        <f>'[1]Dupont Analysis'!$I$87</f>
        <v>0.1884699970551563</v>
      </c>
      <c r="R4" s="4">
        <f>'[1]Dupont Analysis'!$I$81</f>
        <v>0.30649779399027932</v>
      </c>
      <c r="S4" s="6">
        <f>'[1]Altman''s Z Score'!$I$93</f>
        <v>11.590269955209473</v>
      </c>
      <c r="T4" s="6">
        <f>'[1]Historical FS'!$L$19</f>
        <v>18090</v>
      </c>
      <c r="U4" s="6">
        <f>'[1]Historical FS'!$L$37</f>
        <v>13187</v>
      </c>
    </row>
    <row r="5" spans="2:21" x14ac:dyDescent="0.3">
      <c r="B5" s="2" t="s">
        <v>7</v>
      </c>
      <c r="C5" s="6">
        <f>[2]DCF!$D$44</f>
        <v>276.5</v>
      </c>
      <c r="D5" s="6">
        <f>[2]DCF!$D$42</f>
        <v>176.75907431058977</v>
      </c>
      <c r="E5" s="4">
        <f t="shared" ref="E5:E8" si="0">(D5-C5)/C5</f>
        <v>-0.36072667518774043</v>
      </c>
      <c r="F5" s="5" t="str">
        <f t="shared" ref="F5:F8" si="1">IF(E5 &gt; 0.1, "BUY", IF(E5 &lt; -0.1, "SELL", "HOLD"))</f>
        <v>SELL</v>
      </c>
      <c r="G5" s="6">
        <f>[2]Comp_Valuation!$P$37</f>
        <v>782.08362718185617</v>
      </c>
      <c r="H5" s="6">
        <f>[2]Comp_Valuation!$Q$37</f>
        <v>852.35771829941496</v>
      </c>
      <c r="I5" s="3">
        <f>[2]WACC!$K$46</f>
        <v>0.11523601358805299</v>
      </c>
      <c r="J5" s="6">
        <f>[2]DCF!$D$33</f>
        <v>70746.76120442363</v>
      </c>
      <c r="K5" s="6">
        <f>[2]DCF!$D$34</f>
        <v>150113.22940712664</v>
      </c>
      <c r="L5" s="6">
        <f>[2]DCF!$D$35</f>
        <v>220859.99061155028</v>
      </c>
      <c r="M5" s="6">
        <f>[2]DCF!$D$37</f>
        <v>3008.79</v>
      </c>
      <c r="N5" s="6">
        <f>[2]DCF!$D$38</f>
        <v>2399.06</v>
      </c>
      <c r="O5" s="6">
        <f>[2]DCF!$D$39</f>
        <v>221469.72061155029</v>
      </c>
      <c r="P5" s="7">
        <f>[2]DCF!$D$40</f>
        <v>1252.9468231000001</v>
      </c>
      <c r="Q5" s="4">
        <f>'[2]Dupont Analysis'!$I$96</f>
        <v>0.2278075466899068</v>
      </c>
      <c r="R5" s="4">
        <f>'[2]Dupont Analysis'!$I$78</f>
        <v>0.29030243651927023</v>
      </c>
      <c r="S5" s="6">
        <f>'[2]Altman''s Z Score'!$I$89</f>
        <v>13.297686898728788</v>
      </c>
      <c r="T5" s="6">
        <f>'[2]Historical FS'!$L$19</f>
        <v>29630.879999999994</v>
      </c>
      <c r="U5" s="6">
        <f>'[2]Historical FS'!$L$37</f>
        <v>20819.939999999995</v>
      </c>
    </row>
    <row r="6" spans="2:21" x14ac:dyDescent="0.3">
      <c r="B6" s="2" t="s">
        <v>8</v>
      </c>
      <c r="C6" s="6">
        <f>[3]DCF!$D$44</f>
        <v>1498.8</v>
      </c>
      <c r="D6" s="6">
        <f>[3]DCF!$D$42</f>
        <v>1805.1432246522852</v>
      </c>
      <c r="E6" s="4">
        <f t="shared" si="0"/>
        <v>0.20439233029909612</v>
      </c>
      <c r="F6" s="5" t="str">
        <f t="shared" si="1"/>
        <v>BUY</v>
      </c>
      <c r="G6" s="6">
        <f>[3]Comp_Valuation!$P$37</f>
        <v>915.06905057359052</v>
      </c>
      <c r="H6" s="6">
        <f>[3]Comp_Valuation!$Q$37</f>
        <v>932.34474679556968</v>
      </c>
      <c r="I6" s="3">
        <f>[3]WACC!$K$46</f>
        <v>0.11323696664251741</v>
      </c>
      <c r="J6" s="6">
        <f>[3]DCF!$D$33</f>
        <v>84650.940978145372</v>
      </c>
      <c r="K6" s="6">
        <f>[3]DCF!$D$34</f>
        <v>262540.70199665247</v>
      </c>
      <c r="L6" s="6">
        <f>[3]DCF!$D$35</f>
        <v>347191.64297479787</v>
      </c>
      <c r="M6" s="6">
        <f>[3]DCF!$D$37</f>
        <v>1340.87</v>
      </c>
      <c r="N6" s="6">
        <f>[3]DCF!$D$38</f>
        <v>444.16</v>
      </c>
      <c r="O6" s="6">
        <f>[3]DCF!$D$39</f>
        <v>348088.35297479789</v>
      </c>
      <c r="P6" s="7">
        <f>[3]DCF!$D$40</f>
        <v>192.83143200000001</v>
      </c>
      <c r="Q6" s="4">
        <f>'[3]Dupont Analysis'!$I$96</f>
        <v>0.27604779553491954</v>
      </c>
      <c r="R6" s="4">
        <f>'[3]Dupont Analysis'!$I$78</f>
        <v>0.75205884755457819</v>
      </c>
      <c r="S6" s="6">
        <f>'[3]Altman''s Z Score'!$I$89</f>
        <v>25.948427864655628</v>
      </c>
      <c r="T6" s="6">
        <f>'[3]Historical FS'!$L$19</f>
        <v>4746.0599999999995</v>
      </c>
      <c r="U6" s="6">
        <f>'[3]Historical FS'!$L$37</f>
        <v>2823.4699999999993</v>
      </c>
    </row>
    <row r="7" spans="2:21" x14ac:dyDescent="0.3">
      <c r="B7" s="2" t="s">
        <v>9</v>
      </c>
      <c r="C7" s="6">
        <f>[4]DCF!$D$44</f>
        <v>436.25</v>
      </c>
      <c r="D7" s="6">
        <f>[4]DCF!$D$42</f>
        <v>92.11617570408221</v>
      </c>
      <c r="E7" s="4">
        <f t="shared" si="0"/>
        <v>-0.78884544251213251</v>
      </c>
      <c r="F7" s="5" t="str">
        <f t="shared" si="1"/>
        <v>SELL</v>
      </c>
      <c r="G7" s="6">
        <f>[4]Comp_Valuation!$P$37</f>
        <v>588.4059373626759</v>
      </c>
      <c r="H7" s="6">
        <f>[4]Comp_Valuation!$Q$37</f>
        <v>504.1832295123391</v>
      </c>
      <c r="I7" s="3">
        <f>[4]WACC!$K$46</f>
        <v>0.11329045758465377</v>
      </c>
      <c r="J7" s="6">
        <f>[4]DCF!$D$33</f>
        <v>873.4899646644426</v>
      </c>
      <c r="K7" s="6">
        <f>[4]DCF!$D$34</f>
        <v>30789.787202779233</v>
      </c>
      <c r="L7" s="6">
        <f>[4]DCF!$D$35</f>
        <v>31663.277167443674</v>
      </c>
      <c r="M7" s="6">
        <f>[4]DCF!$D$37</f>
        <v>1998.49</v>
      </c>
      <c r="N7" s="6">
        <f>[4]DCF!$D$38</f>
        <v>2508.1799999999998</v>
      </c>
      <c r="O7" s="6">
        <f>[4]DCF!$D$39</f>
        <v>31153.587167443671</v>
      </c>
      <c r="P7" s="7">
        <f>[4]DCF!$D$40</f>
        <v>338.19887690000002</v>
      </c>
      <c r="Q7" s="4">
        <f>'[4]Dupont Analysis'!$I$95</f>
        <v>0.1247915083136734</v>
      </c>
      <c r="R7" s="4">
        <f>'[4]Dupont Analysis'!$I$77</f>
        <v>0.16781505079095502</v>
      </c>
      <c r="S7" s="6">
        <f>'[4]Altman''s Z Score'!$I$88</f>
        <v>19.330286392258877</v>
      </c>
      <c r="T7" s="6">
        <f>'[4]Historical FS'!$L$19</f>
        <v>5212.5399999999981</v>
      </c>
      <c r="U7" s="6">
        <f>'[4]Historical FS'!$L$37</f>
        <v>2852.489999999998</v>
      </c>
    </row>
    <row r="8" spans="2:21" x14ac:dyDescent="0.3">
      <c r="B8" s="2" t="s">
        <v>10</v>
      </c>
      <c r="C8" s="6">
        <f>[5]DCF!$D$44</f>
        <v>5618</v>
      </c>
      <c r="D8" s="6">
        <f>[5]DCF!$D$42</f>
        <v>1007.3308700363914</v>
      </c>
      <c r="E8" s="4">
        <f t="shared" si="0"/>
        <v>-0.82069582235023297</v>
      </c>
      <c r="F8" s="5" t="str">
        <f t="shared" si="1"/>
        <v>SELL</v>
      </c>
      <c r="G8" s="6">
        <f>[5]Comp_Valuation!$P$37</f>
        <v>5009.9070639126694</v>
      </c>
      <c r="H8" s="6">
        <f>[5]Comp_Valuation!$Q$37</f>
        <v>5317.9952084867127</v>
      </c>
      <c r="I8" s="3">
        <f>[5]WACC!$K$46</f>
        <v>0.11330189423822679</v>
      </c>
      <c r="J8" s="6">
        <f>[5]DCF!$D$33</f>
        <v>2282.8442246806435</v>
      </c>
      <c r="K8" s="6">
        <f>[5]DCF!$D$34</f>
        <v>23008.402792705663</v>
      </c>
      <c r="L8" s="6">
        <f>[5]DCF!$D$35</f>
        <v>25291.247017386308</v>
      </c>
      <c r="M8" s="6">
        <f>[5]DCF!$D$37</f>
        <v>352.44</v>
      </c>
      <c r="N8" s="6">
        <f>[5]DCF!$D$38</f>
        <v>1380.28</v>
      </c>
      <c r="O8" s="6">
        <f>[5]DCF!$D$39</f>
        <v>24263.407017386307</v>
      </c>
      <c r="P8" s="7">
        <f>[5]DCF!$D$40</f>
        <v>24.086829600000002</v>
      </c>
      <c r="Q8" s="4">
        <f>'[5]Dupont Analysis'!$I$95</f>
        <v>0.27290143248234644</v>
      </c>
      <c r="R8" s="4">
        <f>'[5]Dupont Analysis'!$I$77</f>
        <v>0.53549250286400318</v>
      </c>
      <c r="S8" s="6">
        <f>'[5]Altman''s Z Score'!$I$88</f>
        <v>20.804261006663111</v>
      </c>
      <c r="T8" s="6">
        <f>'[5]Historical FS'!$L$19</f>
        <v>4356.130000000001</v>
      </c>
      <c r="U8" s="6">
        <f>'[5]Historical FS'!$L$37</f>
        <v>3154.7700000000009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Loveish</dc:creator>
  <cp:lastModifiedBy>Loveish</cp:lastModifiedBy>
  <dcterms:created xsi:type="dcterms:W3CDTF">2026-08-13T18:43:05Z</dcterms:created>
  <dcterms:modified xsi:type="dcterms:W3CDTF">2026-09-16T13:49:40Z</dcterms:modified>
</cp:coreProperties>
</file>