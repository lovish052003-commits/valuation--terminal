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₹&quot;\ #,##0.00;\(&quot;₹&quot;\ #,##0.0\);\-"/>
    <numFmt numFmtId="165" formatCode="YYYY-MM-DD"/>
    <numFmt numFmtId="166" formatCode="0.0%"/>
    <numFmt numFmtId="167" formatCode="+0.0%;-0.0%;0.0%"/>
    <numFmt numFmtId="168" formatCode="+0.00%;-0.00%;0.00%"/>
    <numFmt numFmtId="169" formatCode="&quot;₹&quot;\ #,##0.00;\(&quot;₹&quot;\ #,##0.00\);\-"/>
  </numFmts>
  <fonts count="12">
    <font>
      <name val="Calibri"/>
      <family val="2"/>
      <color theme="1"/>
      <sz val="11"/>
    </font>
    <font>
      <name val="Calibri"/>
      <family val="2"/>
      <b val="1"/>
      <color theme="0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sz val="11"/>
    </font>
    <font>
      <name val="Calibri"/>
      <b val="1"/>
      <color rgb="00002060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2">
    <xf numFmtId="0" fontId="3" fillId="0" borderId="0"/>
    <xf numFmtId="9" fontId="3" fillId="0" borderId="0"/>
  </cellStyleXfs>
  <cellXfs count="45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10" fontId="0" fillId="0" borderId="1" pivotButton="0" quotePrefix="0" xfId="1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4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10" fillId="6" borderId="0" applyAlignment="1" pivotButton="0" quotePrefix="0" xfId="0">
      <alignment horizontal="center"/>
    </xf>
    <xf numFmtId="0" fontId="7" fillId="0" borderId="0" pivotButton="0" quotePrefix="0" xfId="0"/>
    <xf numFmtId="165" fontId="8" fillId="4" borderId="2" applyAlignment="1" pivotButton="0" quotePrefix="0" xfId="0">
      <alignment horizontal="right"/>
    </xf>
    <xf numFmtId="0" fontId="7" fillId="0" borderId="2" pivotButton="0" quotePrefix="0" xfId="0"/>
    <xf numFmtId="166" fontId="0" fillId="0" borderId="2" pivotButton="0" quotePrefix="0" xfId="0"/>
    <xf numFmtId="2" fontId="0" fillId="0" borderId="2" pivotButton="0" quotePrefix="0" xfId="0"/>
    <xf numFmtId="167" fontId="0" fillId="0" borderId="2" pivotButton="0" quotePrefix="0" xfId="0"/>
    <xf numFmtId="168" fontId="0" fillId="0" borderId="2" pivotButton="0" quotePrefix="0" xfId="0"/>
    <xf numFmtId="49" fontId="8" fillId="4" borderId="2" applyAlignment="1" pivotButton="0" quotePrefix="0" xfId="0">
      <alignment horizontal="right"/>
    </xf>
    <xf numFmtId="3" fontId="8" fillId="4" borderId="2" applyAlignment="1" pivotButton="0" quotePrefix="0" xfId="0">
      <alignment horizontal="right"/>
    </xf>
    <xf numFmtId="0" fontId="6" fillId="0" borderId="0" pivotButton="0" quotePrefix="0" xfId="0"/>
    <xf numFmtId="2" fontId="9" fillId="0" borderId="0" pivotButton="0" quotePrefix="0" xfId="0"/>
    <xf numFmtId="167" fontId="9" fillId="0" borderId="0" pivotButton="0" quotePrefix="0" xfId="0"/>
    <xf numFmtId="168" fontId="9" fillId="0" borderId="0" pivotButton="0" quotePrefix="0" xfId="0"/>
    <xf numFmtId="1" fontId="8" fillId="4" borderId="2" applyAlignment="1" pivotButton="0" quotePrefix="0" xfId="0">
      <alignment horizontal="right"/>
    </xf>
    <xf numFmtId="166" fontId="8" fillId="4" borderId="2" applyAlignment="1" pivotButton="0" quotePrefix="0" xfId="0">
      <alignment horizontal="right"/>
    </xf>
    <xf numFmtId="1" fontId="9" fillId="5" borderId="2" pivotButton="0" quotePrefix="0" xfId="0"/>
    <xf numFmtId="165" fontId="9" fillId="5" borderId="2" pivotButton="0" quotePrefix="0" xfId="0"/>
    <xf numFmtId="169" fontId="9" fillId="5" borderId="2" pivotButton="0" quotePrefix="0" xfId="0"/>
    <xf numFmtId="0" fontId="9" fillId="0" borderId="0" pivotButton="0" quotePrefix="0" xfId="0"/>
    <xf numFmtId="0" fontId="11" fillId="7" borderId="3" applyAlignment="1" pivotButton="0" quotePrefix="0" xfId="0">
      <alignment horizontal="center"/>
    </xf>
    <xf numFmtId="0" fontId="10" fillId="6" borderId="0" applyAlignment="1" pivotButton="0" quotePrefix="0" xfId="0">
      <alignment horizontal="left"/>
    </xf>
    <xf numFmtId="0" fontId="9" fillId="0" borderId="2" pivotButton="0" quotePrefix="0" xfId="0"/>
    <xf numFmtId="3" fontId="7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166" fontId="7" fillId="0" borderId="2" applyAlignment="1" pivotButton="0" quotePrefix="0" xfId="0">
      <alignment horizontal="right"/>
    </xf>
    <xf numFmtId="167" fontId="0" fillId="0" borderId="2" pivotButton="0" quotePrefix="0" xfId="0"/>
    <xf numFmtId="168" fontId="0" fillId="0" borderId="2" pivotButton="0" quotePrefix="0" xfId="0"/>
    <xf numFmtId="167" fontId="9" fillId="0" borderId="0" pivotButton="0" quotePrefix="0" xfId="0"/>
    <xf numFmtId="168" fontId="9" fillId="0" borderId="0" pivotButton="0" quotePrefix="0" xfId="0"/>
    <xf numFmtId="169" fontId="9" fillId="5" borderId="2" pivotButton="0" quotePrefix="0" xfId="0"/>
    <xf numFmtId="166" fontId="8" fillId="4" borderId="2" pivotButton="0" quotePrefix="0" xfId="0"/>
  </cellXfs>
  <cellStyles count="2">
    <cellStyle name="Normal" xfId="0" builtinId="0"/>
    <cellStyle name="Per 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Advance%20Financial%20Project\Hind.%20Unilever%20Model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LENOVO\Downloads\Advance%20Financial%20Project\ITC%20Model.xlsx" TargetMode="External" Id="rId2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LENOVO\Downloads\Advance%20Financial%20Project\Nestle%20India%20Model.xlsx" TargetMode="External" Id="rId2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Users\LENOVO\Downloads\Advance%20Financial%20Project\Varun%20Beverages%20model.xlsx" TargetMode="External" Id="rId2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C:\Users\LENOVO\Downloads\Advance%20Financial%20Project\Britannia%20Inds%20Mod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ustomization"/>
      <sheetName val="Cash Flow Statement"/>
      <sheetName val="Common Size Statement"/>
      <sheetName val="Historical FS"/>
      <sheetName val="Ratio Analysis"/>
      <sheetName val="Rm"/>
      <sheetName val="Raw Data"/>
      <sheetName val="Beta-Regression"/>
      <sheetName val="WACC"/>
      <sheetName val="DCF"/>
      <sheetName val="Intrinsic Valuation"/>
      <sheetName val="Comp_Valuation"/>
      <sheetName val="Data Sheet"/>
      <sheetName val="Dupont Analysis"/>
      <sheetName val="Altman's Z Score"/>
      <sheetName val="List of Stocks"/>
      <sheetName val="Raw FS"/>
      <sheetName val="Foreca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9">
          <cell r="L19">
            <v>18090</v>
          </cell>
        </row>
        <row r="37">
          <cell r="L37">
            <v>13187</v>
          </cell>
        </row>
      </sheetData>
      <sheetData sheetId="8"/>
      <sheetData sheetId="9"/>
      <sheetData sheetId="10"/>
      <sheetData sheetId="11"/>
      <sheetData sheetId="12">
        <row r="46">
          <cell r="K46">
            <v>0.11639541282808112</v>
          </cell>
        </row>
      </sheetData>
      <sheetData sheetId="13">
        <row r="32">
          <cell r="D32">
            <v>55644.395106485172</v>
          </cell>
        </row>
        <row r="33">
          <cell r="D33">
            <v>105654.95252012076</v>
          </cell>
        </row>
        <row r="34">
          <cell r="D34">
            <v>161299.34762660594</v>
          </cell>
        </row>
        <row r="36">
          <cell r="D36">
            <v>3248</v>
          </cell>
        </row>
        <row r="37">
          <cell r="D37">
            <v>1478</v>
          </cell>
        </row>
        <row r="39">
          <cell r="D39">
            <v>163069.34762660594</v>
          </cell>
        </row>
        <row r="40">
          <cell r="D40">
            <v>234.95912619999999</v>
          </cell>
        </row>
        <row r="41">
          <cell r="D41">
            <v>694.03283142872851</v>
          </cell>
        </row>
        <row r="43">
          <cell r="D43">
            <v>2086.6</v>
          </cell>
        </row>
      </sheetData>
      <sheetData sheetId="14"/>
      <sheetData sheetId="15">
        <row r="36">
          <cell r="P36">
            <v>2225.8699785656672</v>
          </cell>
          <cell r="Q36">
            <v>3264.2337243439592</v>
          </cell>
        </row>
      </sheetData>
      <sheetData sheetId="16"/>
      <sheetData sheetId="17">
        <row r="81">
          <cell r="I81">
            <v>0.30649779399027932</v>
          </cell>
        </row>
        <row r="87">
          <cell r="I87">
            <v>0.1884699970551563</v>
          </cell>
        </row>
      </sheetData>
      <sheetData sheetId="18">
        <row r="93">
          <cell r="I93">
            <v>11.590269955209473</v>
          </cell>
        </row>
      </sheetData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ustomization"/>
      <sheetName val="Common Size Statement"/>
      <sheetName val="Data Sheet"/>
      <sheetName val="Cash Flow Statement"/>
      <sheetName val="Historical FS"/>
      <sheetName val="Ratio Analysis"/>
      <sheetName val="Forecasting"/>
      <sheetName val="Rm"/>
      <sheetName val="Beta-Regression"/>
      <sheetName val="WACC"/>
      <sheetName val="Intrinsic Valuation"/>
      <sheetName val="DCF"/>
      <sheetName val="Raw Data"/>
      <sheetName val="Comp_Valuation"/>
      <sheetName val="Dupont Analysis"/>
      <sheetName val="Altman's Z Score"/>
      <sheetName val="Raw FS"/>
      <sheetName val="List of Stoc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9">
          <cell r="L19">
            <v>29630.879999999994</v>
          </cell>
        </row>
        <row r="37">
          <cell r="L37">
            <v>20819.939999999995</v>
          </cell>
        </row>
      </sheetData>
      <sheetData sheetId="9"/>
      <sheetData sheetId="10"/>
      <sheetData sheetId="11"/>
      <sheetData sheetId="12"/>
      <sheetData sheetId="13">
        <row r="46">
          <cell r="K46">
            <v>0.11523601358805299</v>
          </cell>
        </row>
      </sheetData>
      <sheetData sheetId="14"/>
      <sheetData sheetId="15">
        <row r="33">
          <cell r="D33">
            <v>70746.76120442363</v>
          </cell>
        </row>
        <row r="34">
          <cell r="D34">
            <v>150113.22940712664</v>
          </cell>
        </row>
        <row r="35">
          <cell r="D35">
            <v>220859.99061155028</v>
          </cell>
        </row>
        <row r="37">
          <cell r="D37">
            <v>3008.79</v>
          </cell>
        </row>
        <row r="38">
          <cell r="D38">
            <v>2399.06</v>
          </cell>
        </row>
        <row r="39">
          <cell r="D39">
            <v>221469.72061155029</v>
          </cell>
        </row>
        <row r="40">
          <cell r="D40">
            <v>1252.9468231000001</v>
          </cell>
        </row>
        <row r="42">
          <cell r="D42">
            <v>176.75907431058977</v>
          </cell>
        </row>
        <row r="44">
          <cell r="D44">
            <v>276.5</v>
          </cell>
        </row>
      </sheetData>
      <sheetData sheetId="16"/>
      <sheetData sheetId="17">
        <row r="37">
          <cell r="P37">
            <v>782.08362718185617</v>
          </cell>
          <cell r="Q37">
            <v>852.35771829941496</v>
          </cell>
        </row>
      </sheetData>
      <sheetData sheetId="18">
        <row r="78">
          <cell r="I78">
            <v>0.29030243651927023</v>
          </cell>
        </row>
        <row r="96">
          <cell r="I96">
            <v>0.2278075466899068</v>
          </cell>
        </row>
      </sheetData>
      <sheetData sheetId="19">
        <row r="89">
          <cell r="I89">
            <v>13.297686898728788</v>
          </cell>
        </row>
      </sheetData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ustomization"/>
      <sheetName val="Common Size Statement"/>
      <sheetName val="Cash Flow Statement"/>
      <sheetName val="Historical FS"/>
      <sheetName val="Ratio Analysis"/>
      <sheetName val="Forecasting"/>
      <sheetName val="Rm"/>
      <sheetName val="Beta-Regression"/>
      <sheetName val="WACC"/>
      <sheetName val="Intrinsic Valuation"/>
      <sheetName val="Raw FS"/>
      <sheetName val="DCF"/>
      <sheetName val="Raw Data"/>
      <sheetName val="Comp_Valuation"/>
      <sheetName val="Dupont Analysis"/>
      <sheetName val="Altman's Z Score"/>
      <sheetName val="Data Sheet"/>
      <sheetName val="List of Stoc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9">
          <cell r="L19">
            <v>4746.0599999999995</v>
          </cell>
        </row>
        <row r="37">
          <cell r="L37">
            <v>2823.4699999999993</v>
          </cell>
        </row>
      </sheetData>
      <sheetData sheetId="8"/>
      <sheetData sheetId="9"/>
      <sheetData sheetId="10"/>
      <sheetData sheetId="11"/>
      <sheetData sheetId="12">
        <row r="46">
          <cell r="K46">
            <v>0.11323696664251741</v>
          </cell>
        </row>
      </sheetData>
      <sheetData sheetId="13"/>
      <sheetData sheetId="14"/>
      <sheetData sheetId="15">
        <row r="33">
          <cell r="D33">
            <v>84650.940978145372</v>
          </cell>
        </row>
        <row r="34">
          <cell r="D34">
            <v>262540.70199665247</v>
          </cell>
        </row>
        <row r="35">
          <cell r="D35">
            <v>347191.64297479787</v>
          </cell>
        </row>
        <row r="37">
          <cell r="D37">
            <v>1340.87</v>
          </cell>
        </row>
        <row r="38">
          <cell r="D38">
            <v>444.16</v>
          </cell>
        </row>
        <row r="39">
          <cell r="D39">
            <v>348088.35297479789</v>
          </cell>
        </row>
        <row r="40">
          <cell r="D40">
            <v>192.83143200000001</v>
          </cell>
        </row>
        <row r="42">
          <cell r="D42">
            <v>1805.1432246522852</v>
          </cell>
        </row>
        <row r="44">
          <cell r="D44">
            <v>1498.8</v>
          </cell>
        </row>
      </sheetData>
      <sheetData sheetId="16"/>
      <sheetData sheetId="17">
        <row r="37">
          <cell r="P37">
            <v>915.06905057359052</v>
          </cell>
          <cell r="Q37">
            <v>932.34474679556968</v>
          </cell>
        </row>
      </sheetData>
      <sheetData sheetId="18">
        <row r="78">
          <cell r="I78">
            <v>0.75205884755457819</v>
          </cell>
        </row>
        <row r="96">
          <cell r="I96">
            <v>0.27604779553491954</v>
          </cell>
        </row>
      </sheetData>
      <sheetData sheetId="19">
        <row r="89">
          <cell r="I89">
            <v>25.948427864655628</v>
          </cell>
        </row>
      </sheetData>
      <sheetData sheetId="20"/>
      <sheetData sheetId="2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ustomization"/>
      <sheetName val="Common Size Statement"/>
      <sheetName val="Cash Flow Statement"/>
      <sheetName val="Historical FS"/>
      <sheetName val="Ratio Analysis"/>
      <sheetName val="Data Sheet"/>
      <sheetName val="Forecasting"/>
      <sheetName val="Rm"/>
      <sheetName val="Beta-Regression"/>
      <sheetName val="WACC"/>
      <sheetName val="Intrinsic Valuation"/>
      <sheetName val="DCF"/>
      <sheetName val="Raw FS"/>
      <sheetName val="Raw Data"/>
      <sheetName val="Comp_Valuation"/>
      <sheetName val="Dupont Analysis"/>
      <sheetName val="Altman's Z Score"/>
      <sheetName val="List of Stoc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9">
          <cell r="L19">
            <v>5212.5399999999981</v>
          </cell>
        </row>
        <row r="37">
          <cell r="L37">
            <v>2852.489999999998</v>
          </cell>
        </row>
      </sheetData>
      <sheetData sheetId="8"/>
      <sheetData sheetId="9"/>
      <sheetData sheetId="10"/>
      <sheetData sheetId="11"/>
      <sheetData sheetId="12"/>
      <sheetData sheetId="13">
        <row r="46">
          <cell r="K46">
            <v>0.11329045758465377</v>
          </cell>
        </row>
      </sheetData>
      <sheetData sheetId="14"/>
      <sheetData sheetId="15">
        <row r="33">
          <cell r="D33">
            <v>873.4899646644426</v>
          </cell>
        </row>
        <row r="34">
          <cell r="D34">
            <v>30789.787202779233</v>
          </cell>
        </row>
        <row r="35">
          <cell r="D35">
            <v>31663.277167443674</v>
          </cell>
        </row>
        <row r="37">
          <cell r="D37">
            <v>1998.49</v>
          </cell>
        </row>
        <row r="38">
          <cell r="D38">
            <v>2508.1799999999998</v>
          </cell>
        </row>
        <row r="39">
          <cell r="D39">
            <v>31153.587167443671</v>
          </cell>
        </row>
        <row r="40">
          <cell r="D40">
            <v>338.19887690000002</v>
          </cell>
        </row>
        <row r="42">
          <cell r="D42">
            <v>92.11617570408221</v>
          </cell>
        </row>
        <row r="44">
          <cell r="D44">
            <v>436.25</v>
          </cell>
        </row>
      </sheetData>
      <sheetData sheetId="16"/>
      <sheetData sheetId="17"/>
      <sheetData sheetId="18">
        <row r="37">
          <cell r="P37">
            <v>588.4059373626759</v>
          </cell>
          <cell r="Q37">
            <v>504.1832295123391</v>
          </cell>
        </row>
      </sheetData>
      <sheetData sheetId="19">
        <row r="77">
          <cell r="I77">
            <v>0.16781505079095502</v>
          </cell>
        </row>
        <row r="95">
          <cell r="I95">
            <v>0.1247915083136734</v>
          </cell>
        </row>
      </sheetData>
      <sheetData sheetId="20">
        <row r="88">
          <cell r="I88">
            <v>19.330286392258877</v>
          </cell>
        </row>
      </sheetData>
      <sheetData sheetId="2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ustomization"/>
      <sheetName val="Common Size Statement"/>
      <sheetName val="Data Sheet"/>
      <sheetName val="Cash Flow Statement"/>
      <sheetName val="Historical FS"/>
      <sheetName val="Ratio Analysis"/>
      <sheetName val="Forecasting"/>
      <sheetName val="Rm"/>
      <sheetName val="Beta-Regression"/>
      <sheetName val="WACC"/>
      <sheetName val="Intrinsic Valuation"/>
      <sheetName val="Raw FS"/>
      <sheetName val="DCF"/>
      <sheetName val="Raw Data"/>
      <sheetName val="Comp_Valuation"/>
      <sheetName val="Dupont Analysis"/>
      <sheetName val="Altman's Z Score"/>
      <sheetName val="List of Stoc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9">
          <cell r="L19">
            <v>4356.130000000001</v>
          </cell>
        </row>
        <row r="37">
          <cell r="L37">
            <v>3154.7700000000009</v>
          </cell>
        </row>
      </sheetData>
      <sheetData sheetId="9"/>
      <sheetData sheetId="10"/>
      <sheetData sheetId="11"/>
      <sheetData sheetId="12"/>
      <sheetData sheetId="13">
        <row r="46">
          <cell r="K46">
            <v>0.11330189423822679</v>
          </cell>
        </row>
      </sheetData>
      <sheetData sheetId="14"/>
      <sheetData sheetId="15"/>
      <sheetData sheetId="16">
        <row r="33">
          <cell r="D33">
            <v>2282.8442246806435</v>
          </cell>
        </row>
        <row r="34">
          <cell r="D34">
            <v>23008.402792705663</v>
          </cell>
        </row>
        <row r="35">
          <cell r="D35">
            <v>25291.247017386308</v>
          </cell>
        </row>
        <row r="37">
          <cell r="D37">
            <v>352.44</v>
          </cell>
        </row>
        <row r="38">
          <cell r="D38">
            <v>1380.28</v>
          </cell>
        </row>
        <row r="39">
          <cell r="D39">
            <v>24263.407017386307</v>
          </cell>
        </row>
        <row r="40">
          <cell r="D40">
            <v>24.086829600000002</v>
          </cell>
        </row>
        <row r="42">
          <cell r="D42">
            <v>1007.3308700363914</v>
          </cell>
        </row>
        <row r="44">
          <cell r="D44">
            <v>5618</v>
          </cell>
        </row>
      </sheetData>
      <sheetData sheetId="17"/>
      <sheetData sheetId="18">
        <row r="37">
          <cell r="P37">
            <v>5009.9070639126694</v>
          </cell>
          <cell r="Q37">
            <v>5317.9952084867127</v>
          </cell>
        </row>
      </sheetData>
      <sheetData sheetId="19">
        <row r="77">
          <cell r="I77">
            <v>0.53549250286400318</v>
          </cell>
        </row>
        <row r="95">
          <cell r="I95">
            <v>0.27290143248234644</v>
          </cell>
        </row>
      </sheetData>
      <sheetData sheetId="20">
        <row r="88">
          <cell r="I88">
            <v>20.804261006663111</v>
          </cell>
        </row>
      </sheetData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8"/>
  <sheetViews>
    <sheetView showGridLines="0" tabSelected="1" topLeftCell="G1" workbookViewId="0">
      <selection activeCell="R10" sqref="R10"/>
    </sheetView>
  </sheetViews>
  <sheetFormatPr baseColWidth="8" defaultRowHeight="14.4"/>
  <cols>
    <col width="1.88671875" customWidth="1" min="1" max="1"/>
    <col width="21.77734375" customWidth="1" min="2" max="2"/>
    <col width="22" customWidth="1" min="3" max="3"/>
    <col width="18.88671875" bestFit="1" customWidth="1" min="4" max="4"/>
    <col width="18.88671875" customWidth="1" min="5" max="5"/>
    <col width="24" customWidth="1" min="6" max="6"/>
    <col width="22.21875" bestFit="1" customWidth="1" min="7" max="7"/>
    <col width="15.88671875" bestFit="1" customWidth="1" min="8" max="8"/>
    <col width="16" bestFit="1" customWidth="1" min="10" max="10"/>
    <col width="18.21875" bestFit="1" customWidth="1" min="11" max="11"/>
    <col width="14.44140625" bestFit="1" customWidth="1" min="12" max="12"/>
    <col width="9.44140625" bestFit="1" customWidth="1" min="13" max="14"/>
    <col width="11.88671875" bestFit="1" customWidth="1" min="15" max="15"/>
    <col width="15.88671875" bestFit="1" customWidth="1" min="16" max="16"/>
    <col width="18.44140625" bestFit="1" customWidth="1" min="17" max="17"/>
    <col width="18.5546875" bestFit="1" customWidth="1" min="18" max="18"/>
    <col width="13.6640625" bestFit="1" customWidth="1" min="19" max="19"/>
    <col width="10.44140625" bestFit="1" customWidth="1" min="20" max="21"/>
  </cols>
  <sheetData>
    <row r="2">
      <c r="B2" s="1" t="inlineStr">
        <is>
          <t>Company</t>
        </is>
      </c>
      <c r="C2" s="1" t="inlineStr">
        <is>
          <t>Current Market Price (₹)</t>
        </is>
      </c>
      <c r="D2" s="1" t="inlineStr">
        <is>
          <t>DCF Intrinsic Value (₹)</t>
        </is>
      </c>
      <c r="E2" s="1" t="inlineStr">
        <is>
          <t>Upside (%)</t>
        </is>
      </c>
      <c r="F2" s="1" t="inlineStr">
        <is>
          <t>Valuation Recommendation</t>
        </is>
      </c>
      <c r="G2" s="1" t="inlineStr">
        <is>
          <t>Implied Price (EV/EBITDA)</t>
        </is>
      </c>
      <c r="H2" s="1" t="inlineStr">
        <is>
          <t>Implied Price (P/E)</t>
        </is>
      </c>
      <c r="I2" s="1" t="inlineStr">
        <is>
          <t>WACC (%)</t>
        </is>
      </c>
      <c r="J2" s="1" t="inlineStr">
        <is>
          <t>PV of Explicit FCFF</t>
        </is>
      </c>
      <c r="K2" s="1" t="inlineStr">
        <is>
          <t>PV of Terminal Value</t>
        </is>
      </c>
      <c r="L2" s="1" t="inlineStr">
        <is>
          <t>Enterprise Value</t>
        </is>
      </c>
      <c r="M2" s="1" t="inlineStr">
        <is>
          <t>Cash</t>
        </is>
      </c>
      <c r="N2" s="1" t="inlineStr">
        <is>
          <t>Debt</t>
        </is>
      </c>
      <c r="O2" s="1" t="inlineStr">
        <is>
          <t>Equity Value</t>
        </is>
      </c>
      <c r="P2" s="1" t="inlineStr">
        <is>
          <t>Share Outstanding</t>
        </is>
      </c>
      <c r="Q2" s="1" t="inlineStr">
        <is>
          <t>Return on Assets (%)</t>
        </is>
      </c>
      <c r="R2" s="1" t="inlineStr">
        <is>
          <t>Return on Equity (%)</t>
        </is>
      </c>
      <c r="S2" s="1" t="inlineStr">
        <is>
          <t>Altman's Score</t>
        </is>
      </c>
      <c r="T2" s="1" t="inlineStr">
        <is>
          <t>EBITDA</t>
        </is>
      </c>
      <c r="U2" s="1" t="inlineStr">
        <is>
          <t>Net Profit</t>
        </is>
      </c>
    </row>
    <row r="3" ht="5.4" customHeight="1"/>
    <row r="4">
      <c r="B4" s="2" t="inlineStr">
        <is>
          <t>Hind. Unilever</t>
        </is>
      </c>
      <c r="C4" s="6">
        <f>[1]DCF!$D$43</f>
        <v/>
      </c>
      <c r="D4" s="6">
        <f>[1]DCF!$D$41</f>
        <v/>
      </c>
      <c r="E4" s="4">
        <f>(D4-C4)/C4</f>
        <v/>
      </c>
      <c r="F4" s="5">
        <f>IF(E4 &gt; 0.1, "BUY", IF(E4 &lt; -0.1, "SELL", "HOLD"))</f>
        <v/>
      </c>
      <c r="G4" s="6">
        <f>[1]Comp_Valuation!$P$36</f>
        <v/>
      </c>
      <c r="H4" s="6">
        <f>[1]Comp_Valuation!$Q$36</f>
        <v/>
      </c>
      <c r="I4" s="3">
        <f>[1]WACC!$K$46</f>
        <v/>
      </c>
      <c r="J4" s="6">
        <f>[1]DCF!$D$32</f>
        <v/>
      </c>
      <c r="K4" s="6">
        <f>[1]DCF!$D$33</f>
        <v/>
      </c>
      <c r="L4" s="6">
        <f>[1]DCF!$D$34</f>
        <v/>
      </c>
      <c r="M4" s="6">
        <f>[1]DCF!$D$36</f>
        <v/>
      </c>
      <c r="N4" s="6">
        <f>[1]DCF!$D$37</f>
        <v/>
      </c>
      <c r="O4" s="6">
        <f>[1]DCF!$D$39</f>
        <v/>
      </c>
      <c r="P4" s="7">
        <f>[1]DCF!$D$40</f>
        <v/>
      </c>
      <c r="Q4" s="4">
        <f>'[1]Dupont Analysis'!$I$87</f>
        <v/>
      </c>
      <c r="R4" s="4">
        <f>'[1]Dupont Analysis'!$I$81</f>
        <v/>
      </c>
      <c r="S4" s="6">
        <f>'[1]Altman''s Z Score'!$I$93</f>
        <v/>
      </c>
      <c r="T4" s="6">
        <f>'[1]Historical FS'!$L$19</f>
        <v/>
      </c>
      <c r="U4" s="6">
        <f>'[1]Historical FS'!$L$37</f>
        <v/>
      </c>
    </row>
    <row r="5">
      <c r="B5" s="2" t="inlineStr">
        <is>
          <t>ITC</t>
        </is>
      </c>
      <c r="C5" s="6">
        <f>[2]DCF!$D$44</f>
        <v/>
      </c>
      <c r="D5" s="6">
        <f>[2]DCF!$D$42</f>
        <v/>
      </c>
      <c r="E5" s="4">
        <f>(D5-C5)/C5</f>
        <v/>
      </c>
      <c r="F5" s="5">
        <f>IF(E5 &gt; 0.1, "BUY", IF(E5 &lt; -0.1, "SELL", "HOLD"))</f>
        <v/>
      </c>
      <c r="G5" s="6">
        <f>[2]Comp_Valuation!$P$37</f>
        <v/>
      </c>
      <c r="H5" s="6">
        <f>[2]Comp_Valuation!$Q$37</f>
        <v/>
      </c>
      <c r="I5" s="3">
        <f>[2]WACC!$K$46</f>
        <v/>
      </c>
      <c r="J5" s="6">
        <f>[2]DCF!$D$33</f>
        <v/>
      </c>
      <c r="K5" s="6">
        <f>[2]DCF!$D$34</f>
        <v/>
      </c>
      <c r="L5" s="6">
        <f>[2]DCF!$D$35</f>
        <v/>
      </c>
      <c r="M5" s="6">
        <f>[2]DCF!$D$37</f>
        <v/>
      </c>
      <c r="N5" s="6">
        <f>[2]DCF!$D$38</f>
        <v/>
      </c>
      <c r="O5" s="6">
        <f>[2]DCF!$D$39</f>
        <v/>
      </c>
      <c r="P5" s="7">
        <f>[2]DCF!$D$40</f>
        <v/>
      </c>
      <c r="Q5" s="4">
        <f>'[2]Dupont Analysis'!$I$96</f>
        <v/>
      </c>
      <c r="R5" s="4">
        <f>'[2]Dupont Analysis'!$I$78</f>
        <v/>
      </c>
      <c r="S5" s="6">
        <f>'[2]Altman''s Z Score'!$I$89</f>
        <v/>
      </c>
      <c r="T5" s="6">
        <f>'[2]Historical FS'!$L$19</f>
        <v/>
      </c>
      <c r="U5" s="6">
        <f>'[2]Historical FS'!$L$37</f>
        <v/>
      </c>
    </row>
    <row r="6">
      <c r="B6" s="2" t="inlineStr">
        <is>
          <t>Nestle India</t>
        </is>
      </c>
      <c r="C6" s="6">
        <f>[3]DCF!$D$44</f>
        <v/>
      </c>
      <c r="D6" s="6">
        <f>[3]DCF!$D$42</f>
        <v/>
      </c>
      <c r="E6" s="4">
        <f>(D6-C6)/C6</f>
        <v/>
      </c>
      <c r="F6" s="5">
        <f>IF(E6 &gt; 0.1, "BUY", IF(E6 &lt; -0.1, "SELL", "HOLD"))</f>
        <v/>
      </c>
      <c r="G6" s="6">
        <f>[3]Comp_Valuation!$P$37</f>
        <v/>
      </c>
      <c r="H6" s="6">
        <f>[3]Comp_Valuation!$Q$37</f>
        <v/>
      </c>
      <c r="I6" s="3">
        <f>[3]WACC!$K$46</f>
        <v/>
      </c>
      <c r="J6" s="6">
        <f>[3]DCF!$D$33</f>
        <v/>
      </c>
      <c r="K6" s="6">
        <f>[3]DCF!$D$34</f>
        <v/>
      </c>
      <c r="L6" s="6">
        <f>[3]DCF!$D$35</f>
        <v/>
      </c>
      <c r="M6" s="6">
        <f>[3]DCF!$D$37</f>
        <v/>
      </c>
      <c r="N6" s="6">
        <f>[3]DCF!$D$38</f>
        <v/>
      </c>
      <c r="O6" s="6">
        <f>[3]DCF!$D$39</f>
        <v/>
      </c>
      <c r="P6" s="7">
        <f>[3]DCF!$D$40</f>
        <v/>
      </c>
      <c r="Q6" s="4">
        <f>'[3]Dupont Analysis'!$I$96</f>
        <v/>
      </c>
      <c r="R6" s="4">
        <f>'[3]Dupont Analysis'!$I$78</f>
        <v/>
      </c>
      <c r="S6" s="6">
        <f>'[3]Altman''s Z Score'!$I$89</f>
        <v/>
      </c>
      <c r="T6" s="6">
        <f>'[3]Historical FS'!$L$19</f>
        <v/>
      </c>
      <c r="U6" s="6">
        <f>'[3]Historical FS'!$L$37</f>
        <v/>
      </c>
    </row>
    <row r="7">
      <c r="B7" s="2" t="inlineStr">
        <is>
          <t>Varun Beverages</t>
        </is>
      </c>
      <c r="C7" s="6">
        <f>[4]DCF!$D$44</f>
        <v/>
      </c>
      <c r="D7" s="6">
        <f>[4]DCF!$D$42</f>
        <v/>
      </c>
      <c r="E7" s="4">
        <f>(D7-C7)/C7</f>
        <v/>
      </c>
      <c r="F7" s="5">
        <f>IF(E7 &gt; 0.1, "BUY", IF(E7 &lt; -0.1, "SELL", "HOLD"))</f>
        <v/>
      </c>
      <c r="G7" s="6">
        <f>[4]Comp_Valuation!$P$37</f>
        <v/>
      </c>
      <c r="H7" s="6">
        <f>[4]Comp_Valuation!$Q$37</f>
        <v/>
      </c>
      <c r="I7" s="3">
        <f>[4]WACC!$K$46</f>
        <v/>
      </c>
      <c r="J7" s="6">
        <f>[4]DCF!$D$33</f>
        <v/>
      </c>
      <c r="K7" s="6">
        <f>[4]DCF!$D$34</f>
        <v/>
      </c>
      <c r="L7" s="6">
        <f>[4]DCF!$D$35</f>
        <v/>
      </c>
      <c r="M7" s="6">
        <f>[4]DCF!$D$37</f>
        <v/>
      </c>
      <c r="N7" s="6">
        <f>[4]DCF!$D$38</f>
        <v/>
      </c>
      <c r="O7" s="6">
        <f>[4]DCF!$D$39</f>
        <v/>
      </c>
      <c r="P7" s="7">
        <f>[4]DCF!$D$40</f>
        <v/>
      </c>
      <c r="Q7" s="4">
        <f>'[4]Dupont Analysis'!$I$95</f>
        <v/>
      </c>
      <c r="R7" s="4">
        <f>'[4]Dupont Analysis'!$I$77</f>
        <v/>
      </c>
      <c r="S7" s="6">
        <f>'[4]Altman''s Z Score'!$I$88</f>
        <v/>
      </c>
      <c r="T7" s="6">
        <f>'[4]Historical FS'!$L$19</f>
        <v/>
      </c>
      <c r="U7" s="6">
        <f>'[4]Historical FS'!$L$37</f>
        <v/>
      </c>
    </row>
    <row r="8">
      <c r="B8" s="2" t="inlineStr">
        <is>
          <t>Britannia Inds.</t>
        </is>
      </c>
      <c r="C8" s="6">
        <f>[5]DCF!$D$44</f>
        <v/>
      </c>
      <c r="D8" s="6">
        <f>[5]DCF!$D$42</f>
        <v/>
      </c>
      <c r="E8" s="4">
        <f>(D8-C8)/C8</f>
        <v/>
      </c>
      <c r="F8" s="5">
        <f>IF(E8 &gt; 0.1, "BUY", IF(E8 &lt; -0.1, "SELL", "HOLD"))</f>
        <v/>
      </c>
      <c r="G8" s="6">
        <f>[5]Comp_Valuation!$P$37</f>
        <v/>
      </c>
      <c r="H8" s="6">
        <f>[5]Comp_Valuation!$Q$37</f>
        <v/>
      </c>
      <c r="I8" s="3">
        <f>[5]WACC!$K$46</f>
        <v/>
      </c>
      <c r="J8" s="6">
        <f>[5]DCF!$D$33</f>
        <v/>
      </c>
      <c r="K8" s="6">
        <f>[5]DCF!$D$34</f>
        <v/>
      </c>
      <c r="L8" s="6">
        <f>[5]DCF!$D$35</f>
        <v/>
      </c>
      <c r="M8" s="6">
        <f>[5]DCF!$D$37</f>
        <v/>
      </c>
      <c r="N8" s="6">
        <f>[5]DCF!$D$38</f>
        <v/>
      </c>
      <c r="O8" s="6">
        <f>[5]DCF!$D$39</f>
        <v/>
      </c>
      <c r="P8" s="7">
        <f>[5]DCF!$D$40</f>
        <v/>
      </c>
      <c r="Q8" s="4">
        <f>'[5]Dupont Analysis'!$I$95</f>
        <v/>
      </c>
      <c r="R8" s="4">
        <f>'[5]Dupont Analysis'!$I$77</f>
        <v/>
      </c>
      <c r="S8" s="6">
        <f>'[5]Altman''s Z Score'!$I$88</f>
        <v/>
      </c>
      <c r="T8" s="6">
        <f>'[5]Historical FS'!$L$19</f>
        <v/>
      </c>
      <c r="U8" s="6">
        <f>'[5]Historical FS'!$L$37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4" customWidth="1" min="4" max="4"/>
    <col width="20" customWidth="1" min="5" max="5"/>
    <col width="16" customWidth="1" min="6" max="6"/>
    <col width="16" customWidth="1" min="7" max="7"/>
    <col width="18" customWidth="1" min="8" max="8"/>
    <col width="4" customWidth="1" min="9" max="9"/>
    <col width="18" customWidth="1" min="10" max="10"/>
    <col width="16" customWidth="1" min="11" max="11"/>
    <col width="16" customWidth="1" min="12" max="12"/>
    <col width="16" customWidth="1" min="13" max="13"/>
  </cols>
  <sheetData>
    <row r="2">
      <c r="B2" s="8" t="inlineStr">
        <is>
          <t>INSTITUTIONAL MODEL CONTROL PANEL &amp; ASSUMPTIONS</t>
        </is>
      </c>
    </row>
    <row r="3">
      <c r="B3" s="9" t="inlineStr">
        <is>
          <t>Single Source of Truth for Global Valuation Inputs, Scenarios &amp; Route Configuration</t>
        </is>
      </c>
    </row>
    <row r="5">
      <c r="B5" s="10" t="inlineStr">
        <is>
          <t>1. MODEL METADATA &amp; REPORTING SETTINGS</t>
        </is>
      </c>
      <c r="C5" s="11" t="n"/>
      <c r="E5" s="12" t="inlineStr">
        <is>
          <t>COUNTRY</t>
        </is>
      </c>
      <c r="F5" s="12" t="inlineStr">
        <is>
          <t>RISK-FREE (Rf)</t>
        </is>
      </c>
      <c r="G5" s="12" t="inlineStr">
        <is>
          <t>ERP</t>
        </is>
      </c>
      <c r="H5" s="12" t="inlineStr">
        <is>
          <t>MARGINAL TAX</t>
        </is>
      </c>
      <c r="J5" s="12" t="inlineStr">
        <is>
          <t>SCENARIO</t>
        </is>
      </c>
      <c r="K5" s="12" t="inlineStr">
        <is>
          <t>GROWTH MULT</t>
        </is>
      </c>
      <c r="L5" s="12" t="inlineStr">
        <is>
          <t>MARGIN ADJ (NOT WIRED)</t>
        </is>
      </c>
      <c r="M5" s="12" t="inlineStr">
        <is>
          <t>WACC SPREAD</t>
        </is>
      </c>
    </row>
    <row r="6">
      <c r="B6" s="13" t="inlineStr">
        <is>
          <t>Valuation Date</t>
        </is>
      </c>
      <c r="C6" s="14">
        <f>TODAY()</f>
        <v/>
      </c>
      <c r="E6" s="15" t="inlineStr">
        <is>
          <t>India</t>
        </is>
      </c>
      <c r="F6" s="16" t="n">
        <v>0.068</v>
      </c>
      <c r="G6" s="16" t="n">
        <v>0.065</v>
      </c>
      <c r="H6" s="16" t="n">
        <v>0.2517</v>
      </c>
      <c r="J6" s="15" t="inlineStr">
        <is>
          <t>1 - Bear Case</t>
        </is>
      </c>
      <c r="K6" s="17" t="n">
        <v>0.7</v>
      </c>
      <c r="L6" s="39" t="n">
        <v>-0.02</v>
      </c>
      <c r="M6" s="40" t="n">
        <v>0.01</v>
      </c>
    </row>
    <row r="7">
      <c r="B7" s="13" t="inlineStr">
        <is>
          <t>Reporting Currency</t>
        </is>
      </c>
      <c r="C7" s="20" t="inlineStr">
        <is>
          <t>INR</t>
        </is>
      </c>
      <c r="E7" s="15" t="inlineStr">
        <is>
          <t>United States</t>
        </is>
      </c>
      <c r="F7" s="16" t="n">
        <v>0.042</v>
      </c>
      <c r="G7" s="16" t="n">
        <v>0.05</v>
      </c>
      <c r="H7" s="16" t="n">
        <v>0.21</v>
      </c>
      <c r="J7" s="15" t="inlineStr">
        <is>
          <t>2 - Base Case</t>
        </is>
      </c>
      <c r="K7" s="17" t="n">
        <v>1</v>
      </c>
      <c r="L7" s="39" t="n">
        <v>0</v>
      </c>
      <c r="M7" s="40" t="n">
        <v>0</v>
      </c>
    </row>
    <row r="8">
      <c r="B8" s="13" t="inlineStr">
        <is>
          <t>Financial Reporting Unit</t>
        </is>
      </c>
      <c r="C8" s="20" t="inlineStr">
        <is>
          <t>Crores</t>
        </is>
      </c>
      <c r="E8" s="15" t="inlineStr">
        <is>
          <t>United Kingdom</t>
        </is>
      </c>
      <c r="F8" s="16" t="n">
        <v>0.044</v>
      </c>
      <c r="G8" s="16" t="n">
        <v>0.055</v>
      </c>
      <c r="H8" s="16" t="n">
        <v>0.25</v>
      </c>
      <c r="J8" s="15" t="inlineStr">
        <is>
          <t>3 - Bull Case</t>
        </is>
      </c>
      <c r="K8" s="17" t="n">
        <v>1.3</v>
      </c>
      <c r="L8" s="39" t="n">
        <v>0.02</v>
      </c>
      <c r="M8" s="40" t="n">
        <v>-0.005</v>
      </c>
    </row>
    <row r="9">
      <c r="B9" s="13" t="inlineStr">
        <is>
          <t>Unit Scale Factor</t>
        </is>
      </c>
      <c r="C9" s="21" t="n">
        <v>10000000</v>
      </c>
      <c r="E9" s="15" t="inlineStr">
        <is>
          <t>Germany</t>
        </is>
      </c>
      <c r="F9" s="16" t="n">
        <v>0.025</v>
      </c>
      <c r="G9" s="16" t="n">
        <v>0.05</v>
      </c>
      <c r="H9" s="16" t="n">
        <v>0.3</v>
      </c>
    </row>
    <row r="10">
      <c r="B10" s="13" t="inlineStr">
        <is>
          <t>Target Country</t>
        </is>
      </c>
      <c r="C10" s="20" t="inlineStr">
        <is>
          <t>India</t>
        </is>
      </c>
      <c r="E10" s="15" t="inlineStr">
        <is>
          <t>Japan</t>
        </is>
      </c>
      <c r="F10" s="16" t="n">
        <v>0.011</v>
      </c>
      <c r="G10" s="16" t="n">
        <v>0.055</v>
      </c>
      <c r="H10" s="16" t="n">
        <v>0.3062</v>
      </c>
      <c r="J10" s="22" t="inlineStr">
        <is>
          <t>ACTIVE MULTIPLIERS:</t>
        </is>
      </c>
      <c r="K10" s="23">
        <f>CHOOSE(C14, K6, K7, K8)</f>
        <v/>
      </c>
      <c r="L10" s="41">
        <f>CHOOSE(C14, L6, L7, L8)</f>
        <v/>
      </c>
      <c r="M10" s="42">
        <f>CHOOSE(C14, M6, M7, M8)</f>
        <v/>
      </c>
    </row>
    <row r="11">
      <c r="B11" s="13" t="inlineStr">
        <is>
          <t>Target Sector / Industry</t>
        </is>
      </c>
      <c r="C11" s="20" t="inlineStr">
        <is>
          <t>Corporate / Non-Financial</t>
        </is>
      </c>
      <c r="E11" s="15" t="inlineStr">
        <is>
          <t>Singapore</t>
        </is>
      </c>
      <c r="F11" s="16" t="n">
        <v>0.03</v>
      </c>
      <c r="G11" s="16" t="n">
        <v>0.05</v>
      </c>
      <c r="H11" s="16" t="n">
        <v>0.17</v>
      </c>
    </row>
    <row r="12">
      <c r="B12" s="13" t="inlineStr">
        <is>
          <t>Valuation Framework Switch</t>
        </is>
      </c>
      <c r="C12" s="20" t="inlineStr">
        <is>
          <t>FCFF DCF</t>
        </is>
      </c>
      <c r="E12" s="15" t="inlineStr">
        <is>
          <t>UAE</t>
        </is>
      </c>
      <c r="F12" s="16" t="n">
        <v>0.045</v>
      </c>
      <c r="G12" s="16" t="n">
        <v>0.055</v>
      </c>
      <c r="H12" s="16" t="n">
        <v>0.09</v>
      </c>
    </row>
    <row r="13">
      <c r="B13" s="13" t="inlineStr">
        <is>
          <t>Benchmark Market Index</t>
        </is>
      </c>
      <c r="C13" s="20" t="inlineStr">
        <is>
          <t>NIFTY 50</t>
        </is>
      </c>
    </row>
    <row r="14">
      <c r="B14" s="13" t="inlineStr">
        <is>
          <t>Active Valuation Scenario</t>
        </is>
      </c>
      <c r="C14" s="26" t="n">
        <v>2</v>
      </c>
    </row>
    <row r="16">
      <c r="B16" s="10" t="inlineStr">
        <is>
          <t>2. COST OF CAPITAL &amp; DCF ASSUMPTIONS</t>
        </is>
      </c>
      <c r="C16" s="11" t="n"/>
    </row>
    <row r="17">
      <c r="B17" s="13" t="inlineStr">
        <is>
          <t>Risk-Free Rate (Rf)</t>
        </is>
      </c>
      <c r="C17" s="27">
        <f>VLOOKUP(C10, E6:H12, 2, FALSE())</f>
        <v/>
      </c>
    </row>
    <row r="18">
      <c r="B18" s="13" t="inlineStr">
        <is>
          <t>Equity Risk Premium (ERP)</t>
        </is>
      </c>
      <c r="C18" s="27">
        <f>VLOOKUP(C10, E6:H12, 3, FALSE())</f>
        <v/>
      </c>
    </row>
    <row r="19">
      <c r="B19" s="13" t="inlineStr">
        <is>
          <t>Marginal Corporate Tax Rate</t>
        </is>
      </c>
      <c r="C19" s="27">
        <f>VLOOKUP(C10, E6:H12, 4, FALSE())</f>
        <v/>
      </c>
    </row>
    <row r="20">
      <c r="B20" s="13" t="inlineStr">
        <is>
          <t>Effective Dynamic Tax Rate</t>
        </is>
      </c>
      <c r="C20" s="27">
        <f>MEDIAN(MAX(0.15, MIN(0.35, INDEX('Data Sheet'!$B29:$K29, C26)/MAX(1, INDEX('Data Sheet'!$B28:$K28, C26)))), C19)</f>
        <v/>
      </c>
    </row>
    <row r="21">
      <c r="B21" s="13" t="inlineStr">
        <is>
          <t>Terminal Growth Rate (g)</t>
        </is>
      </c>
      <c r="C21" s="27" t="n">
        <v>0.04</v>
      </c>
    </row>
    <row r="22">
      <c r="B22" s="13" t="inlineStr">
        <is>
          <t>Reinvestment Rate Ceiling</t>
        </is>
      </c>
      <c r="C22" s="27" t="n">
        <v>0.85</v>
      </c>
    </row>
    <row r="23">
      <c r="B23" s="13" t="inlineStr">
        <is>
          <t>Investments Fair-Value Haircut</t>
        </is>
      </c>
      <c r="C23" s="27" t="n">
        <v>0.1</v>
      </c>
    </row>
    <row r="24">
      <c r="B24" s="13" t="inlineStr">
        <is>
          <t>Minority Interest Method</t>
        </is>
      </c>
      <c r="C24" s="20" t="inlineStr">
        <is>
          <t>Book Value</t>
        </is>
      </c>
    </row>
    <row r="25">
      <c r="B25" s="10" t="inlineStr">
        <is>
          <t>3. DYNAMIC STATEMENT PERIOD SELECTOR</t>
        </is>
      </c>
      <c r="C25" s="11" t="n"/>
    </row>
    <row r="26">
      <c r="B26" s="13" t="inlineStr">
        <is>
          <t>Latest Historical Period Column Index</t>
        </is>
      </c>
      <c r="C26" s="28">
        <f>MATCH(MAX('Data Sheet'!$B56:$K56), 'Data Sheet'!$B56:$K56, 0)</f>
        <v/>
      </c>
    </row>
    <row r="27">
      <c r="B27" s="13" t="inlineStr">
        <is>
          <t>Latest Statement Header Date</t>
        </is>
      </c>
      <c r="C27" s="29">
        <f>INDEX('Data Sheet'!$B56:$K56, C26)</f>
        <v/>
      </c>
    </row>
    <row r="28">
      <c r="B28" s="13" t="inlineStr">
        <is>
          <t>Latest Stock Price (Data Sheet)</t>
        </is>
      </c>
      <c r="C28" s="43">
        <f>'Data Sheet'!B8</f>
        <v/>
      </c>
    </row>
    <row r="29">
      <c r="B29" s="13" t="inlineStr">
        <is>
          <t>Default Credit Spread over Rf (used when debt is negligible)</t>
        </is>
      </c>
      <c r="C29" s="27" t="n">
        <v>0.015</v>
      </c>
    </row>
    <row r="30">
      <c r="B30" s="13" t="inlineStr">
        <is>
          <t>Max Credit Spread Cap (calc outside Rf..Rf+cap is rejected)</t>
        </is>
      </c>
      <c r="C30" s="27" t="n">
        <v>0.05</v>
      </c>
    </row>
    <row r="32">
      <c r="B32" s="10" t="inlineStr">
        <is>
          <t>4. OPTIONAL ALTERNATE 10-YEAR DCF (parallel view - base DCF unchanged)</t>
        </is>
      </c>
      <c r="C32" s="11" t="n"/>
    </row>
    <row r="33">
      <c r="B33" s="13" t="inlineStr">
        <is>
          <t>Year-1 EBIT Growth Override (blank = use model)</t>
        </is>
      </c>
      <c r="C33" s="44" t="n"/>
    </row>
    <row r="34">
      <c r="B34" s="13" t="inlineStr">
        <is>
          <t>Exit EV/EBIT Multiple (x)</t>
        </is>
      </c>
      <c r="C34" s="26" t="n">
        <v>18</v>
      </c>
    </row>
    <row r="35">
      <c r="B35" s="13" t="inlineStr">
        <is>
          <t>Terminal Method (Gordon Growth / Exit Multiple)</t>
        </is>
      </c>
      <c r="C35" s="20" t="inlineStr">
        <is>
          <t>Gordon Growth</t>
        </is>
      </c>
    </row>
    <row r="36">
      <c r="B36" s="13" t="inlineStr">
        <is>
          <t>Incremental ROIC Override (blank = model ROIC)</t>
        </is>
      </c>
      <c r="C36" s="4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48" customWidth="1" min="3" max="3"/>
    <col width="22" customWidth="1" min="4" max="4"/>
    <col width="16" customWidth="1" min="5" max="5"/>
    <col width="16" customWidth="1" min="6" max="6"/>
  </cols>
  <sheetData>
    <row r="2">
      <c r="B2" s="8" t="inlineStr">
        <is>
          <t>MODEL AUDIT &amp; INTEGRITY CHECK PANEL</t>
        </is>
      </c>
    </row>
    <row r="3">
      <c r="B3" s="31" t="inlineStr">
        <is>
          <t>OVERALL MODEL STATUS:</t>
        </is>
      </c>
      <c r="C3" s="32">
        <f>IF(AND(F6="PASS", F7="PASS", F8="PASS", F9="PASS", F10="PASS", F11="PASS", F12="PASS", F13="PASS", F14="PASS", F15="PASS"), "MODEL STATUS: OK", "MODEL STATUS: CHECK REQUIRED")</f>
        <v/>
      </c>
    </row>
    <row r="5">
      <c r="B5" s="33" t="inlineStr">
        <is>
          <t>CHECK ITEM</t>
        </is>
      </c>
      <c r="C5" s="33" t="inlineStr">
        <is>
          <t>VALIDATION LOGIC &amp; FORMULA</t>
        </is>
      </c>
      <c r="D5" s="12" t="inlineStr">
        <is>
          <t>CURRENT VALUE / VARIANCE</t>
        </is>
      </c>
      <c r="E5" s="12" t="inlineStr">
        <is>
          <t>THRESHOLD</t>
        </is>
      </c>
      <c r="F5" s="12" t="inlineStr">
        <is>
          <t>STATUS</t>
        </is>
      </c>
    </row>
    <row r="6">
      <c r="B6" s="34" t="inlineStr">
        <is>
          <t>1. Balance Sheet Identity</t>
        </is>
      </c>
      <c r="C6" s="15" t="inlineStr">
        <is>
          <t>Total liabilities side ties to its components and to total assets</t>
        </is>
      </c>
      <c r="D6" s="35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36" t="inlineStr">
        <is>
          <t>&lt; ₹ 5.0 Cr</t>
        </is>
      </c>
      <c r="F6" s="37">
        <f>IF(D6&lt;5, "PASS", "CHECK")</f>
        <v/>
      </c>
    </row>
    <row r="7">
      <c r="B7" s="34" t="inlineStr">
        <is>
          <t>2. PBT Mathematical Tie</t>
        </is>
      </c>
      <c r="C7" s="15" t="inlineStr">
        <is>
          <t>Sales less all expenses plus other income less depreciation and interest ties to PBT</t>
        </is>
      </c>
      <c r="D7" s="38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36" t="inlineStr">
        <is>
          <t>&lt; 1.5%</t>
        </is>
      </c>
      <c r="F7" s="37">
        <f>IF(D7&lt;0.015, "PASS", "CHECK")</f>
        <v/>
      </c>
    </row>
    <row r="8">
      <c r="B8" s="34" t="inlineStr">
        <is>
          <t>3. Debt Schedule Concordance</t>
        </is>
      </c>
      <c r="C8" s="15" t="inlineStr">
        <is>
          <t>Data Sheet Borrowings ties to the independently pasted Raw FS borrowings (latest year)</t>
        </is>
      </c>
      <c r="D8" s="35">
        <f>ABS(INDEX('Data Sheet'!$B59:$K59,Control!$C$26)-LOOKUP(2,1/ISNUMBER('Raw FS'!$C7:$N7),'Raw FS'!$C7:$N7))</f>
        <v/>
      </c>
      <c r="E8" s="36" t="inlineStr">
        <is>
          <t>&lt; ₹ 5.0 Cr</t>
        </is>
      </c>
      <c r="F8" s="37">
        <f>IF(D8&lt;5, "PASS", "CHECK")</f>
        <v/>
      </c>
    </row>
    <row r="9">
      <c r="B9" s="34" t="inlineStr">
        <is>
          <t>4. P&amp;L Expenses Agreement</t>
        </is>
      </c>
      <c r="C9" s="15" t="inlineStr">
        <is>
          <t>Data Sheet total expenses (rows 18-24) tie to Raw FS total expenses</t>
        </is>
      </c>
      <c r="D9" s="35">
        <f>ABS(SUM(INDEX('Data Sheet'!$B$18:$K$24,0,Control!$C$26))-'Raw FS'!AD5)</f>
        <v/>
      </c>
      <c r="E9" s="36" t="inlineStr">
        <is>
          <t>&lt; ₹ 10.0 Cr</t>
        </is>
      </c>
      <c r="F9" s="37">
        <f>IF(D9&lt;10, "PASS", "CHECK")</f>
        <v/>
      </c>
    </row>
    <row r="10">
      <c r="B10" s="34" t="inlineStr">
        <is>
          <t>5. Formula Error Counter</t>
        </is>
      </c>
      <c r="C10" s="15" t="inlineStr">
        <is>
          <t>Zero formula errors on Summary, DCF, WACC, Intrinsic Valuation, Comps and Beta tabs</t>
        </is>
      </c>
      <c r="D10" s="35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36" t="inlineStr">
        <is>
          <t>0 Errors</t>
        </is>
      </c>
      <c r="F10" s="37">
        <f>IF(D10=0, "PASS", "CHECK")</f>
        <v/>
      </c>
    </row>
    <row r="11">
      <c r="B11" s="34" t="inlineStr">
        <is>
          <t>6. Terminal Value EV Share</t>
        </is>
      </c>
      <c r="C11" s="15" t="inlineStr">
        <is>
          <t>Terminal Value percentage of Enterprise Value is sustainable</t>
        </is>
      </c>
      <c r="D11" s="38">
        <f>DCF!D34 / MAX(1, DCF!D35)</f>
        <v/>
      </c>
      <c r="E11" s="36" t="inlineStr">
        <is>
          <t>&lt; 75.0%</t>
        </is>
      </c>
      <c r="F11" s="37">
        <f>IF(D11&lt;0.75, "PASS", "CHECK")</f>
        <v/>
      </c>
    </row>
    <row r="12">
      <c r="B12" s="34" t="inlineStr">
        <is>
          <t>7. Growth vs WACC Boundary</t>
        </is>
      </c>
      <c r="C12" s="15" t="inlineStr">
        <is>
          <t>Terminal growth rate is less than WACC and within Risk-Free rate</t>
        </is>
      </c>
      <c r="D12" s="38">
        <f>DCF!D20 - DCF!D19</f>
        <v/>
      </c>
      <c r="E12" s="36" t="inlineStr">
        <is>
          <t>&gt; 0.5%</t>
        </is>
      </c>
      <c r="F12" s="37">
        <f>IF(AND(D12&gt;0.005, DCF!D19&lt;=Control!$C$17), "PASS", "CHECK")</f>
        <v/>
      </c>
    </row>
    <row r="13">
      <c r="B13" s="34" t="inlineStr">
        <is>
          <t>8. Trading Price Freshness</t>
        </is>
      </c>
      <c r="C13" s="15" t="inlineStr">
        <is>
          <t>Market trading price quote is within acceptable institutional window</t>
        </is>
      </c>
      <c r="D13" s="35">
        <f>TODAY()-SUMPRODUCT(MAX(IFERROR(DATEVALUE('Raw Data'!G6:G252),IF(ISNUMBER('Raw Data'!G6:G252),'Raw Data'!G6:G252,0))))</f>
        <v/>
      </c>
      <c r="E13" s="36" t="inlineStr">
        <is>
          <t>&lt;= 45 Days</t>
        </is>
      </c>
      <c r="F13" s="37">
        <f>IF(D13&lt;=45, "PASS", "CHECK")</f>
        <v/>
      </c>
    </row>
    <row r="14">
      <c r="B14" s="34" t="inlineStr">
        <is>
          <t>9. Peer Group Sample Size</t>
        </is>
      </c>
      <c r="C14" s="15" t="inlineStr">
        <is>
          <t>Comparable peer valuation set contains minimum robust observations</t>
        </is>
      </c>
      <c r="D14" s="35">
        <f>COUNTA(Comp_Valuation!C12:C26)</f>
        <v/>
      </c>
      <c r="E14" s="36" t="inlineStr">
        <is>
          <t>&gt;= 4 Peers</t>
        </is>
      </c>
      <c r="F14" s="37">
        <f>IF(D14&gt;=4, "PASS", "CHECK")</f>
        <v/>
      </c>
    </row>
    <row r="15">
      <c r="B15" s="34" t="inlineStr">
        <is>
          <t>10. DCF Bridge Mathematical Tie</t>
        </is>
      </c>
      <c r="C15" s="15" t="inlineStr">
        <is>
          <t>Equity Value equals EV + Cash + Investments - Debt - Minority Interest</t>
        </is>
      </c>
      <c r="D15" s="35">
        <f>ABS(DCF!D40 - (DCF!D35 + DCF!D37 - DCF!D38 - DCF!D39))</f>
        <v/>
      </c>
      <c r="E15" s="36" t="inlineStr">
        <is>
          <t>&lt; ₹ 0.01</t>
        </is>
      </c>
      <c r="F15" s="37">
        <f>IF(D15&lt;0.01, "PASS", "CHECK")</f>
        <v/>
      </c>
    </row>
    <row r="17">
      <c r="B17" s="10" t="inlineStr">
        <is>
          <t>ADVISORY CHECKS (informational - NOT included in overall status)</t>
        </is>
      </c>
      <c r="C17" s="11" t="n"/>
      <c r="D17" s="11" t="n"/>
      <c r="E17" s="11" t="n"/>
      <c r="F17" s="11" t="n"/>
    </row>
    <row r="18">
      <c r="B18" s="34" t="inlineStr">
        <is>
          <t>A1. DCF vs Market Divergence</t>
        </is>
      </c>
      <c r="C18" s="15" t="inlineStr">
        <is>
          <t>Absolute gap between DCF value per share and market price</t>
        </is>
      </c>
      <c r="D18" s="38">
        <f>ABS(DCF!D46)</f>
        <v/>
      </c>
      <c r="E18" s="36" t="inlineStr">
        <is>
          <t>&lt; 50%</t>
        </is>
      </c>
      <c r="F18" s="37">
        <f>IF(D18&lt;0.5,"PASS","REVIEW")</f>
        <v/>
      </c>
    </row>
    <row r="19">
      <c r="B19" s="34" t="inlineStr">
        <is>
          <t>A2. WACC Sanity Range</t>
        </is>
      </c>
      <c r="C19" s="15" t="inlineStr">
        <is>
          <t>WACC sits inside a plausible band for the target market</t>
        </is>
      </c>
      <c r="D19" s="38">
        <f>DCF!D20</f>
        <v/>
      </c>
      <c r="E19" s="36" t="inlineStr">
        <is>
          <t>8% - 16%</t>
        </is>
      </c>
      <c r="F19" s="37">
        <f>IF(AND(D19&gt;=0.08,D19&lt;=0.16),"PASS","REVIEW")</f>
        <v/>
      </c>
    </row>
    <row r="20">
      <c r="B20" s="34" t="inlineStr">
        <is>
          <t>A3. Market Cap Tie</t>
        </is>
      </c>
      <c r="C20" s="15" t="inlineStr">
        <is>
          <t>Market cap used in WACC weights ties to Price x Shares on Data Sheet</t>
        </is>
      </c>
      <c r="D20" s="38">
        <f>ABS(WACC!C35/'Data Sheet'!B9-1)</f>
        <v/>
      </c>
      <c r="E20" s="36" t="inlineStr">
        <is>
          <t>&lt; 2%</t>
        </is>
      </c>
      <c r="F20" s="37">
        <f>IF(D20&lt;0.02,"PASS","REVIEW")</f>
        <v/>
      </c>
    </row>
    <row r="21">
      <c r="B21" s="34" t="inlineStr">
        <is>
          <t>A4. Reinvestment History Spike</t>
        </is>
      </c>
      <c r="C21" s="15" t="inlineStr">
        <is>
          <t>Largest historical reinvestment rate (blank-year / acquisition spikes distort median)</t>
        </is>
      </c>
      <c r="D21" s="38">
        <f>MAX('Intrinsic Valuation'!H52:L52)</f>
        <v/>
      </c>
      <c r="E21" s="36" t="inlineStr">
        <is>
          <t>&lt;= 100%</t>
        </is>
      </c>
      <c r="F21" s="37">
        <f>IF(D21&lt;=1,"PASS","REVIEW")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Loveish</dc:creator>
  <dcterms:created xmlns:dcterms="http://purl.org/dc/terms/" xmlns:xsi="http://www.w3.org/2001/XMLSchema-instance" xsi:type="dcterms:W3CDTF">2026-08-13T18:43:05Z</dcterms:created>
  <dcterms:modified xmlns:dcterms="http://purl.org/dc/terms/" xmlns:xsi="http://www.w3.org/2001/XMLSchema-instance" xsi:type="dcterms:W3CDTF">2026-10-07T23:52:02Z</dcterms:modified>
  <cp:lastModifiedBy>Loveish</cp:lastModifiedBy>
</cp:coreProperties>
</file>