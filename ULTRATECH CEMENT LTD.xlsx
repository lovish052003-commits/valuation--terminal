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1">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f>IF(NOT(ISNUMBER(C5)),"n/a",IF(ABS(C5)&gt;0.5,"REVIEW: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ULTRATECH CEMENT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10</v>
      </c>
    </row>
    <row r="8">
      <c r="A8" s="193" t="inlineStr">
        <is>
          <t>Current Price</t>
        </is>
      </c>
      <c r="B8" t="n">
        <v>10530</v>
      </c>
    </row>
    <row r="9">
      <c r="A9" s="193" t="inlineStr">
        <is>
          <t>Market Capitalization</t>
        </is>
      </c>
      <c r="B9" t="n">
        <v>310635</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25375</v>
      </c>
      <c r="C17" t="n">
        <v>30979</v>
      </c>
      <c r="D17" t="n">
        <v>41462</v>
      </c>
      <c r="E17" t="n">
        <v>42430</v>
      </c>
      <c r="F17" t="n">
        <v>44726</v>
      </c>
      <c r="G17" t="n">
        <v>52599</v>
      </c>
      <c r="H17" t="n">
        <v>63240</v>
      </c>
      <c r="I17" t="n">
        <v>70908</v>
      </c>
      <c r="J17" t="n">
        <v>75955</v>
      </c>
      <c r="K17" t="n">
        <v>88512</v>
      </c>
    </row>
    <row r="18" customFormat="1" s="188">
      <c r="A18" s="193" t="inlineStr">
        <is>
          <t>Raw Material Cost</t>
        </is>
      </c>
      <c r="B18" t="n">
        <v>4417</v>
      </c>
      <c r="C18" t="n">
        <v>5400</v>
      </c>
      <c r="D18" t="n">
        <v>6937</v>
      </c>
      <c r="E18" t="n">
        <v>6876</v>
      </c>
      <c r="F18" t="n">
        <v>6636</v>
      </c>
      <c r="G18" t="n">
        <v>8348</v>
      </c>
      <c r="H18" t="n">
        <v>10233</v>
      </c>
      <c r="I18" t="n">
        <v>11986</v>
      </c>
      <c r="J18" t="n">
        <v>13691</v>
      </c>
      <c r="K18" t="n">
        <v>17085</v>
      </c>
    </row>
    <row r="19" customFormat="1" s="188">
      <c r="A19" s="193" t="inlineStr">
        <is>
          <t>Change in Inventory</t>
        </is>
      </c>
      <c r="B19" t="n">
        <v>-76</v>
      </c>
      <c r="C19" t="n">
        <v>111</v>
      </c>
      <c r="D19" t="n">
        <v>-46</v>
      </c>
      <c r="E19" t="n">
        <v>358</v>
      </c>
      <c r="F19" t="n">
        <v>-450</v>
      </c>
      <c r="G19" t="n">
        <v>383</v>
      </c>
      <c r="H19" t="n">
        <v>518</v>
      </c>
      <c r="I19" t="n">
        <v>83</v>
      </c>
      <c r="J19" t="n">
        <v>-12</v>
      </c>
      <c r="K19" t="n">
        <v>-103</v>
      </c>
    </row>
    <row r="20" customFormat="1" s="188">
      <c r="A20" s="193" t="inlineStr">
        <is>
          <t>Power and Fuel</t>
        </is>
      </c>
      <c r="B20" t="n">
        <v>626.26</v>
      </c>
      <c r="C20" t="n">
        <v>862.46</v>
      </c>
      <c r="D20" t="n">
        <v>1243.86</v>
      </c>
      <c r="E20" t="n">
        <v>1156.22</v>
      </c>
      <c r="F20" t="n">
        <v>1140.07</v>
      </c>
      <c r="G20" t="n">
        <v>1602.69</v>
      </c>
      <c r="H20" t="n">
        <v>2283.6</v>
      </c>
      <c r="I20" t="n">
        <v>2317.98</v>
      </c>
      <c r="J20" t="n">
        <v>2389.54</v>
      </c>
      <c r="K20" t="n">
        <v>2575.7</v>
      </c>
    </row>
    <row r="21" customFormat="1" s="188">
      <c r="A21" s="193" t="inlineStr">
        <is>
          <t>Other Mfr. Exp</t>
        </is>
      </c>
      <c r="B21" t="n">
        <v>5636.29</v>
      </c>
      <c r="C21" t="n">
        <v>7762.09</v>
      </c>
      <c r="D21" t="n">
        <v>11194.74</v>
      </c>
      <c r="E21" t="n">
        <v>10405.96</v>
      </c>
      <c r="F21" t="n">
        <v>10260.59</v>
      </c>
      <c r="G21" t="n">
        <v>14424.23</v>
      </c>
      <c r="H21" t="n">
        <v>20552.36</v>
      </c>
      <c r="I21" t="n">
        <v>20861.85</v>
      </c>
      <c r="J21" t="n">
        <v>21505.9</v>
      </c>
      <c r="K21" t="n">
        <v>23181.29</v>
      </c>
    </row>
    <row r="22" customFormat="1" s="188">
      <c r="A22" s="193" t="inlineStr">
        <is>
          <t>Employee Cost</t>
        </is>
      </c>
      <c r="B22" t="n">
        <v>1547.88</v>
      </c>
      <c r="C22" t="n">
        <v>1830.86</v>
      </c>
      <c r="D22" t="n">
        <v>2309.43</v>
      </c>
      <c r="E22" t="n">
        <v>2524.59</v>
      </c>
      <c r="F22" t="n">
        <v>2361.53</v>
      </c>
      <c r="G22" t="n">
        <v>2545.79</v>
      </c>
      <c r="H22" t="n">
        <v>2750.94</v>
      </c>
      <c r="I22" t="n">
        <v>3049.04</v>
      </c>
      <c r="J22" t="n">
        <v>3866.11</v>
      </c>
      <c r="K22" t="n">
        <v>4177.77</v>
      </c>
    </row>
    <row r="23" customFormat="1" s="188">
      <c r="A23" s="193" t="inlineStr">
        <is>
          <t>Selling and admin</t>
        </is>
      </c>
      <c r="B23" t="n">
        <v>6286.91</v>
      </c>
      <c r="C23" t="n">
        <v>7271.39</v>
      </c>
      <c r="D23" t="n">
        <v>9907.76</v>
      </c>
      <c r="E23" t="n">
        <v>10067.79</v>
      </c>
      <c r="F23" t="n">
        <v>9846.879999999999</v>
      </c>
      <c r="G23" t="n">
        <v>11639.11</v>
      </c>
      <c r="H23" t="n">
        <v>13852.09</v>
      </c>
      <c r="I23" t="n">
        <v>15832.34</v>
      </c>
      <c r="J23" t="n">
        <v>17554.72</v>
      </c>
      <c r="K23" t="n">
        <v>19508.04</v>
      </c>
    </row>
    <row r="24" customFormat="1" s="188">
      <c r="A24" s="193" t="inlineStr">
        <is>
          <t>Other Expenses</t>
        </is>
      </c>
      <c r="B24" t="n">
        <v>1723.66</v>
      </c>
      <c r="C24" t="n">
        <v>1596.2</v>
      </c>
      <c r="D24" t="n">
        <v>2568.21</v>
      </c>
      <c r="E24" t="n">
        <v>1795.44</v>
      </c>
      <c r="F24" t="n">
        <v>3362.93</v>
      </c>
      <c r="G24" t="n">
        <v>2141.18</v>
      </c>
      <c r="H24" t="n">
        <v>2430.01</v>
      </c>
      <c r="I24" t="n">
        <v>3799.79</v>
      </c>
      <c r="J24" t="n">
        <v>4412.73</v>
      </c>
      <c r="K24" t="n">
        <v>5082.2</v>
      </c>
    </row>
    <row r="25" customFormat="1" s="188">
      <c r="A25" s="188" t="inlineStr">
        <is>
          <t>Other Income</t>
        </is>
      </c>
      <c r="B25" t="n">
        <v>648</v>
      </c>
      <c r="C25" t="n">
        <v>242</v>
      </c>
      <c r="D25" t="n">
        <v>350</v>
      </c>
      <c r="E25" t="n">
        <v>651</v>
      </c>
      <c r="F25" t="n">
        <v>619</v>
      </c>
      <c r="G25" t="n">
        <v>669</v>
      </c>
      <c r="H25" t="n">
        <v>507</v>
      </c>
      <c r="I25" t="n">
        <v>557</v>
      </c>
      <c r="J25" t="n">
        <v>647</v>
      </c>
      <c r="K25" t="n">
        <v>439</v>
      </c>
    </row>
    <row r="26" customFormat="1" s="188">
      <c r="A26" s="188" t="inlineStr">
        <is>
          <t>Depreciation</t>
        </is>
      </c>
      <c r="B26" t="n">
        <v>1348</v>
      </c>
      <c r="C26" t="n">
        <v>1848</v>
      </c>
      <c r="D26" t="n">
        <v>2451</v>
      </c>
      <c r="E26" t="n">
        <v>2723</v>
      </c>
      <c r="F26" t="n">
        <v>2700</v>
      </c>
      <c r="G26" t="n">
        <v>2715</v>
      </c>
      <c r="H26" t="n">
        <v>2888</v>
      </c>
      <c r="I26" t="n">
        <v>3145</v>
      </c>
      <c r="J26" t="n">
        <v>4015</v>
      </c>
      <c r="K26" t="n">
        <v>4644</v>
      </c>
    </row>
    <row r="27" customFormat="1" s="188">
      <c r="A27" s="188" t="inlineStr">
        <is>
          <t>Interest</t>
        </is>
      </c>
      <c r="B27" t="n">
        <v>640</v>
      </c>
      <c r="C27" t="n">
        <v>1238</v>
      </c>
      <c r="D27" t="n">
        <v>1778</v>
      </c>
      <c r="E27" t="n">
        <v>1992</v>
      </c>
      <c r="F27" t="n">
        <v>1486</v>
      </c>
      <c r="G27" t="n">
        <v>945</v>
      </c>
      <c r="H27" t="n">
        <v>823</v>
      </c>
      <c r="I27" t="n">
        <v>968</v>
      </c>
      <c r="J27" t="n">
        <v>1651</v>
      </c>
      <c r="K27" t="n">
        <v>1872</v>
      </c>
    </row>
    <row r="28" customFormat="1" s="188">
      <c r="A28" s="188" t="inlineStr">
        <is>
          <t>Profit before tax</t>
        </is>
      </c>
      <c r="B28" t="n">
        <v>3872</v>
      </c>
      <c r="C28" t="n">
        <v>3301</v>
      </c>
      <c r="D28" t="n">
        <v>3468</v>
      </c>
      <c r="E28" t="n">
        <v>5183</v>
      </c>
      <c r="F28" t="n">
        <v>8001</v>
      </c>
      <c r="G28" t="n">
        <v>8524</v>
      </c>
      <c r="H28" t="n">
        <v>7416</v>
      </c>
      <c r="I28" t="n">
        <v>9422</v>
      </c>
      <c r="J28" t="n">
        <v>7528</v>
      </c>
      <c r="K28" t="n">
        <v>10927</v>
      </c>
    </row>
    <row r="29" customFormat="1" s="188">
      <c r="A29" s="188" t="inlineStr">
        <is>
          <t>Tax</t>
        </is>
      </c>
      <c r="B29" t="n">
        <v>1158</v>
      </c>
      <c r="C29" t="n">
        <v>1077</v>
      </c>
      <c r="D29" t="n">
        <v>1068</v>
      </c>
      <c r="E29" t="n">
        <v>1295.75</v>
      </c>
      <c r="F29" t="n">
        <v>2539</v>
      </c>
      <c r="G29" t="n">
        <v>1190</v>
      </c>
      <c r="H29" t="n">
        <v>2343</v>
      </c>
      <c r="I29" t="n">
        <v>2418</v>
      </c>
      <c r="J29" t="n">
        <v>1488</v>
      </c>
      <c r="K29" t="n">
        <v>2739</v>
      </c>
    </row>
    <row r="30" customFormat="1" s="188">
      <c r="A30" s="188" t="inlineStr">
        <is>
          <t>Net profit</t>
        </is>
      </c>
      <c r="B30" t="n">
        <v>2714</v>
      </c>
      <c r="C30" t="n">
        <v>2224</v>
      </c>
      <c r="D30" t="n">
        <v>2400</v>
      </c>
      <c r="E30" t="n">
        <v>3887.25</v>
      </c>
      <c r="F30" t="n">
        <v>5462</v>
      </c>
      <c r="G30" t="n">
        <v>7334</v>
      </c>
      <c r="H30" t="n">
        <v>5073</v>
      </c>
      <c r="I30" t="n">
        <v>7004</v>
      </c>
      <c r="J30" t="n">
        <v>6040</v>
      </c>
      <c r="K30" t="n">
        <v>8188</v>
      </c>
    </row>
    <row r="31" customFormat="1" s="188">
      <c r="A31" s="188" t="inlineStr">
        <is>
          <t>Dividend Amount</t>
        </is>
      </c>
      <c r="B31" t="n">
        <v>271.4</v>
      </c>
      <c r="C31" t="n">
        <v>289.12</v>
      </c>
      <c r="D31" t="n">
        <v>312</v>
      </c>
      <c r="E31" t="n">
        <v>402.57</v>
      </c>
      <c r="F31" t="n">
        <v>1092.4</v>
      </c>
      <c r="G31" t="n">
        <v>1100.1</v>
      </c>
      <c r="H31" t="n">
        <v>1116.06</v>
      </c>
      <c r="I31" t="n">
        <v>2031.16</v>
      </c>
      <c r="J31" t="n">
        <v>2295.2</v>
      </c>
      <c r="K31" t="n">
        <v>7123.56</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20419</v>
      </c>
      <c r="C42" t="n">
        <v>18819</v>
      </c>
      <c r="D42" t="n">
        <v>16294</v>
      </c>
      <c r="E42" t="n">
        <v>17779</v>
      </c>
      <c r="F42" t="n">
        <v>23063</v>
      </c>
      <c r="G42" t="n">
        <v>21275</v>
      </c>
      <c r="H42" t="n">
        <v>19607</v>
      </c>
      <c r="I42" t="n">
        <v>21830</v>
      </c>
      <c r="J42" t="n">
        <v>25799</v>
      </c>
      <c r="K42" t="n">
        <v>24648</v>
      </c>
    </row>
    <row r="43" customFormat="1" s="188">
      <c r="A43" s="188" t="inlineStr">
        <is>
          <t>Expenses</t>
        </is>
      </c>
      <c r="B43" t="n">
        <v>16305</v>
      </c>
      <c r="C43" t="n">
        <v>15801</v>
      </c>
      <c r="D43" t="n">
        <v>14269</v>
      </c>
      <c r="E43" t="n">
        <v>14885</v>
      </c>
      <c r="F43" t="n">
        <v>18456</v>
      </c>
      <c r="G43" t="n">
        <v>16869</v>
      </c>
      <c r="H43" t="n">
        <v>16518</v>
      </c>
      <c r="I43" t="n">
        <v>17919</v>
      </c>
      <c r="J43" t="n">
        <v>20201</v>
      </c>
      <c r="K43" t="n">
        <v>19633</v>
      </c>
    </row>
    <row r="44" customFormat="1" s="188">
      <c r="A44" s="188" t="inlineStr">
        <is>
          <t>Other Income</t>
        </is>
      </c>
      <c r="B44" t="n">
        <v>73</v>
      </c>
      <c r="C44" t="n">
        <v>83</v>
      </c>
      <c r="D44" t="n">
        <v>226</v>
      </c>
      <c r="E44" t="n">
        <v>247</v>
      </c>
      <c r="F44" t="n">
        <v>93</v>
      </c>
      <c r="G44" t="n">
        <v>142</v>
      </c>
      <c r="H44" t="n">
        <v>174</v>
      </c>
      <c r="I44" t="n">
        <v>46</v>
      </c>
      <c r="J44" t="n">
        <v>77</v>
      </c>
      <c r="K44" t="n">
        <v>118</v>
      </c>
    </row>
    <row r="45" customFormat="1" s="188">
      <c r="A45" s="188" t="inlineStr">
        <is>
          <t>Depreciation</t>
        </is>
      </c>
      <c r="B45" t="n">
        <v>815</v>
      </c>
      <c r="C45" t="n">
        <v>918</v>
      </c>
      <c r="D45" t="n">
        <v>980</v>
      </c>
      <c r="E45" t="n">
        <v>993</v>
      </c>
      <c r="F45" t="n">
        <v>1125</v>
      </c>
      <c r="G45" t="n">
        <v>1107</v>
      </c>
      <c r="H45" t="n">
        <v>1148</v>
      </c>
      <c r="I45" t="n">
        <v>1182</v>
      </c>
      <c r="J45" t="n">
        <v>1208</v>
      </c>
      <c r="K45" t="n">
        <v>1201</v>
      </c>
    </row>
    <row r="46" customFormat="1" s="188">
      <c r="A46" s="188" t="inlineStr">
        <is>
          <t>Interest</t>
        </is>
      </c>
      <c r="B46" t="n">
        <v>261</v>
      </c>
      <c r="C46" t="n">
        <v>326</v>
      </c>
      <c r="D46" t="n">
        <v>393</v>
      </c>
      <c r="E46" t="n">
        <v>457</v>
      </c>
      <c r="F46" t="n">
        <v>475</v>
      </c>
      <c r="G46" t="n">
        <v>433</v>
      </c>
      <c r="H46" t="n">
        <v>459</v>
      </c>
      <c r="I46" t="n">
        <v>492</v>
      </c>
      <c r="J46" t="n">
        <v>487</v>
      </c>
      <c r="K46" t="n">
        <v>453</v>
      </c>
    </row>
    <row r="47" customFormat="1" s="188">
      <c r="A47" s="188" t="inlineStr">
        <is>
          <t>Profit before tax</t>
        </is>
      </c>
      <c r="B47" t="n">
        <v>3111</v>
      </c>
      <c r="C47" t="n">
        <v>1857</v>
      </c>
      <c r="D47" t="n">
        <v>879</v>
      </c>
      <c r="E47" t="n">
        <v>1691</v>
      </c>
      <c r="F47" t="n">
        <v>3101</v>
      </c>
      <c r="G47" t="n">
        <v>3008</v>
      </c>
      <c r="H47" t="n">
        <v>1656</v>
      </c>
      <c r="I47" t="n">
        <v>2283</v>
      </c>
      <c r="J47" t="n">
        <v>3981</v>
      </c>
      <c r="K47" t="n">
        <v>3480</v>
      </c>
    </row>
    <row r="48" customFormat="1" s="188">
      <c r="A48" s="188" t="inlineStr">
        <is>
          <t>Tax</t>
        </is>
      </c>
      <c r="B48" t="n">
        <v>852</v>
      </c>
      <c r="C48" t="n">
        <v>364</v>
      </c>
      <c r="D48" t="n">
        <v>171</v>
      </c>
      <c r="E48" t="n">
        <v>328</v>
      </c>
      <c r="F48" t="n">
        <v>626</v>
      </c>
      <c r="G48" t="n">
        <v>787</v>
      </c>
      <c r="H48" t="n">
        <v>418</v>
      </c>
      <c r="I48" t="n">
        <v>554</v>
      </c>
      <c r="J48" t="n">
        <v>981</v>
      </c>
      <c r="K48" t="n">
        <v>876</v>
      </c>
    </row>
    <row r="49" customFormat="1" s="188">
      <c r="A49" s="188" t="inlineStr">
        <is>
          <t>Net profit</t>
        </is>
      </c>
      <c r="B49" t="n">
        <v>2259</v>
      </c>
      <c r="C49" t="n">
        <v>1493</v>
      </c>
      <c r="D49" t="n">
        <v>708</v>
      </c>
      <c r="E49" t="n">
        <v>1363</v>
      </c>
      <c r="F49" t="n">
        <v>2475</v>
      </c>
      <c r="G49" t="n">
        <v>2221</v>
      </c>
      <c r="H49" t="n">
        <v>1238</v>
      </c>
      <c r="I49" t="n">
        <v>1729</v>
      </c>
      <c r="J49" t="n">
        <v>3000</v>
      </c>
      <c r="K49" t="n">
        <v>2604</v>
      </c>
    </row>
    <row r="50">
      <c r="A50" s="188" t="inlineStr">
        <is>
          <t>Operating Profit</t>
        </is>
      </c>
      <c r="B50" t="n">
        <v>4114</v>
      </c>
      <c r="C50" t="n">
        <v>3017</v>
      </c>
      <c r="D50" t="n">
        <v>2026</v>
      </c>
      <c r="E50" t="n">
        <v>2893</v>
      </c>
      <c r="F50" t="n">
        <v>4608</v>
      </c>
      <c r="G50" t="n">
        <v>4406</v>
      </c>
      <c r="H50" t="n">
        <v>3089</v>
      </c>
      <c r="I50" t="n">
        <v>3911</v>
      </c>
      <c r="J50" t="n">
        <v>5599</v>
      </c>
      <c r="K50" t="n">
        <v>5015</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275</v>
      </c>
      <c r="C57" t="n">
        <v>275</v>
      </c>
      <c r="D57" t="n">
        <v>275</v>
      </c>
      <c r="E57" t="n">
        <v>289</v>
      </c>
      <c r="F57" t="n">
        <v>289</v>
      </c>
      <c r="G57" t="n">
        <v>289</v>
      </c>
      <c r="H57" t="n">
        <v>289</v>
      </c>
      <c r="I57" t="n">
        <v>289</v>
      </c>
      <c r="J57" t="n">
        <v>295</v>
      </c>
      <c r="K57" t="n">
        <v>295</v>
      </c>
    </row>
    <row r="58">
      <c r="A58" s="188" t="inlineStr">
        <is>
          <t>Reserves</t>
        </is>
      </c>
      <c r="B58" t="n">
        <v>24117</v>
      </c>
      <c r="C58" t="n">
        <v>26107</v>
      </c>
      <c r="D58" t="n">
        <v>33476</v>
      </c>
      <c r="E58" t="n">
        <v>38755</v>
      </c>
      <c r="F58" t="n">
        <v>43886</v>
      </c>
      <c r="G58" t="n">
        <v>50147</v>
      </c>
      <c r="H58" t="n">
        <v>54036</v>
      </c>
      <c r="I58" t="n">
        <v>59939</v>
      </c>
      <c r="J58" t="n">
        <v>70412</v>
      </c>
      <c r="K58" t="n">
        <v>76329</v>
      </c>
    </row>
    <row r="59">
      <c r="A59" s="188" t="inlineStr">
        <is>
          <t>Borrowings</t>
        </is>
      </c>
      <c r="B59" t="n">
        <v>8474</v>
      </c>
      <c r="C59" t="n">
        <v>19480</v>
      </c>
      <c r="D59" t="n">
        <v>25337</v>
      </c>
      <c r="E59" t="n">
        <v>23019</v>
      </c>
      <c r="F59" t="n">
        <v>21719</v>
      </c>
      <c r="G59" t="n">
        <v>11299</v>
      </c>
      <c r="H59" t="n">
        <v>11058</v>
      </c>
      <c r="I59" t="n">
        <v>11403</v>
      </c>
      <c r="J59" t="n">
        <v>24102</v>
      </c>
      <c r="K59" t="n">
        <v>23755</v>
      </c>
    </row>
    <row r="60">
      <c r="A60" s="188" t="inlineStr">
        <is>
          <t>Other Liabilities</t>
        </is>
      </c>
      <c r="B60" t="n">
        <v>9343</v>
      </c>
      <c r="C60" t="n">
        <v>11280</v>
      </c>
      <c r="D60" t="n">
        <v>17438</v>
      </c>
      <c r="E60" t="n">
        <v>17151</v>
      </c>
      <c r="F60" t="n">
        <v>20282</v>
      </c>
      <c r="G60" t="n">
        <v>22077</v>
      </c>
      <c r="H60" t="n">
        <v>25998</v>
      </c>
      <c r="I60" t="n">
        <v>29167</v>
      </c>
      <c r="J60" t="n">
        <v>38823</v>
      </c>
      <c r="K60" t="n">
        <v>40936</v>
      </c>
    </row>
    <row r="61" customFormat="1" s="187">
      <c r="A61" s="187" t="inlineStr">
        <is>
          <t>Total</t>
        </is>
      </c>
      <c r="B61" t="n">
        <v>42209</v>
      </c>
      <c r="C61" t="n">
        <v>57141</v>
      </c>
      <c r="D61" t="n">
        <v>76525</v>
      </c>
      <c r="E61" t="n">
        <v>79214</v>
      </c>
      <c r="F61" t="n">
        <v>86176</v>
      </c>
      <c r="G61" t="n">
        <v>83811</v>
      </c>
      <c r="H61" t="n">
        <v>91380</v>
      </c>
      <c r="I61" t="n">
        <v>100797</v>
      </c>
      <c r="J61" t="n">
        <v>133632</v>
      </c>
      <c r="K61" t="n">
        <v>141315</v>
      </c>
    </row>
    <row r="62">
      <c r="A62" s="188" t="inlineStr">
        <is>
          <t>Net Block</t>
        </is>
      </c>
      <c r="B62" t="n">
        <v>25904</v>
      </c>
      <c r="C62" t="n">
        <v>39715</v>
      </c>
      <c r="D62" t="n">
        <v>56645</v>
      </c>
      <c r="E62" t="n">
        <v>57151</v>
      </c>
      <c r="F62" t="n">
        <v>55412</v>
      </c>
      <c r="G62" t="n">
        <v>55488</v>
      </c>
      <c r="H62" t="n">
        <v>59579</v>
      </c>
      <c r="I62" t="n">
        <v>62878</v>
      </c>
      <c r="J62" t="n">
        <v>94564</v>
      </c>
      <c r="K62" t="n">
        <v>98794</v>
      </c>
    </row>
    <row r="63">
      <c r="A63" s="188" t="inlineStr">
        <is>
          <t>Capital Work in Progress</t>
        </is>
      </c>
      <c r="B63" t="n">
        <v>921</v>
      </c>
      <c r="C63" t="n">
        <v>1511</v>
      </c>
      <c r="D63" t="n">
        <v>1153</v>
      </c>
      <c r="E63" t="n">
        <v>920</v>
      </c>
      <c r="F63" t="n">
        <v>1687</v>
      </c>
      <c r="G63" t="n">
        <v>4785</v>
      </c>
      <c r="H63" t="n">
        <v>4040</v>
      </c>
      <c r="I63" t="n">
        <v>6811</v>
      </c>
      <c r="J63" t="n">
        <v>6234</v>
      </c>
      <c r="K63" t="n">
        <v>8742</v>
      </c>
    </row>
    <row r="64">
      <c r="A64" s="188" t="inlineStr">
        <is>
          <t>Investments</t>
        </is>
      </c>
      <c r="B64" t="n">
        <v>6691</v>
      </c>
      <c r="C64" t="n">
        <v>5447</v>
      </c>
      <c r="D64" t="n">
        <v>2921</v>
      </c>
      <c r="E64" t="n">
        <v>5929</v>
      </c>
      <c r="F64" t="n">
        <v>12178</v>
      </c>
      <c r="G64" t="n">
        <v>6336</v>
      </c>
      <c r="H64" t="n">
        <v>7297</v>
      </c>
      <c r="I64" t="n">
        <v>8249</v>
      </c>
      <c r="J64" t="n">
        <v>5156</v>
      </c>
      <c r="K64" t="n">
        <v>6740</v>
      </c>
    </row>
    <row r="65">
      <c r="A65" s="188" t="inlineStr">
        <is>
          <t>Other Assets</t>
        </is>
      </c>
      <c r="B65" t="n">
        <v>8693</v>
      </c>
      <c r="C65" t="n">
        <v>10468</v>
      </c>
      <c r="D65" t="n">
        <v>15806</v>
      </c>
      <c r="E65" t="n">
        <v>15215</v>
      </c>
      <c r="F65" t="n">
        <v>16900</v>
      </c>
      <c r="G65" t="n">
        <v>17203</v>
      </c>
      <c r="H65" t="n">
        <v>20464</v>
      </c>
      <c r="I65" t="n">
        <v>22859</v>
      </c>
      <c r="J65" t="n">
        <v>27677</v>
      </c>
      <c r="K65" t="n">
        <v>27040</v>
      </c>
    </row>
    <row r="66" customFormat="1" s="187">
      <c r="A66" s="187" t="inlineStr">
        <is>
          <t>Total</t>
        </is>
      </c>
      <c r="B66" t="n">
        <v>42209</v>
      </c>
      <c r="C66" t="n">
        <v>57141</v>
      </c>
      <c r="D66" t="n">
        <v>76525</v>
      </c>
      <c r="E66" t="n">
        <v>79214</v>
      </c>
      <c r="F66" t="n">
        <v>86176</v>
      </c>
      <c r="G66" t="n">
        <v>83811</v>
      </c>
      <c r="H66" t="n">
        <v>91380</v>
      </c>
      <c r="I66" t="n">
        <v>100797</v>
      </c>
      <c r="J66" t="n">
        <v>133632</v>
      </c>
      <c r="K66" t="n">
        <v>141315</v>
      </c>
    </row>
    <row r="67" customFormat="1" s="188">
      <c r="A67" s="188" t="inlineStr">
        <is>
          <t>Receivables</t>
        </is>
      </c>
      <c r="B67" t="n">
        <v>1757</v>
      </c>
      <c r="C67" t="n">
        <v>2221</v>
      </c>
      <c r="D67" t="n">
        <v>2787</v>
      </c>
      <c r="E67" t="n">
        <v>2383</v>
      </c>
      <c r="F67" t="n">
        <v>2572</v>
      </c>
      <c r="G67" t="n">
        <v>3072</v>
      </c>
      <c r="H67" t="n">
        <v>3867</v>
      </c>
      <c r="I67" t="n">
        <v>4278</v>
      </c>
      <c r="J67" t="n">
        <v>5890</v>
      </c>
      <c r="K67" t="n">
        <v>6029</v>
      </c>
    </row>
    <row r="68">
      <c r="A68" s="188" t="inlineStr">
        <is>
          <t>Inventory</t>
        </is>
      </c>
      <c r="B68" t="n">
        <v>2401</v>
      </c>
      <c r="C68" t="n">
        <v>3268</v>
      </c>
      <c r="D68" t="n">
        <v>4099</v>
      </c>
      <c r="E68" t="n">
        <v>4183</v>
      </c>
      <c r="F68" t="n">
        <v>4018</v>
      </c>
      <c r="G68" t="n">
        <v>5596</v>
      </c>
      <c r="H68" t="n">
        <v>6612</v>
      </c>
      <c r="I68" t="n">
        <v>8330</v>
      </c>
      <c r="J68" t="n">
        <v>9563</v>
      </c>
      <c r="K68" t="n">
        <v>9694</v>
      </c>
    </row>
    <row r="69">
      <c r="A69" s="193" t="inlineStr">
        <is>
          <t>Cash &amp; Bank</t>
        </is>
      </c>
      <c r="B69" t="n">
        <v>2249</v>
      </c>
      <c r="C69" t="n">
        <v>219</v>
      </c>
      <c r="D69" t="n">
        <v>740</v>
      </c>
      <c r="E69" t="n">
        <v>540</v>
      </c>
      <c r="F69" t="n">
        <v>2008</v>
      </c>
      <c r="G69" t="n">
        <v>359</v>
      </c>
      <c r="H69" t="n">
        <v>1150</v>
      </c>
      <c r="I69" t="n">
        <v>783</v>
      </c>
      <c r="J69" t="n">
        <v>1673</v>
      </c>
      <c r="K69" t="n">
        <v>1384</v>
      </c>
    </row>
    <row r="70">
      <c r="A70" s="193" t="inlineStr">
        <is>
          <t>No. of Equity Shares</t>
        </is>
      </c>
      <c r="B70" t="n">
        <v>275000000</v>
      </c>
      <c r="C70" t="n">
        <v>275000000</v>
      </c>
      <c r="D70" t="n">
        <v>275000000</v>
      </c>
      <c r="E70" t="n">
        <v>289000000</v>
      </c>
      <c r="F70" t="n">
        <v>289000000</v>
      </c>
      <c r="G70" t="n">
        <v>289000000</v>
      </c>
      <c r="H70" t="n">
        <v>289000000</v>
      </c>
      <c r="I70" t="n">
        <v>289000000</v>
      </c>
      <c r="J70" t="n">
        <v>295000000</v>
      </c>
      <c r="K70" t="n">
        <v>295000000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5005</v>
      </c>
      <c r="C82" t="n">
        <v>3888</v>
      </c>
      <c r="D82" t="n">
        <v>5956</v>
      </c>
      <c r="E82" t="n">
        <v>8972</v>
      </c>
      <c r="F82" t="n">
        <v>12500</v>
      </c>
      <c r="G82" t="n">
        <v>9283</v>
      </c>
      <c r="H82" t="n">
        <v>9069</v>
      </c>
      <c r="I82" t="n">
        <v>10898</v>
      </c>
      <c r="J82" t="n">
        <v>10673</v>
      </c>
      <c r="K82" t="n">
        <v>15316</v>
      </c>
    </row>
    <row r="83" customFormat="1" s="188">
      <c r="A83" s="188" t="inlineStr">
        <is>
          <t>Cash from Investing Activity</t>
        </is>
      </c>
      <c r="B83" t="n">
        <v>-2501</v>
      </c>
      <c r="C83" t="n">
        <v>1866</v>
      </c>
      <c r="D83" t="n">
        <v>1165</v>
      </c>
      <c r="E83" t="n">
        <v>-4192</v>
      </c>
      <c r="F83" t="n">
        <v>-8856</v>
      </c>
      <c r="G83" t="n">
        <v>2257</v>
      </c>
      <c r="H83" t="n">
        <v>-7188</v>
      </c>
      <c r="I83" t="n">
        <v>-8789</v>
      </c>
      <c r="J83" t="n">
        <v>-15836</v>
      </c>
      <c r="K83" t="n">
        <v>-9475</v>
      </c>
    </row>
    <row r="84" customFormat="1" s="188">
      <c r="A84" s="188" t="inlineStr">
        <is>
          <t>Cash from Financing Activity</t>
        </is>
      </c>
      <c r="B84" t="n">
        <v>-2535</v>
      </c>
      <c r="C84" t="n">
        <v>-5735</v>
      </c>
      <c r="D84" t="n">
        <v>-6757</v>
      </c>
      <c r="E84" t="n">
        <v>-5076</v>
      </c>
      <c r="F84" t="n">
        <v>-4356</v>
      </c>
      <c r="G84" t="n">
        <v>-12498</v>
      </c>
      <c r="H84" t="n">
        <v>-1631</v>
      </c>
      <c r="I84" t="n">
        <v>-1926</v>
      </c>
      <c r="J84" t="n">
        <v>5076</v>
      </c>
      <c r="K84" t="n">
        <v>-5954</v>
      </c>
    </row>
    <row r="85" customFormat="1" s="187">
      <c r="A85" s="188" t="inlineStr">
        <is>
          <t>Net Cash Flow</t>
        </is>
      </c>
      <c r="B85" t="n">
        <v>-31</v>
      </c>
      <c r="C85" t="n">
        <v>18</v>
      </c>
      <c r="D85" t="n">
        <v>364</v>
      </c>
      <c r="E85" t="n">
        <v>-295</v>
      </c>
      <c r="F85" t="n">
        <v>-712</v>
      </c>
      <c r="G85" t="n">
        <v>-958</v>
      </c>
      <c r="H85" t="n">
        <v>250</v>
      </c>
      <c r="I85" t="n">
        <v>183</v>
      </c>
      <c r="J85" t="n">
        <v>-86</v>
      </c>
      <c r="K85" t="n">
        <v>-113</v>
      </c>
    </row>
    <row r="86">
      <c r="A86" s="188" t="n"/>
    </row>
    <row r="87">
      <c r="A87" s="188" t="n"/>
    </row>
    <row r="88">
      <c r="A88" s="188" t="n"/>
    </row>
    <row r="89">
      <c r="A89" s="188" t="n"/>
    </row>
    <row r="90" customFormat="1" s="187">
      <c r="A90" s="187" t="inlineStr">
        <is>
          <t>PRICE:</t>
        </is>
      </c>
      <c r="B90" t="n">
        <v>3801.75</v>
      </c>
      <c r="C90" t="n">
        <v>4153.3</v>
      </c>
      <c r="D90" t="n">
        <v>3878.35</v>
      </c>
      <c r="E90" t="n">
        <v>4219.6</v>
      </c>
      <c r="F90" t="n">
        <v>6115</v>
      </c>
      <c r="G90" t="n">
        <v>6050.3</v>
      </c>
      <c r="H90" t="n">
        <v>7215.95</v>
      </c>
      <c r="I90" t="n">
        <v>10106.35</v>
      </c>
      <c r="J90" t="n">
        <v>10128.45</v>
      </c>
      <c r="K90" t="n">
        <v>10530</v>
      </c>
    </row>
    <row r="92" customFormat="1" s="187">
      <c r="A92" s="187" t="inlineStr">
        <is>
          <t>DERIVED:</t>
        </is>
      </c>
    </row>
    <row r="93">
      <c r="A93" s="193" t="inlineStr">
        <is>
          <t>Adjusted Equity Shares in Cr</t>
        </is>
      </c>
      <c r="B93" s="198" t="n">
        <v>29.5</v>
      </c>
      <c r="C93" s="198" t="n">
        <v>29.5</v>
      </c>
      <c r="D93" s="198" t="n">
        <v>29.5</v>
      </c>
      <c r="E93" s="198" t="n">
        <v>29.5</v>
      </c>
      <c r="F93" s="198" t="n">
        <v>29.5</v>
      </c>
      <c r="G93" s="198" t="n">
        <v>29.5</v>
      </c>
      <c r="H93" s="198" t="n">
        <v>29.5</v>
      </c>
      <c r="I93" s="198" t="n">
        <v>29.5</v>
      </c>
      <c r="J93" s="198" t="n">
        <v>29.5</v>
      </c>
      <c r="K93" s="198" t="n">
        <v>29.5</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ULTRATECH CEMENT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4190</v>
      </c>
      <c r="D6" s="73" t="n">
        <v>4526</v>
      </c>
      <c r="E6" s="73" t="n">
        <v>5005</v>
      </c>
      <c r="F6" s="73" t="n">
        <v>3888</v>
      </c>
      <c r="G6" s="73" t="n">
        <v>5956</v>
      </c>
      <c r="H6" s="73" t="n">
        <v>8972</v>
      </c>
      <c r="I6" s="73" t="n">
        <v>12500</v>
      </c>
      <c r="J6" s="73" t="n">
        <v>9283</v>
      </c>
      <c r="K6" s="73" t="n">
        <v>9069</v>
      </c>
      <c r="L6" s="73" t="n">
        <v>10898</v>
      </c>
      <c r="M6" s="73" t="n">
        <v>10673</v>
      </c>
      <c r="N6" s="73" t="n">
        <v>15316</v>
      </c>
    </row>
    <row r="7">
      <c r="B7" t="inlineStr">
        <is>
          <t>Profit from operations</t>
        </is>
      </c>
      <c r="C7" s="73" t="n">
        <v>4464</v>
      </c>
      <c r="D7" s="73" t="n">
        <v>4948</v>
      </c>
      <c r="E7" s="73" t="n">
        <v>5220</v>
      </c>
      <c r="F7" s="73" t="n">
        <v>5986</v>
      </c>
      <c r="G7" s="73" t="n">
        <v>7362</v>
      </c>
      <c r="H7" s="73" t="n">
        <v>9348</v>
      </c>
      <c r="I7" s="73" t="n">
        <v>11465</v>
      </c>
      <c r="J7" s="73" t="n">
        <v>11311</v>
      </c>
      <c r="K7" s="73" t="n">
        <v>10530</v>
      </c>
      <c r="L7" s="73" t="n">
        <v>13029</v>
      </c>
      <c r="M7" s="73" t="n">
        <v>12645</v>
      </c>
      <c r="N7" s="73" t="n">
        <v>16850</v>
      </c>
    </row>
    <row r="8">
      <c r="B8" t="inlineStr">
        <is>
          <t>Receivables</t>
        </is>
      </c>
      <c r="C8" t="n">
        <v>-27</v>
      </c>
      <c r="D8" t="n">
        <v>-287</v>
      </c>
      <c r="E8" t="n">
        <v>156</v>
      </c>
      <c r="F8" t="n">
        <v>-454</v>
      </c>
      <c r="G8" t="n">
        <v>-279</v>
      </c>
      <c r="H8" s="73" t="n">
        <v>473</v>
      </c>
      <c r="I8" t="n">
        <v>-201</v>
      </c>
      <c r="J8" t="n">
        <v>-495</v>
      </c>
      <c r="K8" t="n">
        <v>-752</v>
      </c>
      <c r="L8" t="n">
        <v>-421</v>
      </c>
      <c r="M8" s="73" t="n">
        <v>-608</v>
      </c>
      <c r="N8" t="n">
        <v>-28</v>
      </c>
    </row>
    <row r="9">
      <c r="B9" t="inlineStr">
        <is>
          <t>Inventory</t>
        </is>
      </c>
      <c r="C9" t="n">
        <v>-326</v>
      </c>
      <c r="D9" t="n">
        <v>374</v>
      </c>
      <c r="E9" t="n">
        <v>54</v>
      </c>
      <c r="F9" t="n">
        <v>-623</v>
      </c>
      <c r="G9" t="n">
        <v>-15</v>
      </c>
      <c r="H9" t="n">
        <v>-64</v>
      </c>
      <c r="I9" s="73" t="n">
        <v>165</v>
      </c>
      <c r="J9" t="n">
        <v>-1579</v>
      </c>
      <c r="K9" s="73" t="n">
        <v>-992</v>
      </c>
      <c r="L9" s="73" t="n">
        <v>-1712</v>
      </c>
      <c r="M9" s="73" t="n">
        <v>-317</v>
      </c>
      <c r="N9" s="73" t="n">
        <v>-68</v>
      </c>
    </row>
    <row r="10">
      <c r="B10" t="inlineStr">
        <is>
          <t>Payables</t>
        </is>
      </c>
      <c r="C10" t="n">
        <v>383</v>
      </c>
      <c r="D10" t="n">
        <v>310</v>
      </c>
      <c r="E10" t="n">
        <v>482</v>
      </c>
      <c r="F10" s="73" t="n">
        <v>346</v>
      </c>
      <c r="G10" t="n">
        <v>766</v>
      </c>
      <c r="H10" t="n">
        <v>279</v>
      </c>
      <c r="I10" s="73" t="n">
        <v>2868</v>
      </c>
      <c r="J10" s="73" t="n">
        <v>2077</v>
      </c>
      <c r="K10" s="73" t="n">
        <v>1869</v>
      </c>
      <c r="L10" t="n">
        <v>1959</v>
      </c>
      <c r="M10" s="73" t="n">
        <v>-476</v>
      </c>
      <c r="N10" t="n">
        <v>590</v>
      </c>
    </row>
    <row r="11">
      <c r="B11" t="inlineStr">
        <is>
          <t>Working capital changes</t>
        </is>
      </c>
      <c r="C11" t="n">
        <v>-104</v>
      </c>
      <c r="D11" t="n">
        <v>429</v>
      </c>
      <c r="E11" t="n">
        <v>529</v>
      </c>
      <c r="F11" s="73" t="n">
        <v>-1255</v>
      </c>
      <c r="G11" t="n">
        <v>-696</v>
      </c>
      <c r="H11" t="n">
        <v>516</v>
      </c>
      <c r="I11" t="n">
        <v>2326</v>
      </c>
      <c r="J11" t="n">
        <v>-473</v>
      </c>
      <c r="K11" t="n">
        <v>-337</v>
      </c>
      <c r="L11" s="73" t="n">
        <v>-481</v>
      </c>
      <c r="M11" s="73" t="n">
        <v>-671</v>
      </c>
      <c r="N11" s="73" t="n">
        <v>-233</v>
      </c>
    </row>
    <row r="12">
      <c r="B12" t="inlineStr">
        <is>
          <t>Direct taxes</t>
        </is>
      </c>
      <c r="C12" s="73" t="n">
        <v>-169</v>
      </c>
      <c r="D12" s="73" t="n">
        <v>-852</v>
      </c>
      <c r="E12" s="73" t="n">
        <v>-744</v>
      </c>
      <c r="F12" s="73" t="n">
        <v>-843</v>
      </c>
      <c r="G12" s="73" t="n">
        <v>-710</v>
      </c>
      <c r="H12" s="73" t="n">
        <v>-891</v>
      </c>
      <c r="I12" s="73" t="n">
        <v>-1291</v>
      </c>
      <c r="J12" s="73" t="n">
        <v>-1555</v>
      </c>
      <c r="K12" s="73" t="n">
        <v>-1124</v>
      </c>
      <c r="L12" s="73" t="n">
        <v>-1651</v>
      </c>
      <c r="M12" s="73" t="n">
        <v>-1301</v>
      </c>
      <c r="N12" s="73" t="n">
        <v>-1301</v>
      </c>
    </row>
    <row r="13">
      <c r="B13" t="inlineStr">
        <is>
          <t>Cash from Investing Activity -</t>
        </is>
      </c>
      <c r="C13" s="73" t="n">
        <v>-2144</v>
      </c>
      <c r="D13" s="73" t="n">
        <v>-3673</v>
      </c>
      <c r="E13" s="73" t="n">
        <v>-2501</v>
      </c>
      <c r="F13" s="73" t="n">
        <v>1866</v>
      </c>
      <c r="G13" s="73" t="n">
        <v>1165</v>
      </c>
      <c r="H13" s="73" t="n">
        <v>-4192</v>
      </c>
      <c r="I13" s="73" t="n">
        <v>-8856</v>
      </c>
      <c r="J13" s="73" t="n">
        <v>2257</v>
      </c>
      <c r="K13" s="73" t="n">
        <v>-7188</v>
      </c>
      <c r="L13" s="73" t="n">
        <v>-8789</v>
      </c>
      <c r="M13" t="n">
        <v>-15836</v>
      </c>
      <c r="N13" s="73" t="n">
        <v>-9475</v>
      </c>
    </row>
    <row r="14">
      <c r="B14" t="inlineStr">
        <is>
          <t>Fixed assets purchased</t>
        </is>
      </c>
      <c r="C14" s="73" t="n">
        <v>-2722</v>
      </c>
      <c r="D14" s="73" t="n">
        <v>-2150</v>
      </c>
      <c r="E14" s="73" t="n">
        <v>-1402</v>
      </c>
      <c r="F14" s="73" t="n">
        <v>-2103</v>
      </c>
      <c r="G14" s="73" t="n">
        <v>-1808</v>
      </c>
      <c r="H14" s="73" t="n">
        <v>-1766</v>
      </c>
      <c r="I14" s="73" t="n">
        <v>-1925</v>
      </c>
      <c r="J14" s="73" t="n">
        <v>-5680</v>
      </c>
      <c r="K14" s="73" t="n">
        <v>-6200</v>
      </c>
      <c r="L14" s="73" t="n">
        <v>-9006</v>
      </c>
      <c r="M14" s="73" t="n">
        <v>-9129</v>
      </c>
      <c r="N14" s="73" t="n">
        <v>-9678</v>
      </c>
    </row>
    <row r="15">
      <c r="B15" t="inlineStr">
        <is>
          <t>Fixed assets sold</t>
        </is>
      </c>
      <c r="C15" t="n">
        <v>12</v>
      </c>
      <c r="D15" t="n">
        <v>18</v>
      </c>
      <c r="E15" t="n">
        <v>35</v>
      </c>
      <c r="F15" t="n">
        <v>220</v>
      </c>
      <c r="G15" t="n">
        <v>160</v>
      </c>
      <c r="H15" t="n">
        <v>79</v>
      </c>
      <c r="I15" t="n">
        <v>86</v>
      </c>
      <c r="J15" t="n">
        <v>73</v>
      </c>
      <c r="K15" t="n">
        <v>95</v>
      </c>
      <c r="L15" t="n">
        <v>122</v>
      </c>
      <c r="M15" t="n">
        <v>179</v>
      </c>
      <c r="N15" t="n">
        <v>167</v>
      </c>
    </row>
    <row r="16">
      <c r="B16" t="inlineStr">
        <is>
          <t>Investments purchased</t>
        </is>
      </c>
      <c r="C16" s="73" t="n">
        <v>-602</v>
      </c>
      <c r="D16" s="73" t="n">
        <v>-2698</v>
      </c>
      <c r="E16" s="73" t="n">
        <v>-3377</v>
      </c>
      <c r="F16" s="73" t="n">
        <v>-3960</v>
      </c>
      <c r="G16" s="73" t="n">
        <v>-1700</v>
      </c>
      <c r="H16" s="73" t="n">
        <v>-6086</v>
      </c>
      <c r="I16" s="73" t="n">
        <v>-12689</v>
      </c>
      <c r="J16" s="73" t="n">
        <v>-7795</v>
      </c>
      <c r="K16" s="73" t="n">
        <v>-7260</v>
      </c>
      <c r="L16" s="73" t="n">
        <v>-7750</v>
      </c>
      <c r="M16" s="73" t="n">
        <v>-15885</v>
      </c>
      <c r="N16" s="73" t="n">
        <v>-5098</v>
      </c>
    </row>
    <row r="17">
      <c r="B17" t="inlineStr">
        <is>
          <t>Investments sold</t>
        </is>
      </c>
      <c r="C17" s="73" t="n">
        <v>1263</v>
      </c>
      <c r="D17" s="73" t="n">
        <v>2948</v>
      </c>
      <c r="E17" s="73" t="n">
        <v>2228</v>
      </c>
      <c r="F17" s="73" t="n">
        <v>5588</v>
      </c>
      <c r="G17" s="73" t="n">
        <v>4478</v>
      </c>
      <c r="H17" s="73" t="n">
        <v>3443</v>
      </c>
      <c r="I17" s="73" t="n">
        <v>7101</v>
      </c>
      <c r="J17" s="73" t="n">
        <v>13965</v>
      </c>
      <c r="K17" s="73" t="n">
        <v>7156</v>
      </c>
      <c r="L17" s="73" t="n">
        <v>7164</v>
      </c>
      <c r="M17" s="73" t="n">
        <v>19115</v>
      </c>
      <c r="N17" s="73" t="n">
        <v>3822</v>
      </c>
    </row>
    <row r="18">
      <c r="B18" t="inlineStr">
        <is>
          <t>Interest received</t>
        </is>
      </c>
      <c r="C18" t="n">
        <v>35</v>
      </c>
      <c r="D18" t="n">
        <v>59</v>
      </c>
      <c r="E18" t="n">
        <v>47</v>
      </c>
      <c r="F18" t="n">
        <v>67</v>
      </c>
      <c r="G18" s="73" t="n">
        <v>78</v>
      </c>
      <c r="H18" s="73" t="n">
        <v>89</v>
      </c>
      <c r="I18" s="73" t="n">
        <v>77</v>
      </c>
      <c r="J18" s="73" t="n">
        <v>174</v>
      </c>
      <c r="K18" s="73" t="n">
        <v>283</v>
      </c>
      <c r="L18" s="73" t="n">
        <v>161</v>
      </c>
      <c r="M18" s="73" t="n">
        <v>342</v>
      </c>
      <c r="N18" t="n">
        <v>207</v>
      </c>
    </row>
    <row r="19">
      <c r="B19" t="inlineStr">
        <is>
          <t>Dividends received</t>
        </is>
      </c>
      <c r="C19" t="n">
        <v>0</v>
      </c>
      <c r="D19" t="n">
        <v>0</v>
      </c>
      <c r="E19" t="n">
        <v>0</v>
      </c>
      <c r="F19" t="n">
        <v>0</v>
      </c>
      <c r="G19" t="n">
        <v>22</v>
      </c>
      <c r="H19" t="n">
        <v>32</v>
      </c>
      <c r="I19" t="n">
        <v>0</v>
      </c>
      <c r="J19" t="n">
        <v>0</v>
      </c>
      <c r="K19" t="n">
        <v>0</v>
      </c>
      <c r="L19" t="n">
        <v>0</v>
      </c>
      <c r="M19" t="n">
        <v>1</v>
      </c>
      <c r="N19" t="n">
        <v>0</v>
      </c>
    </row>
    <row r="20">
      <c r="B20" t="inlineStr">
        <is>
          <t>Invest in subsidiaries</t>
        </is>
      </c>
      <c r="C20" t="n">
        <v>-21</v>
      </c>
      <c r="D20" t="n">
        <v>-13</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-1</v>
      </c>
      <c r="G21" t="n">
        <v>-8</v>
      </c>
      <c r="H21" t="n">
        <v>-6</v>
      </c>
      <c r="I21" t="n">
        <v>-3</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3</v>
      </c>
      <c r="L22" t="n">
        <v>0</v>
      </c>
      <c r="M22" t="n">
        <v>36</v>
      </c>
      <c r="N22" t="n">
        <v>789</v>
      </c>
    </row>
    <row r="23">
      <c r="B23" t="inlineStr">
        <is>
          <t>Other investing items</t>
        </is>
      </c>
      <c r="C23" s="73" t="n">
        <v>-110</v>
      </c>
      <c r="D23" s="73" t="n">
        <v>-1839</v>
      </c>
      <c r="E23" s="73" t="n">
        <v>-32</v>
      </c>
      <c r="F23" s="73" t="n">
        <v>2055</v>
      </c>
      <c r="G23" s="73" t="n">
        <v>-58</v>
      </c>
      <c r="H23" s="73" t="n">
        <v>22</v>
      </c>
      <c r="I23" s="73" t="n">
        <v>-1503</v>
      </c>
      <c r="J23" s="73" t="n">
        <v>1518</v>
      </c>
      <c r="K23" t="n">
        <v>-417</v>
      </c>
      <c r="L23" s="73" t="n">
        <v>581</v>
      </c>
      <c r="M23" t="n">
        <v>-232</v>
      </c>
      <c r="N23" s="73" t="n">
        <v>443</v>
      </c>
    </row>
    <row r="24">
      <c r="B24" t="inlineStr">
        <is>
          <t>Cash from Financing Activity -</t>
        </is>
      </c>
      <c r="C24" s="73" t="n">
        <v>-2110</v>
      </c>
      <c r="D24" s="73" t="n">
        <v>-844</v>
      </c>
      <c r="E24" s="73" t="n">
        <v>-2535</v>
      </c>
      <c r="F24" s="73" t="n">
        <v>-5735</v>
      </c>
      <c r="G24" s="73" t="n">
        <v>-6757</v>
      </c>
      <c r="H24" s="73" t="n">
        <v>-5076</v>
      </c>
      <c r="I24" s="73" t="n">
        <v>-4356</v>
      </c>
      <c r="J24" s="73" t="n">
        <v>-12498</v>
      </c>
      <c r="K24" s="73" t="n">
        <v>-1631</v>
      </c>
      <c r="L24" s="73" t="n">
        <v>-1926</v>
      </c>
      <c r="M24" s="73" t="n">
        <v>5076</v>
      </c>
      <c r="N24" s="73" t="n">
        <v>-5954</v>
      </c>
    </row>
    <row r="25">
      <c r="B25" t="inlineStr">
        <is>
          <t>Proceeds from shares</t>
        </is>
      </c>
      <c r="C25" t="n">
        <v>3</v>
      </c>
      <c r="D25" t="n">
        <v>3</v>
      </c>
      <c r="E25" s="73" t="n">
        <v>7</v>
      </c>
      <c r="F25" t="n">
        <v>16</v>
      </c>
      <c r="G25" t="n">
        <v>5</v>
      </c>
      <c r="H25" t="n">
        <v>3</v>
      </c>
      <c r="I25" t="n">
        <v>14</v>
      </c>
      <c r="J25" t="n">
        <v>13</v>
      </c>
      <c r="K25" s="73" t="n">
        <v>13</v>
      </c>
      <c r="L25" s="73" t="n">
        <v>18</v>
      </c>
      <c r="M25" t="n">
        <v>33</v>
      </c>
      <c r="N25" t="n">
        <v>50</v>
      </c>
    </row>
    <row r="26">
      <c r="B26" t="inlineStr">
        <is>
          <t>Proceeds from borrowings</t>
        </is>
      </c>
      <c r="C26" t="n">
        <v>2728</v>
      </c>
      <c r="D26" t="n">
        <v>2821</v>
      </c>
      <c r="E26" t="n">
        <v>3656</v>
      </c>
      <c r="F26" t="n">
        <v>15775</v>
      </c>
      <c r="G26" t="n">
        <v>9772</v>
      </c>
      <c r="H26" t="n">
        <v>1510</v>
      </c>
      <c r="I26" t="n">
        <v>4103</v>
      </c>
      <c r="J26" t="n">
        <v>175</v>
      </c>
      <c r="K26" t="n">
        <v>1032</v>
      </c>
      <c r="L26" t="n">
        <v>1399</v>
      </c>
      <c r="M26" t="n">
        <v>9410</v>
      </c>
      <c r="N26" s="73" t="n">
        <v>203</v>
      </c>
    </row>
    <row r="27">
      <c r="B27" t="inlineStr">
        <is>
          <t>Repayment of borrowings</t>
        </is>
      </c>
      <c r="C27" t="n">
        <v>-311</v>
      </c>
      <c r="D27" t="n">
        <v>-2775</v>
      </c>
      <c r="E27" t="n">
        <v>-5272</v>
      </c>
      <c r="F27" t="n">
        <v>-19982</v>
      </c>
      <c r="G27" t="n">
        <v>-14420</v>
      </c>
      <c r="H27" t="n">
        <v>-4154</v>
      </c>
      <c r="I27" t="n">
        <v>-6499</v>
      </c>
      <c r="J27" t="n">
        <v>-10346</v>
      </c>
      <c r="K27" t="n">
        <v>-579</v>
      </c>
      <c r="L27" t="n">
        <v>-1069</v>
      </c>
      <c r="M27" t="n">
        <v>-550</v>
      </c>
      <c r="N27" t="n">
        <v>-1669</v>
      </c>
    </row>
    <row r="28">
      <c r="B28" t="inlineStr">
        <is>
          <t>Interest paid fin</t>
        </is>
      </c>
      <c r="C28" t="n">
        <v>-589</v>
      </c>
      <c r="D28" t="n">
        <v>-596</v>
      </c>
      <c r="E28" t="n">
        <v>-614</v>
      </c>
      <c r="F28" t="n">
        <v>-1210</v>
      </c>
      <c r="G28" t="n">
        <v>-1685</v>
      </c>
      <c r="H28" t="n">
        <v>-1950</v>
      </c>
      <c r="I28" t="n">
        <v>-1481</v>
      </c>
      <c r="J28" t="n">
        <v>-1026</v>
      </c>
      <c r="K28" t="n">
        <v>-765</v>
      </c>
      <c r="L28" t="n">
        <v>-917</v>
      </c>
      <c r="M28" t="n">
        <v>-1540</v>
      </c>
      <c r="N28" t="n">
        <v>-1928</v>
      </c>
    </row>
    <row r="29">
      <c r="B29" t="inlineStr">
        <is>
          <t>Dividends paid</t>
        </is>
      </c>
      <c r="C29" s="73" t="n">
        <v>-253</v>
      </c>
      <c r="D29" s="73" t="n">
        <v>-297</v>
      </c>
      <c r="E29" s="73" t="n">
        <v>-312</v>
      </c>
      <c r="F29" s="73" t="n">
        <v>-334</v>
      </c>
      <c r="G29" s="73" t="n">
        <v>-346</v>
      </c>
      <c r="H29" s="73" t="n">
        <v>-380</v>
      </c>
      <c r="I29" s="73" t="n">
        <v>-375</v>
      </c>
      <c r="J29" s="73" t="n">
        <v>-1065</v>
      </c>
      <c r="K29" s="73" t="n">
        <v>-1091</v>
      </c>
      <c r="L29" s="73" t="n">
        <v>-1094</v>
      </c>
      <c r="M29" s="73" t="n">
        <v>-2012</v>
      </c>
      <c r="N29" s="73" t="n">
        <v>-2273</v>
      </c>
    </row>
    <row r="30">
      <c r="B30" t="inlineStr">
        <is>
          <t>Financial liabilities</t>
        </is>
      </c>
      <c r="C30" t="n">
        <v>0</v>
      </c>
      <c r="D30" t="n">
        <v>0</v>
      </c>
      <c r="E30" t="n">
        <v>0</v>
      </c>
      <c r="F30" t="n">
        <v>0</v>
      </c>
      <c r="G30" t="n">
        <v>0</v>
      </c>
      <c r="H30" t="n">
        <v>-101</v>
      </c>
      <c r="I30" t="n">
        <v>-118</v>
      </c>
      <c r="J30" t="n">
        <v>-157</v>
      </c>
      <c r="K30" t="n">
        <v>-126</v>
      </c>
      <c r="L30" t="n">
        <v>-162</v>
      </c>
      <c r="M30" t="n">
        <v>-165</v>
      </c>
      <c r="N30" t="n">
        <v>-217</v>
      </c>
    </row>
    <row r="31">
      <c r="B31" t="inlineStr">
        <is>
          <t>Other financing items</t>
        </is>
      </c>
      <c r="C31" t="n">
        <v>-3689</v>
      </c>
      <c r="D31" t="n">
        <v>1</v>
      </c>
      <c r="E31" s="73" t="n">
        <v>0</v>
      </c>
      <c r="F31" s="73" t="n">
        <v>0</v>
      </c>
      <c r="G31" s="73" t="n">
        <v>-83</v>
      </c>
      <c r="H31" s="73" t="n">
        <v>-4</v>
      </c>
      <c r="I31" t="n">
        <v>0</v>
      </c>
      <c r="J31" t="n">
        <v>-91</v>
      </c>
      <c r="K31" t="n">
        <v>-115</v>
      </c>
      <c r="L31" t="n">
        <v>-100</v>
      </c>
      <c r="M31" t="n">
        <v>-100</v>
      </c>
      <c r="N31" t="n">
        <v>-119</v>
      </c>
    </row>
    <row r="32">
      <c r="B32" t="inlineStr">
        <is>
          <t>Net Cash Flow</t>
        </is>
      </c>
      <c r="C32" t="n">
        <v>-63</v>
      </c>
      <c r="D32" t="n">
        <v>8</v>
      </c>
      <c r="E32" t="n">
        <v>-31</v>
      </c>
      <c r="F32" t="n">
        <v>18</v>
      </c>
      <c r="G32" t="n">
        <v>364</v>
      </c>
      <c r="H32" t="n">
        <v>-295</v>
      </c>
      <c r="I32" t="n">
        <v>-712</v>
      </c>
      <c r="J32" t="n">
        <v>-958</v>
      </c>
      <c r="K32" t="n">
        <v>250</v>
      </c>
      <c r="L32" t="n">
        <v>183</v>
      </c>
      <c r="M32" t="n">
        <v>-86</v>
      </c>
      <c r="N32" t="n">
        <v>-113</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0.8100000000000001</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1.5</v>
      </c>
      <c r="K17" s="47">
        <f>J17/(1+(1-G17)*H17)</f>
        <v/>
      </c>
    </row>
    <row r="18">
      <c r="B18" s="119">
        <f>'Raw Data'!O28</f>
        <v/>
      </c>
      <c r="C18" s="119" t="n"/>
      <c r="D18" s="119">
        <f>'Raw Data'!Q28</f>
        <v/>
      </c>
      <c r="E18" s="124">
        <f>'Raw Data'!R28</f>
        <v/>
      </c>
      <c r="F18" s="124">
        <f>'Raw Data'!S28</f>
        <v/>
      </c>
      <c r="G18" s="120">
        <f>'Raw Data'!T28</f>
        <v/>
      </c>
      <c r="H18" s="36">
        <f>E18/F18</f>
        <v/>
      </c>
      <c r="I18" s="36">
        <f>E18/SUM(E18:F18)</f>
        <v/>
      </c>
      <c r="J18" t="n">
        <v>1.06</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2026-10-08</t>
        </is>
      </c>
      <c r="H6" t="n">
        <v>10529</v>
      </c>
      <c r="J6" t="n">
        <v>22212.55</v>
      </c>
    </row>
    <row r="7">
      <c r="B7" t="n">
        <v>2024</v>
      </c>
      <c r="C7" s="46" t="n">
        <v>0.08749999999999999</v>
      </c>
      <c r="G7" s="34" t="inlineStr">
        <is>
          <t>2026-10-07</t>
        </is>
      </c>
      <c r="H7" t="n">
        <v>10658</v>
      </c>
      <c r="J7" t="n">
        <v>22603.05</v>
      </c>
    </row>
    <row r="8">
      <c r="B8" t="n">
        <v>2023</v>
      </c>
      <c r="C8" s="46" t="n">
        <v>0.1942</v>
      </c>
      <c r="G8" s="34" t="inlineStr">
        <is>
          <t>2026-10-06</t>
        </is>
      </c>
      <c r="H8" t="n">
        <v>10750</v>
      </c>
      <c r="J8" t="n">
        <v>22776.1</v>
      </c>
    </row>
    <row r="9">
      <c r="B9" t="n">
        <v>2022</v>
      </c>
      <c r="C9" s="46" t="n">
        <v>0.0432</v>
      </c>
      <c r="G9" s="34" t="inlineStr">
        <is>
          <t>2026-10-05</t>
        </is>
      </c>
      <c r="H9" t="n">
        <v>10850</v>
      </c>
      <c r="J9" t="n">
        <v>22555.75</v>
      </c>
    </row>
    <row r="10">
      <c r="B10" t="n">
        <v>2021</v>
      </c>
      <c r="C10" s="46" t="n">
        <v>0.2412</v>
      </c>
      <c r="G10" s="34" t="inlineStr">
        <is>
          <t>2026-10-01</t>
        </is>
      </c>
      <c r="H10" t="n">
        <v>10710</v>
      </c>
      <c r="J10" t="n">
        <v>22421.95</v>
      </c>
    </row>
    <row r="11">
      <c r="B11" t="n">
        <v>2020</v>
      </c>
      <c r="C11" s="46" t="n">
        <v>0.149</v>
      </c>
      <c r="G11" s="34" t="inlineStr">
        <is>
          <t>2026-09-30</t>
        </is>
      </c>
      <c r="H11" t="n">
        <v>10956</v>
      </c>
      <c r="J11" t="n">
        <v>22620.45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2026-09-29</t>
        </is>
      </c>
      <c r="H12" t="n">
        <v>10829</v>
      </c>
      <c r="J12" t="n">
        <v>22716.2</v>
      </c>
      <c r="N12" t="n">
        <v>1</v>
      </c>
      <c r="O12" t="inlineStr">
        <is>
          <t>Ambuja Cements</t>
        </is>
      </c>
      <c r="P12" t="n">
        <v>346.55</v>
      </c>
      <c r="Q12">
        <f>IF(P12&gt;0, R12/P12, 0)</f>
        <v/>
      </c>
      <c r="R12" t="n">
        <v>86111.39999999999</v>
      </c>
      <c r="S12" t="n">
        <v>866</v>
      </c>
      <c r="T12" t="n">
        <v>113</v>
      </c>
      <c r="U12">
        <f>R12+S12-T12</f>
        <v/>
      </c>
      <c r="V12" t="n">
        <v>38000</v>
      </c>
      <c r="W12">
        <f>IF(X12&gt;0, U12/X12, "N/A")</f>
        <v/>
      </c>
      <c r="X12" t="n">
        <v>4700.4</v>
      </c>
    </row>
    <row r="13">
      <c r="B13" t="n">
        <v>2018</v>
      </c>
      <c r="C13" s="46" t="n">
        <v>0.0315</v>
      </c>
      <c r="G13" s="34" t="inlineStr">
        <is>
          <t>2026-09-28</t>
        </is>
      </c>
      <c r="H13" t="n">
        <v>11025</v>
      </c>
      <c r="J13" t="n">
        <v>22780.25</v>
      </c>
      <c r="N13" t="n">
        <v>2</v>
      </c>
      <c r="O13" t="inlineStr">
        <is>
          <t>J K Cements</t>
        </is>
      </c>
      <c r="P13" t="n">
        <v>4964.65</v>
      </c>
      <c r="Q13">
        <f>IF(P13&gt;0, R13/P13, 0)</f>
        <v/>
      </c>
      <c r="R13" t="n">
        <v>38361</v>
      </c>
      <c r="S13" t="n">
        <v>6183</v>
      </c>
      <c r="T13" t="n">
        <v>447</v>
      </c>
      <c r="U13">
        <f>R13+S13-T13</f>
        <v/>
      </c>
      <c r="V13" t="n">
        <v>16126.9</v>
      </c>
      <c r="W13">
        <f>IF(X13&gt;0, U13/X13, "N/A")</f>
        <v/>
      </c>
      <c r="X13" t="n">
        <v>976.85</v>
      </c>
    </row>
    <row r="14">
      <c r="B14" t="n">
        <v>2017</v>
      </c>
      <c r="C14" s="46" t="n">
        <v>0.2865</v>
      </c>
      <c r="G14" s="34" t="inlineStr">
        <is>
          <t>2026-09-25</t>
        </is>
      </c>
      <c r="H14" t="n">
        <v>11155</v>
      </c>
      <c r="J14" t="n">
        <v>23140.5</v>
      </c>
      <c r="N14" t="n">
        <v>3</v>
      </c>
      <c r="O14">
        <f>'Data Sheet'!B1</f>
        <v/>
      </c>
      <c r="P14" t="n">
        <v>10530</v>
      </c>
      <c r="Q14">
        <f>IF(P14&gt;0, R14/P14, 0)</f>
        <v/>
      </c>
      <c r="R14" t="n">
        <v>310312</v>
      </c>
      <c r="S14" t="n">
        <v>23755</v>
      </c>
      <c r="T14" t="n">
        <v>0</v>
      </c>
      <c r="U14">
        <f>R14+S14-T14</f>
        <v/>
      </c>
      <c r="V14" t="n">
        <v>0</v>
      </c>
      <c r="W14">
        <f>IF(X14&gt;0, U14/X14, "N/A")</f>
        <v/>
      </c>
      <c r="X14" t="n">
        <v>0</v>
      </c>
    </row>
    <row r="15">
      <c r="B15" t="n">
        <v>2016</v>
      </c>
      <c r="C15" s="46" t="n">
        <v>0.0301</v>
      </c>
      <c r="G15" s="34" t="inlineStr">
        <is>
          <t>2026-09-24</t>
        </is>
      </c>
      <c r="H15" t="n">
        <v>11056</v>
      </c>
      <c r="J15" t="n">
        <v>23063.1</v>
      </c>
      <c r="N15" t="n">
        <v>4</v>
      </c>
      <c r="O15" t="inlineStr">
        <is>
          <t>Grasim Inds</t>
        </is>
      </c>
      <c r="P15" t="n">
        <v>2877.7</v>
      </c>
      <c r="Q15">
        <f>IF(P15&gt;0, R15/P15, 0)</f>
        <v/>
      </c>
      <c r="R15" t="n">
        <v>195837.8</v>
      </c>
      <c r="S15" t="n">
        <v>227853</v>
      </c>
      <c r="T15" t="n">
        <v>154982</v>
      </c>
      <c r="U15">
        <f>R15+S15-T15</f>
        <v/>
      </c>
      <c r="V15" t="n">
        <v>194864.8</v>
      </c>
      <c r="W15">
        <f>IF(X15&gt;0, U15/X15, "N/A")</f>
        <v/>
      </c>
      <c r="X15" t="n">
        <v>5744.73</v>
      </c>
    </row>
    <row r="16">
      <c r="B16" t="n">
        <v>2015</v>
      </c>
      <c r="C16" s="46" t="n">
        <v>-0.0406</v>
      </c>
      <c r="G16" s="34" t="inlineStr">
        <is>
          <t>2026-09-23</t>
        </is>
      </c>
      <c r="H16" t="n">
        <v>11155</v>
      </c>
      <c r="J16" t="n">
        <v>23446.8</v>
      </c>
      <c r="N16" t="n">
        <v>5</v>
      </c>
      <c r="O16" t="inlineStr">
        <is>
          <t>Dalmia BharatLtd</t>
        </is>
      </c>
      <c r="P16" t="n">
        <v>1598.55</v>
      </c>
      <c r="Q16">
        <f>IF(P16&gt;0, R16/P16, 0)</f>
        <v/>
      </c>
      <c r="R16" t="n">
        <v>29983.3</v>
      </c>
      <c r="S16" t="n">
        <v>7406</v>
      </c>
      <c r="T16" t="n">
        <v>5878</v>
      </c>
      <c r="U16">
        <f>R16+S16-T16</f>
        <v/>
      </c>
      <c r="V16" t="n">
        <v>15560</v>
      </c>
      <c r="W16">
        <f>IF(X16&gt;0, U16/X16, "N/A")</f>
        <v/>
      </c>
      <c r="X16" t="n">
        <v>1097.49</v>
      </c>
    </row>
    <row r="17">
      <c r="B17" t="n">
        <v>2014</v>
      </c>
      <c r="C17" s="46" t="n">
        <v>0.3139</v>
      </c>
      <c r="G17" s="34" t="inlineStr">
        <is>
          <t>2026-09-22</t>
        </is>
      </c>
      <c r="H17" t="n">
        <v>11000</v>
      </c>
      <c r="J17" t="n">
        <v>23329</v>
      </c>
      <c r="N17" t="n">
        <v>6</v>
      </c>
      <c r="O17" t="inlineStr">
        <is>
          <t>ACC</t>
        </is>
      </c>
      <c r="P17" t="n">
        <v>1137.95</v>
      </c>
      <c r="Q17">
        <f>IF(P17&gt;0, R17/P17, 0)</f>
        <v/>
      </c>
      <c r="R17" t="n">
        <v>21369.2</v>
      </c>
      <c r="S17" t="n">
        <v>429</v>
      </c>
      <c r="T17" t="n">
        <v>55</v>
      </c>
      <c r="U17">
        <f>R17+S17-T17</f>
        <v/>
      </c>
      <c r="V17" t="n">
        <v>23232</v>
      </c>
      <c r="W17">
        <f>IF(X17&gt;0, U17/X17, "N/A")</f>
        <v/>
      </c>
      <c r="X17" t="n">
        <v>1906.26</v>
      </c>
    </row>
    <row r="18">
      <c r="B18" t="n">
        <v>2013</v>
      </c>
      <c r="C18" s="46" t="n">
        <v>0.06759999999999999</v>
      </c>
      <c r="G18" s="34" t="inlineStr">
        <is>
          <t>2026-09-21</t>
        </is>
      </c>
      <c r="H18" t="n">
        <v>11100</v>
      </c>
      <c r="J18" t="n">
        <v>23414.3</v>
      </c>
      <c r="N18" t="n">
        <v>7</v>
      </c>
      <c r="O18" t="inlineStr">
        <is>
          <t>JSW Steel</t>
        </is>
      </c>
      <c r="P18" t="n">
        <v>1179.9</v>
      </c>
      <c r="Q18">
        <f>IF(P18&gt;0, R18/P18, 0)</f>
        <v/>
      </c>
      <c r="R18" t="n">
        <v>288539.1</v>
      </c>
      <c r="S18" t="n">
        <v>79000</v>
      </c>
      <c r="T18" t="n">
        <v>12500</v>
      </c>
      <c r="U18">
        <f>R18+S18-T18</f>
        <v/>
      </c>
      <c r="V18" t="n">
        <v>189456</v>
      </c>
      <c r="W18">
        <f>IF(X18&gt;0, U18/X18, "N/A")</f>
        <v/>
      </c>
      <c r="X18" t="n">
        <v>12027.47</v>
      </c>
    </row>
    <row r="19">
      <c r="B19" t="n">
        <v>2012</v>
      </c>
      <c r="C19" s="46" t="n">
        <v>0.277</v>
      </c>
      <c r="G19" s="34" t="inlineStr">
        <is>
          <t>2026-09-18</t>
        </is>
      </c>
      <c r="H19" t="n">
        <v>11014</v>
      </c>
      <c r="J19" t="n">
        <v>23346.4</v>
      </c>
      <c r="N19" t="n">
        <v>8</v>
      </c>
      <c r="O19" t="inlineStr">
        <is>
          <t>Hindustan Zinc</t>
        </is>
      </c>
      <c r="P19" t="n">
        <v>533.2</v>
      </c>
      <c r="Q19">
        <f>IF(P19&gt;0, R19/P19, 0)</f>
        <v/>
      </c>
      <c r="R19" t="n">
        <v>225294</v>
      </c>
      <c r="S19" t="n">
        <v>8728</v>
      </c>
      <c r="T19" t="n">
        <v>14468</v>
      </c>
      <c r="U19">
        <f>R19+S19-T19</f>
        <v/>
      </c>
      <c r="V19" t="n">
        <v>54748</v>
      </c>
      <c r="W19">
        <f>IF(X19&gt;0, U19/X19, "N/A")</f>
        <v/>
      </c>
      <c r="X19" t="n">
        <v>16863.32</v>
      </c>
    </row>
    <row r="20">
      <c r="B20" t="n">
        <v>2011</v>
      </c>
      <c r="C20" s="46" t="n">
        <v>-0.2462</v>
      </c>
      <c r="G20" s="34" t="inlineStr">
        <is>
          <t>2026-09-17</t>
        </is>
      </c>
      <c r="H20" t="n">
        <v>10764</v>
      </c>
      <c r="J20" t="n">
        <v>23270.6</v>
      </c>
      <c r="N20" t="n">
        <v>9</v>
      </c>
      <c r="O20" t="inlineStr">
        <is>
          <t>Tata Steel</t>
        </is>
      </c>
      <c r="P20" t="n">
        <v>172.35</v>
      </c>
      <c r="Q20">
        <f>IF(P20&gt;0, R20/P20, 0)</f>
        <v/>
      </c>
      <c r="R20" t="n">
        <v>215153.6</v>
      </c>
      <c r="S20" t="n">
        <v>87000</v>
      </c>
      <c r="T20" t="n">
        <v>10058</v>
      </c>
      <c r="U20">
        <f>R20+S20-T20</f>
        <v/>
      </c>
      <c r="V20" t="n">
        <v>243177.2</v>
      </c>
      <c r="W20">
        <f>IF(X20&gt;0, U20/X20, "N/A")</f>
        <v/>
      </c>
      <c r="X20" t="n">
        <v>11834.63</v>
      </c>
    </row>
    <row r="21">
      <c r="B21" t="n">
        <v>2010</v>
      </c>
      <c r="C21" s="46" t="n">
        <v>0.1795</v>
      </c>
      <c r="G21" s="34" t="inlineStr">
        <is>
          <t>2026-09-16</t>
        </is>
      </c>
      <c r="H21" t="n">
        <v>10700</v>
      </c>
      <c r="J21" t="n">
        <v>23217.6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2026-09-15</t>
        </is>
      </c>
      <c r="H22" t="n">
        <v>10697</v>
      </c>
      <c r="J22" t="n">
        <v>23118.6</v>
      </c>
      <c r="W22">
        <f>IF(X22&gt;0, U22/X22, "N/A")</f>
        <v/>
      </c>
    </row>
    <row r="23">
      <c r="B23" t="n">
        <v>2008</v>
      </c>
      <c r="C23" s="46" t="n">
        <v>-0.5179</v>
      </c>
      <c r="G23" s="34" t="inlineStr">
        <is>
          <t>2026-09-11</t>
        </is>
      </c>
      <c r="H23" t="n">
        <v>11000</v>
      </c>
      <c r="J23" t="n">
        <v>23398.1</v>
      </c>
      <c r="W23">
        <f>IF(X23&gt;0, U23/X23, "N/A")</f>
        <v/>
      </c>
    </row>
    <row r="24">
      <c r="B24" t="n">
        <v>2007</v>
      </c>
      <c r="C24" s="46" t="n">
        <v>0.5477</v>
      </c>
      <c r="G24" s="34" t="inlineStr">
        <is>
          <t>2026-09-10</t>
        </is>
      </c>
      <c r="H24" t="n">
        <v>10979</v>
      </c>
      <c r="J24" t="n">
        <v>23477.8</v>
      </c>
      <c r="O24" t="inlineStr">
        <is>
          <t>Ambuja Cements</t>
        </is>
      </c>
      <c r="Q24" t="inlineStr">
        <is>
          <t>India</t>
        </is>
      </c>
      <c r="R24" t="n">
        <v>866</v>
      </c>
      <c r="S24" t="n">
        <v>86111.39999999999</v>
      </c>
      <c r="T24" s="46">
        <f>Control!C19</f>
        <v/>
      </c>
      <c r="W24">
        <f>IF(X24&gt;0, U24/X24, "N/A")</f>
        <v/>
      </c>
    </row>
    <row r="25">
      <c r="B25" t="n">
        <v>2006</v>
      </c>
      <c r="C25" s="46" t="n">
        <v>0.3983</v>
      </c>
      <c r="G25" s="34" t="inlineStr">
        <is>
          <t>2026-09-09</t>
        </is>
      </c>
      <c r="H25" t="n">
        <v>10900</v>
      </c>
      <c r="J25" t="n">
        <v>23431.5</v>
      </c>
      <c r="O25" t="inlineStr">
        <is>
          <t>J K Cements</t>
        </is>
      </c>
      <c r="Q25">
        <f>Q24</f>
        <v/>
      </c>
      <c r="R25" t="n">
        <v>6183</v>
      </c>
      <c r="S25" t="n">
        <v>38361</v>
      </c>
      <c r="T25" s="46">
        <f>T24</f>
        <v/>
      </c>
      <c r="W25">
        <f>IF(X25&gt;0, U25/X25, "N/A")</f>
        <v/>
      </c>
    </row>
    <row r="26">
      <c r="B26" t="n">
        <v>2005</v>
      </c>
      <c r="C26" s="46" t="n">
        <v>0.3634</v>
      </c>
      <c r="G26" s="34" t="inlineStr">
        <is>
          <t>2026-09-08</t>
        </is>
      </c>
      <c r="H26" t="n">
        <v>11009</v>
      </c>
      <c r="J26" t="n">
        <v>23635.1</v>
      </c>
      <c r="O26">
        <f>'Data Sheet'!B1</f>
        <v/>
      </c>
      <c r="Q26">
        <f>Q25</f>
        <v/>
      </c>
      <c r="R26" t="n">
        <v>23755</v>
      </c>
      <c r="S26" t="n">
        <v>310312</v>
      </c>
      <c r="T26" s="46">
        <f>T25</f>
        <v/>
      </c>
      <c r="W26">
        <f>IF(X26&gt;0, U26/X26, "N/A")</f>
        <v/>
      </c>
    </row>
    <row r="27">
      <c r="B27" t="n">
        <v>2004</v>
      </c>
      <c r="C27" s="46" t="n">
        <v>0.1068</v>
      </c>
      <c r="G27" s="34" t="inlineStr">
        <is>
          <t>2026-09-07</t>
        </is>
      </c>
      <c r="H27" t="n">
        <v>11175</v>
      </c>
      <c r="J27" t="n">
        <v>23779.15</v>
      </c>
      <c r="O27" t="inlineStr">
        <is>
          <t>Grasim Inds</t>
        </is>
      </c>
      <c r="Q27">
        <f>Q26</f>
        <v/>
      </c>
      <c r="R27" t="n">
        <v>227853</v>
      </c>
      <c r="S27" t="n">
        <v>195837.8</v>
      </c>
      <c r="T27" s="46">
        <f>T26</f>
        <v/>
      </c>
    </row>
    <row r="28">
      <c r="B28" t="n">
        <v>2003</v>
      </c>
      <c r="C28" s="46" t="n">
        <v>0.719</v>
      </c>
      <c r="G28" s="34" t="inlineStr">
        <is>
          <t>2026-09-04</t>
        </is>
      </c>
      <c r="H28" t="n">
        <v>11408</v>
      </c>
      <c r="J28" t="n">
        <v>23897.7</v>
      </c>
      <c r="O28" t="inlineStr">
        <is>
          <t>Dalmia BharatLtd</t>
        </is>
      </c>
      <c r="Q28">
        <f>Q27</f>
        <v/>
      </c>
      <c r="R28" t="n">
        <v>7406</v>
      </c>
      <c r="S28" t="n">
        <v>29983.3</v>
      </c>
      <c r="T28" s="46">
        <f>T27</f>
        <v/>
      </c>
    </row>
    <row r="29">
      <c r="B29" t="n">
        <v>2002</v>
      </c>
      <c r="C29" s="46" t="n">
        <v>0.0325</v>
      </c>
      <c r="G29" s="34" t="inlineStr">
        <is>
          <t>2026-09-03</t>
        </is>
      </c>
      <c r="H29" t="n">
        <v>11275</v>
      </c>
      <c r="J29" t="n">
        <v>23873.45</v>
      </c>
    </row>
    <row r="30">
      <c r="G30" s="34" t="inlineStr">
        <is>
          <t>2026-09-02</t>
        </is>
      </c>
      <c r="H30" t="n">
        <v>11393</v>
      </c>
      <c r="J30" t="n">
        <v>23914.45</v>
      </c>
    </row>
    <row r="31">
      <c r="G31" s="34" t="inlineStr">
        <is>
          <t>2026-09-01</t>
        </is>
      </c>
      <c r="H31" t="n">
        <v>11400</v>
      </c>
      <c r="J31" t="n">
        <v>24055.8</v>
      </c>
    </row>
    <row r="32">
      <c r="G32" s="34" t="inlineStr">
        <is>
          <t>2026-08-31</t>
        </is>
      </c>
      <c r="H32" t="n">
        <v>11450</v>
      </c>
      <c r="J32" t="n">
        <v>24080.4</v>
      </c>
    </row>
    <row r="33">
      <c r="G33" s="34" t="inlineStr">
        <is>
          <t>2026-08-28</t>
        </is>
      </c>
      <c r="H33" t="n">
        <v>11589</v>
      </c>
      <c r="J33" t="n">
        <v>24175.65</v>
      </c>
    </row>
    <row r="34">
      <c r="G34" s="34" t="inlineStr">
        <is>
          <t>2026-08-27</t>
        </is>
      </c>
      <c r="H34" t="n">
        <v>11717</v>
      </c>
      <c r="J34" t="n">
        <v>24090.85</v>
      </c>
    </row>
    <row r="35">
      <c r="G35" s="34" t="inlineStr">
        <is>
          <t>2026-08-26</t>
        </is>
      </c>
      <c r="H35" t="n">
        <v>11717</v>
      </c>
      <c r="J35" t="n">
        <v>24207.75</v>
      </c>
    </row>
    <row r="36">
      <c r="G36" s="34" t="inlineStr">
        <is>
          <t>2026-08-25</t>
        </is>
      </c>
      <c r="H36" t="n">
        <v>11540</v>
      </c>
      <c r="J36" t="n">
        <v>24334.55</v>
      </c>
    </row>
    <row r="37">
      <c r="G37" s="34" t="inlineStr">
        <is>
          <t>2026-08-24</t>
        </is>
      </c>
      <c r="H37" t="n">
        <v>11504</v>
      </c>
      <c r="J37" t="n">
        <v>24219.05</v>
      </c>
    </row>
    <row r="38">
      <c r="G38" s="34" t="inlineStr">
        <is>
          <t>2026-08-21</t>
        </is>
      </c>
      <c r="H38" t="n">
        <v>11570</v>
      </c>
      <c r="J38" t="n">
        <v>24252</v>
      </c>
    </row>
    <row r="39">
      <c r="G39" s="34" t="inlineStr">
        <is>
          <t>2026-08-20</t>
        </is>
      </c>
      <c r="H39" t="n">
        <v>11575</v>
      </c>
      <c r="J39" t="n">
        <v>24231.85</v>
      </c>
    </row>
    <row r="40">
      <c r="G40" s="34" t="inlineStr">
        <is>
          <t>2026-08-19</t>
        </is>
      </c>
      <c r="H40" t="n">
        <v>11450</v>
      </c>
      <c r="J40" t="n">
        <v>24078.3</v>
      </c>
    </row>
    <row r="41">
      <c r="G41" s="34" t="inlineStr">
        <is>
          <t>2026-08-18</t>
        </is>
      </c>
      <c r="H41" t="n">
        <v>11499</v>
      </c>
      <c r="J41" t="n">
        <v>24154.9</v>
      </c>
    </row>
    <row r="42">
      <c r="G42" s="34" t="inlineStr">
        <is>
          <t>2026-08-17</t>
        </is>
      </c>
      <c r="H42" t="n">
        <v>11681</v>
      </c>
      <c r="J42" t="n">
        <v>24287.65</v>
      </c>
    </row>
    <row r="43">
      <c r="G43" s="34" t="inlineStr">
        <is>
          <t>2026-08-14</t>
        </is>
      </c>
      <c r="H43" t="n">
        <v>11619</v>
      </c>
      <c r="J43" t="n">
        <v>24366</v>
      </c>
    </row>
    <row r="44">
      <c r="G44" s="34" t="inlineStr">
        <is>
          <t>2026-08-13</t>
        </is>
      </c>
      <c r="H44" t="n">
        <v>11706</v>
      </c>
      <c r="J44" t="n">
        <v>24395.85</v>
      </c>
    </row>
    <row r="45">
      <c r="G45" s="34" t="inlineStr">
        <is>
          <t>2026-08-12</t>
        </is>
      </c>
      <c r="H45" t="n">
        <v>11891</v>
      </c>
      <c r="J45" t="n">
        <v>24435.95</v>
      </c>
    </row>
    <row r="46">
      <c r="G46" s="34" t="inlineStr">
        <is>
          <t>2026-08-11</t>
        </is>
      </c>
      <c r="H46" t="n">
        <v>11780</v>
      </c>
      <c r="J46" t="n">
        <v>24471.7</v>
      </c>
    </row>
    <row r="47">
      <c r="G47" s="34" t="inlineStr">
        <is>
          <t>2026-08-10</t>
        </is>
      </c>
      <c r="H47" t="n">
        <v>12038</v>
      </c>
      <c r="J47" t="n">
        <v>24583.8</v>
      </c>
    </row>
    <row r="48">
      <c r="G48" s="34" t="inlineStr">
        <is>
          <t>2026-08-07</t>
        </is>
      </c>
      <c r="H48" t="n">
        <v>12105</v>
      </c>
      <c r="J48" t="n">
        <v>24570.65</v>
      </c>
    </row>
    <row r="49">
      <c r="G49" s="34" t="inlineStr">
        <is>
          <t>2026-08-06</t>
        </is>
      </c>
      <c r="H49" t="n">
        <v>12075</v>
      </c>
      <c r="J49" t="n">
        <v>24636</v>
      </c>
    </row>
    <row r="50">
      <c r="G50" s="34" t="inlineStr">
        <is>
          <t>2026-08-05</t>
        </is>
      </c>
      <c r="H50" t="n">
        <v>12190</v>
      </c>
      <c r="J50" t="n">
        <v>24624.65</v>
      </c>
    </row>
    <row r="51">
      <c r="G51" s="34" t="inlineStr">
        <is>
          <t>2026-08-04</t>
        </is>
      </c>
      <c r="H51" t="n">
        <v>12050</v>
      </c>
      <c r="J51" t="n">
        <v>24614.9</v>
      </c>
    </row>
    <row r="52">
      <c r="G52" s="34" t="inlineStr">
        <is>
          <t>2026-08-03</t>
        </is>
      </c>
      <c r="H52" t="n">
        <v>12054</v>
      </c>
      <c r="J52" t="n">
        <v>24774.3</v>
      </c>
    </row>
    <row r="53">
      <c r="G53" s="34" t="inlineStr">
        <is>
          <t>2026-07-31</t>
        </is>
      </c>
      <c r="H53" t="n">
        <v>11903</v>
      </c>
      <c r="J53" t="n">
        <v>24383.6</v>
      </c>
    </row>
    <row r="54">
      <c r="G54" s="34" t="inlineStr">
        <is>
          <t>2026-07-30</t>
        </is>
      </c>
      <c r="H54" t="n">
        <v>11847</v>
      </c>
      <c r="J54" t="n">
        <v>24317.15</v>
      </c>
    </row>
    <row r="55">
      <c r="G55" s="34" t="inlineStr">
        <is>
          <t>2026-07-29</t>
        </is>
      </c>
      <c r="H55" t="n">
        <v>11998</v>
      </c>
      <c r="J55" t="n">
        <v>24250.2</v>
      </c>
    </row>
    <row r="56">
      <c r="G56" s="34" t="inlineStr">
        <is>
          <t>2026-07-28</t>
        </is>
      </c>
      <c r="H56" t="n">
        <v>11956</v>
      </c>
      <c r="J56" t="n">
        <v>23985.35</v>
      </c>
    </row>
    <row r="57">
      <c r="G57" s="34" t="inlineStr">
        <is>
          <t>2026-07-27</t>
        </is>
      </c>
      <c r="H57" t="n">
        <v>11881</v>
      </c>
      <c r="J57" t="n">
        <v>23995.95</v>
      </c>
    </row>
    <row r="58">
      <c r="G58" s="34" t="inlineStr">
        <is>
          <t>2026-07-24</t>
        </is>
      </c>
      <c r="H58" t="n">
        <v>11846</v>
      </c>
      <c r="J58" t="n">
        <v>23767.45</v>
      </c>
    </row>
    <row r="59">
      <c r="G59" s="34" t="inlineStr">
        <is>
          <t>2026-07-23</t>
        </is>
      </c>
      <c r="H59" t="n">
        <v>11908</v>
      </c>
      <c r="J59" t="n">
        <v>23869.6</v>
      </c>
    </row>
    <row r="60">
      <c r="G60" s="34" t="inlineStr">
        <is>
          <t>2026-07-22</t>
        </is>
      </c>
      <c r="H60" t="n">
        <v>11893</v>
      </c>
      <c r="J60" t="n">
        <v>23996.25</v>
      </c>
    </row>
    <row r="61">
      <c r="G61" s="34" t="inlineStr">
        <is>
          <t>2026-07-21</t>
        </is>
      </c>
      <c r="H61" t="n">
        <v>12094</v>
      </c>
      <c r="J61" t="n">
        <v>24187.7</v>
      </c>
    </row>
    <row r="62">
      <c r="G62" s="34" t="inlineStr">
        <is>
          <t>2026-07-20</t>
        </is>
      </c>
      <c r="H62" t="n">
        <v>11903</v>
      </c>
      <c r="J62" t="n">
        <v>24238.5</v>
      </c>
    </row>
    <row r="63">
      <c r="G63" s="34" t="inlineStr">
        <is>
          <t>2026-07-17</t>
        </is>
      </c>
      <c r="H63" t="n">
        <v>11727</v>
      </c>
      <c r="J63" t="n">
        <v>24334.3</v>
      </c>
    </row>
    <row r="64">
      <c r="G64" s="34" t="inlineStr">
        <is>
          <t>2026-07-16</t>
        </is>
      </c>
      <c r="H64" t="n">
        <v>11771</v>
      </c>
      <c r="J64" t="n">
        <v>24072.75</v>
      </c>
    </row>
    <row r="65">
      <c r="G65" s="34" t="inlineStr">
        <is>
          <t>2026-07-15</t>
        </is>
      </c>
      <c r="H65" t="n">
        <v>11812</v>
      </c>
      <c r="J65" t="n">
        <v>24078.5</v>
      </c>
    </row>
    <row r="66">
      <c r="G66" s="34" t="inlineStr">
        <is>
          <t>2026-07-14</t>
        </is>
      </c>
      <c r="H66" t="n">
        <v>11496</v>
      </c>
      <c r="J66" t="n">
        <v>24052.05</v>
      </c>
    </row>
    <row r="67">
      <c r="G67" s="34" t="inlineStr">
        <is>
          <t>2026-07-13</t>
        </is>
      </c>
      <c r="H67" t="n">
        <v>11571</v>
      </c>
      <c r="J67" t="n">
        <v>24211</v>
      </c>
    </row>
    <row r="68">
      <c r="G68" s="34" t="inlineStr">
        <is>
          <t>2026-07-10</t>
        </is>
      </c>
      <c r="H68" t="n">
        <v>11711</v>
      </c>
      <c r="J68" t="n">
        <v>24206.9</v>
      </c>
    </row>
    <row r="69">
      <c r="G69" s="34" t="inlineStr">
        <is>
          <t>2026-07-09</t>
        </is>
      </c>
      <c r="H69" t="n">
        <v>11524</v>
      </c>
      <c r="J69" t="n">
        <v>23962.8</v>
      </c>
    </row>
    <row r="70">
      <c r="G70" s="34" t="inlineStr">
        <is>
          <t>2026-07-08</t>
        </is>
      </c>
      <c r="H70" t="n">
        <v>11353</v>
      </c>
      <c r="J70" t="n">
        <v>23882.05</v>
      </c>
    </row>
    <row r="71">
      <c r="G71" s="34" t="inlineStr">
        <is>
          <t>2026-07-07</t>
        </is>
      </c>
      <c r="H71" t="n">
        <v>11649</v>
      </c>
      <c r="J71" t="n">
        <v>24398.7</v>
      </c>
    </row>
    <row r="72">
      <c r="G72" s="34" t="inlineStr">
        <is>
          <t>2026-07-06</t>
        </is>
      </c>
      <c r="H72" t="n">
        <v>11661</v>
      </c>
      <c r="J72" t="n">
        <v>24430.35</v>
      </c>
    </row>
    <row r="73">
      <c r="G73" s="34" t="inlineStr">
        <is>
          <t>2026-07-03</t>
        </is>
      </c>
      <c r="H73" t="n">
        <v>11723</v>
      </c>
      <c r="J73" t="n">
        <v>24270.85</v>
      </c>
    </row>
    <row r="74">
      <c r="G74" s="34" t="inlineStr">
        <is>
          <t>2026-07-02</t>
        </is>
      </c>
      <c r="H74" t="n">
        <v>11536</v>
      </c>
      <c r="J74" t="n">
        <v>24175.7</v>
      </c>
    </row>
    <row r="75">
      <c r="G75" s="34" t="inlineStr">
        <is>
          <t>2026-07-01</t>
        </is>
      </c>
      <c r="H75" t="n">
        <v>11456</v>
      </c>
      <c r="J75" t="n">
        <v>24005.85</v>
      </c>
    </row>
    <row r="76">
      <c r="G76" s="34" t="inlineStr">
        <is>
          <t>2026-06-30</t>
        </is>
      </c>
      <c r="H76" t="n">
        <v>11253</v>
      </c>
      <c r="J76" t="n">
        <v>23865.75</v>
      </c>
    </row>
    <row r="77">
      <c r="G77" s="34" t="inlineStr">
        <is>
          <t>2026-06-29</t>
        </is>
      </c>
      <c r="H77" t="n">
        <v>11336</v>
      </c>
      <c r="J77" t="n">
        <v>23946.25</v>
      </c>
    </row>
    <row r="78">
      <c r="G78" s="34" t="inlineStr">
        <is>
          <t>2026-06-25</t>
        </is>
      </c>
      <c r="H78" t="n">
        <v>11489</v>
      </c>
      <c r="J78" t="n">
        <v>24056</v>
      </c>
    </row>
    <row r="79">
      <c r="G79" s="34" t="inlineStr">
        <is>
          <t>2026-06-24</t>
        </is>
      </c>
      <c r="H79" t="n">
        <v>11430</v>
      </c>
      <c r="J79" t="n">
        <v>24021.65</v>
      </c>
    </row>
    <row r="80">
      <c r="G80" s="34" t="inlineStr">
        <is>
          <t>2026-06-23</t>
        </is>
      </c>
      <c r="H80" t="n">
        <v>11307</v>
      </c>
      <c r="J80" t="n">
        <v>23824.1</v>
      </c>
    </row>
    <row r="81">
      <c r="G81" s="34" t="inlineStr">
        <is>
          <t>2026-06-22</t>
        </is>
      </c>
      <c r="H81" t="n">
        <v>11402</v>
      </c>
      <c r="J81" t="n">
        <v>24102.9</v>
      </c>
    </row>
    <row r="82">
      <c r="G82" s="34" t="inlineStr">
        <is>
          <t>2026-06-19</t>
        </is>
      </c>
      <c r="H82" t="n">
        <v>11367</v>
      </c>
      <c r="J82" t="n">
        <v>24013.1</v>
      </c>
    </row>
    <row r="83">
      <c r="G83" s="34" t="inlineStr">
        <is>
          <t>2026-06-18</t>
        </is>
      </c>
      <c r="H83" t="n">
        <v>11430</v>
      </c>
      <c r="J83" t="n">
        <v>24168</v>
      </c>
    </row>
    <row r="84">
      <c r="G84" s="34" t="inlineStr">
        <is>
          <t>2026-06-17</t>
        </is>
      </c>
      <c r="H84" t="n">
        <v>11373</v>
      </c>
      <c r="J84" t="n">
        <v>24085.7</v>
      </c>
    </row>
    <row r="85">
      <c r="G85" s="34" t="inlineStr">
        <is>
          <t>2026-06-16</t>
        </is>
      </c>
      <c r="H85" t="n">
        <v>11391</v>
      </c>
      <c r="J85" t="n">
        <v>23989.15</v>
      </c>
    </row>
    <row r="86">
      <c r="G86" s="34" t="inlineStr">
        <is>
          <t>2026-06-15</t>
        </is>
      </c>
      <c r="H86" t="n">
        <v>11466</v>
      </c>
      <c r="J86" t="n">
        <v>23853.9</v>
      </c>
    </row>
    <row r="87">
      <c r="G87" s="34" t="inlineStr">
        <is>
          <t>2026-06-12</t>
        </is>
      </c>
      <c r="H87" t="n">
        <v>11117</v>
      </c>
      <c r="J87" t="n">
        <v>23622.9</v>
      </c>
    </row>
    <row r="88">
      <c r="G88" s="34" t="inlineStr">
        <is>
          <t>2026-06-11</t>
        </is>
      </c>
      <c r="H88" t="n">
        <v>10830</v>
      </c>
      <c r="J88" t="n">
        <v>23161.6</v>
      </c>
    </row>
    <row r="89">
      <c r="G89" s="34" t="inlineStr">
        <is>
          <t>2026-06-10</t>
        </is>
      </c>
      <c r="H89" t="n">
        <v>10866</v>
      </c>
      <c r="J89" t="n">
        <v>23214.95</v>
      </c>
    </row>
    <row r="90">
      <c r="G90" s="34" t="inlineStr">
        <is>
          <t>2026-06-09</t>
        </is>
      </c>
      <c r="H90" t="n">
        <v>10911</v>
      </c>
      <c r="J90" t="n">
        <v>23242.1</v>
      </c>
    </row>
    <row r="91">
      <c r="G91" s="34" t="inlineStr">
        <is>
          <t>2026-06-08</t>
        </is>
      </c>
      <c r="H91" t="n">
        <v>10795</v>
      </c>
      <c r="J91" t="n">
        <v>23123</v>
      </c>
    </row>
    <row r="92">
      <c r="G92" s="34" t="inlineStr">
        <is>
          <t>2026-06-05</t>
        </is>
      </c>
      <c r="H92" t="n">
        <v>10912</v>
      </c>
      <c r="J92" t="n">
        <v>23366.7</v>
      </c>
    </row>
    <row r="93">
      <c r="G93" s="34" t="inlineStr">
        <is>
          <t>2026-06-04</t>
        </is>
      </c>
      <c r="H93" t="n">
        <v>10997</v>
      </c>
      <c r="J93" t="n">
        <v>23416.55</v>
      </c>
    </row>
    <row r="94">
      <c r="G94" s="34" t="inlineStr">
        <is>
          <t>2026-06-03</t>
        </is>
      </c>
      <c r="H94" t="n">
        <v>11101</v>
      </c>
      <c r="J94" t="n">
        <v>23405.6</v>
      </c>
    </row>
    <row r="95">
      <c r="G95" s="34" t="inlineStr">
        <is>
          <t>2026-06-02</t>
        </is>
      </c>
      <c r="H95" t="n">
        <v>11165</v>
      </c>
      <c r="J95" t="n">
        <v>23483.55</v>
      </c>
    </row>
    <row r="96">
      <c r="G96" s="34" t="inlineStr">
        <is>
          <t>2026-06-01</t>
        </is>
      </c>
      <c r="H96" t="n">
        <v>11232</v>
      </c>
      <c r="J96" t="n">
        <v>23382.6</v>
      </c>
    </row>
    <row r="97">
      <c r="G97" s="34" t="inlineStr">
        <is>
          <t>2026-05-29</t>
        </is>
      </c>
      <c r="H97" t="n">
        <v>11482</v>
      </c>
      <c r="J97" t="n">
        <v>23547.75</v>
      </c>
    </row>
    <row r="98">
      <c r="G98" s="34" t="inlineStr">
        <is>
          <t>2026-05-27</t>
        </is>
      </c>
      <c r="H98" t="n">
        <v>11689</v>
      </c>
      <c r="J98" t="n">
        <v>23907.15</v>
      </c>
    </row>
    <row r="99">
      <c r="G99" s="34" t="inlineStr">
        <is>
          <t>2026-05-26</t>
        </is>
      </c>
      <c r="H99" t="n">
        <v>11623</v>
      </c>
      <c r="J99" t="n">
        <v>23913.7</v>
      </c>
    </row>
    <row r="100">
      <c r="G100" s="34" t="inlineStr">
        <is>
          <t>2026-05-25</t>
        </is>
      </c>
      <c r="H100" t="n">
        <v>11726</v>
      </c>
      <c r="J100" t="n">
        <v>24031.7</v>
      </c>
    </row>
    <row r="101">
      <c r="G101" s="34" t="inlineStr">
        <is>
          <t>2026-05-22</t>
        </is>
      </c>
      <c r="H101" t="n">
        <v>11569</v>
      </c>
      <c r="J101" t="n">
        <v>23719.3</v>
      </c>
    </row>
    <row r="102">
      <c r="G102" s="34" t="inlineStr">
        <is>
          <t>2026-05-21</t>
        </is>
      </c>
      <c r="H102" t="n">
        <v>11474</v>
      </c>
      <c r="J102" t="n">
        <v>23654.7</v>
      </c>
    </row>
    <row r="103">
      <c r="G103" s="34" t="inlineStr">
        <is>
          <t>2026-05-20</t>
        </is>
      </c>
      <c r="H103" t="n">
        <v>11409</v>
      </c>
      <c r="J103" t="n">
        <v>23659</v>
      </c>
    </row>
    <row r="104">
      <c r="G104" s="34" t="inlineStr">
        <is>
          <t>2026-05-19</t>
        </is>
      </c>
      <c r="H104" t="n">
        <v>11368</v>
      </c>
      <c r="J104" t="n">
        <v>23618</v>
      </c>
    </row>
    <row r="105">
      <c r="G105" s="34" t="inlineStr">
        <is>
          <t>2026-05-18</t>
        </is>
      </c>
      <c r="H105" t="n">
        <v>11561</v>
      </c>
      <c r="J105" t="n">
        <v>23649.95</v>
      </c>
    </row>
    <row r="106">
      <c r="G106" s="34" t="inlineStr">
        <is>
          <t>2026-05-15</t>
        </is>
      </c>
      <c r="H106" t="n">
        <v>11487</v>
      </c>
      <c r="J106" t="n">
        <v>23643.5</v>
      </c>
    </row>
    <row r="107">
      <c r="G107" s="34" t="inlineStr">
        <is>
          <t>2026-05-14</t>
        </is>
      </c>
      <c r="H107" t="n">
        <v>11692</v>
      </c>
      <c r="J107" t="n">
        <v>23689.6</v>
      </c>
    </row>
    <row r="108">
      <c r="G108" s="34" t="inlineStr">
        <is>
          <t>2026-05-13</t>
        </is>
      </c>
      <c r="H108" t="n">
        <v>11573</v>
      </c>
      <c r="J108" t="n">
        <v>23412.6</v>
      </c>
    </row>
    <row r="109">
      <c r="G109" s="34" t="inlineStr">
        <is>
          <t>2026-05-12</t>
        </is>
      </c>
      <c r="H109" t="n">
        <v>11516</v>
      </c>
      <c r="J109" t="n">
        <v>23379.55</v>
      </c>
    </row>
    <row r="110">
      <c r="G110" s="34" t="inlineStr">
        <is>
          <t>2026-05-11</t>
        </is>
      </c>
      <c r="H110" t="n">
        <v>11866</v>
      </c>
      <c r="J110" t="n">
        <v>23815.85</v>
      </c>
    </row>
    <row r="111">
      <c r="G111" s="34" t="inlineStr">
        <is>
          <t>2026-05-08</t>
        </is>
      </c>
      <c r="H111" t="n">
        <v>11950</v>
      </c>
      <c r="J111" t="n">
        <v>24176.15</v>
      </c>
    </row>
    <row r="112">
      <c r="G112" s="34" t="inlineStr">
        <is>
          <t>2026-05-07</t>
        </is>
      </c>
      <c r="H112" t="n">
        <v>12146</v>
      </c>
      <c r="J112" t="n">
        <v>24326.65</v>
      </c>
    </row>
    <row r="113">
      <c r="G113" s="34" t="inlineStr">
        <is>
          <t>2026-05-06</t>
        </is>
      </c>
      <c r="H113" t="n">
        <v>12093</v>
      </c>
      <c r="J113" t="n">
        <v>24330.95</v>
      </c>
    </row>
    <row r="114">
      <c r="G114" s="34" t="inlineStr">
        <is>
          <t>2026-05-05</t>
        </is>
      </c>
      <c r="H114" t="n">
        <v>11963</v>
      </c>
      <c r="J114" t="n">
        <v>24032.8</v>
      </c>
    </row>
    <row r="115">
      <c r="G115" s="34" t="inlineStr">
        <is>
          <t>2026-05-04</t>
        </is>
      </c>
      <c r="H115" t="n">
        <v>11758</v>
      </c>
      <c r="J115" t="n">
        <v>24119.3</v>
      </c>
    </row>
    <row r="116">
      <c r="G116" s="34" t="inlineStr">
        <is>
          <t>2026-04-30</t>
        </is>
      </c>
      <c r="H116" t="n">
        <v>11586</v>
      </c>
      <c r="J116" t="n">
        <v>23997.55</v>
      </c>
    </row>
    <row r="117">
      <c r="G117" s="34" t="inlineStr">
        <is>
          <t>2026-04-29</t>
        </is>
      </c>
      <c r="H117" t="n">
        <v>11833</v>
      </c>
      <c r="J117" t="n">
        <v>24177.65</v>
      </c>
    </row>
    <row r="118">
      <c r="G118" s="34" t="inlineStr">
        <is>
          <t>2026-04-28</t>
        </is>
      </c>
      <c r="H118" t="n">
        <v>11817</v>
      </c>
      <c r="J118" t="n">
        <v>23995.7</v>
      </c>
    </row>
    <row r="119">
      <c r="G119" s="34" t="inlineStr">
        <is>
          <t>2026-04-27</t>
        </is>
      </c>
      <c r="H119" t="n">
        <v>12010</v>
      </c>
      <c r="J119" t="n">
        <v>24092.7</v>
      </c>
    </row>
    <row r="120">
      <c r="G120" s="34" t="inlineStr">
        <is>
          <t>2026-04-24</t>
        </is>
      </c>
      <c r="H120" t="n">
        <v>11998</v>
      </c>
      <c r="J120" t="n">
        <v>23897.95</v>
      </c>
    </row>
    <row r="121">
      <c r="G121" s="34" t="inlineStr">
        <is>
          <t>2026-04-23</t>
        </is>
      </c>
      <c r="H121" t="n">
        <v>12167</v>
      </c>
      <c r="J121" t="n">
        <v>24173.05</v>
      </c>
    </row>
    <row r="122">
      <c r="G122" s="34" t="inlineStr">
        <is>
          <t>2026-04-22</t>
        </is>
      </c>
      <c r="H122" t="n">
        <v>12193</v>
      </c>
      <c r="J122" t="n">
        <v>24378.1</v>
      </c>
    </row>
    <row r="123">
      <c r="G123" s="34" t="inlineStr">
        <is>
          <t>2026-04-21</t>
        </is>
      </c>
      <c r="H123" t="n">
        <v>12039</v>
      </c>
      <c r="J123" t="n">
        <v>24576.6</v>
      </c>
    </row>
    <row r="124">
      <c r="G124" s="34" t="inlineStr">
        <is>
          <t>2026-04-20</t>
        </is>
      </c>
      <c r="H124" t="n">
        <v>11917</v>
      </c>
      <c r="J124" t="n">
        <v>24364.85</v>
      </c>
    </row>
    <row r="125">
      <c r="G125" s="34" t="inlineStr">
        <is>
          <t>2026-04-17</t>
        </is>
      </c>
      <c r="H125" t="n">
        <v>11886</v>
      </c>
      <c r="J125" t="n">
        <v>24353.55</v>
      </c>
    </row>
    <row r="126">
      <c r="G126" s="34" t="inlineStr">
        <is>
          <t>2026-04-16</t>
        </is>
      </c>
      <c r="H126" t="n">
        <v>11826</v>
      </c>
      <c r="J126" t="n">
        <v>24196.75</v>
      </c>
    </row>
    <row r="127">
      <c r="G127" s="34" t="inlineStr">
        <is>
          <t>2026-04-15</t>
        </is>
      </c>
      <c r="H127" t="n">
        <v>11785</v>
      </c>
      <c r="J127" t="n">
        <v>24231.3</v>
      </c>
    </row>
    <row r="128">
      <c r="G128" s="34" t="inlineStr">
        <is>
          <t>2026-04-13</t>
        </is>
      </c>
      <c r="H128" t="n">
        <v>11502</v>
      </c>
      <c r="J128" t="n">
        <v>23842.65</v>
      </c>
    </row>
    <row r="129">
      <c r="G129" s="34" t="inlineStr">
        <is>
          <t>2026-04-10</t>
        </is>
      </c>
      <c r="H129" t="n">
        <v>11589</v>
      </c>
      <c r="J129" t="n">
        <v>24050.6</v>
      </c>
    </row>
    <row r="130">
      <c r="G130" s="34" t="inlineStr">
        <is>
          <t>2026-04-09</t>
        </is>
      </c>
      <c r="H130" t="n">
        <v>11448</v>
      </c>
      <c r="J130" t="n">
        <v>23775.1</v>
      </c>
    </row>
    <row r="131">
      <c r="G131" s="34" t="inlineStr">
        <is>
          <t>2026-04-08</t>
        </is>
      </c>
      <c r="H131" t="n">
        <v>11603</v>
      </c>
      <c r="J131" t="n">
        <v>23997.35</v>
      </c>
    </row>
    <row r="132">
      <c r="G132" s="34" t="inlineStr">
        <is>
          <t>2026-04-07</t>
        </is>
      </c>
      <c r="H132" t="n">
        <v>10936</v>
      </c>
      <c r="J132" t="n">
        <v>23123.65</v>
      </c>
    </row>
    <row r="133">
      <c r="G133" s="34" t="inlineStr">
        <is>
          <t>2026-04-06</t>
        </is>
      </c>
      <c r="H133" t="n">
        <v>10955</v>
      </c>
      <c r="J133" t="n">
        <v>22968.25</v>
      </c>
    </row>
    <row r="134">
      <c r="G134" s="34" t="inlineStr">
        <is>
          <t>2026-04-02</t>
        </is>
      </c>
      <c r="H134" t="n">
        <v>10620</v>
      </c>
      <c r="J134" t="n">
        <v>22713.1</v>
      </c>
    </row>
    <row r="135">
      <c r="G135" s="34" t="inlineStr">
        <is>
          <t>2026-04-01</t>
        </is>
      </c>
      <c r="H135" t="n">
        <v>10714</v>
      </c>
      <c r="J135" t="n">
        <v>22679.4</v>
      </c>
    </row>
    <row r="136">
      <c r="G136" s="34" t="inlineStr">
        <is>
          <t>2026-03-30</t>
        </is>
      </c>
      <c r="H136" t="n">
        <v>10745</v>
      </c>
      <c r="J136" t="n">
        <v>22331.4</v>
      </c>
    </row>
    <row r="137">
      <c r="G137" s="34" t="inlineStr">
        <is>
          <t>2026-03-27</t>
        </is>
      </c>
      <c r="H137" t="n">
        <v>11049</v>
      </c>
      <c r="J137" t="n">
        <v>22819.6</v>
      </c>
    </row>
    <row r="138">
      <c r="G138" s="34" t="inlineStr">
        <is>
          <t>2026-03-25</t>
        </is>
      </c>
      <c r="H138" t="n">
        <v>11204</v>
      </c>
      <c r="J138" t="n">
        <v>23306.45</v>
      </c>
    </row>
    <row r="139">
      <c r="G139" s="34" t="inlineStr">
        <is>
          <t>2026-03-24</t>
        </is>
      </c>
      <c r="H139" t="n">
        <v>10764</v>
      </c>
      <c r="J139" t="n">
        <v>22912.4</v>
      </c>
    </row>
    <row r="140">
      <c r="G140" s="34" t="inlineStr">
        <is>
          <t>2026-03-23</t>
        </is>
      </c>
      <c r="H140" t="n">
        <v>10362</v>
      </c>
      <c r="J140" t="n">
        <v>22512.65</v>
      </c>
    </row>
    <row r="141">
      <c r="G141" s="34" t="inlineStr">
        <is>
          <t>2026-03-20</t>
        </is>
      </c>
      <c r="H141" t="n">
        <v>10934</v>
      </c>
      <c r="J141" t="n">
        <v>23114.5</v>
      </c>
    </row>
    <row r="142">
      <c r="G142" s="34" t="inlineStr">
        <is>
          <t>2026-03-19</t>
        </is>
      </c>
      <c r="H142" t="n">
        <v>10814</v>
      </c>
      <c r="J142" t="n">
        <v>23002.15</v>
      </c>
    </row>
    <row r="143">
      <c r="G143" s="34" t="inlineStr">
        <is>
          <t>2026-03-18</t>
        </is>
      </c>
      <c r="H143" t="n">
        <v>11247</v>
      </c>
      <c r="J143" t="n">
        <v>23777.8</v>
      </c>
    </row>
    <row r="144">
      <c r="G144" s="34" t="inlineStr">
        <is>
          <t>2026-03-17</t>
        </is>
      </c>
      <c r="H144" t="n">
        <v>11116</v>
      </c>
      <c r="J144" t="n">
        <v>23581.15</v>
      </c>
    </row>
    <row r="145">
      <c r="G145" s="34" t="inlineStr">
        <is>
          <t>2026-03-16</t>
        </is>
      </c>
      <c r="H145" t="n">
        <v>11099</v>
      </c>
      <c r="J145" t="n">
        <v>23408.8</v>
      </c>
    </row>
    <row r="146">
      <c r="G146" s="34" t="inlineStr">
        <is>
          <t>2026-03-13</t>
        </is>
      </c>
      <c r="H146" t="n">
        <v>10616</v>
      </c>
      <c r="J146" t="n">
        <v>23151.1</v>
      </c>
    </row>
    <row r="147">
      <c r="G147" s="34" t="inlineStr">
        <is>
          <t>2026-03-12</t>
        </is>
      </c>
      <c r="H147" t="n">
        <v>11089</v>
      </c>
      <c r="J147" t="n">
        <v>23639.15</v>
      </c>
    </row>
    <row r="148">
      <c r="G148" s="34" t="inlineStr">
        <is>
          <t>2026-03-11</t>
        </is>
      </c>
      <c r="H148" t="n">
        <v>11462</v>
      </c>
      <c r="J148" t="n">
        <v>23866.85</v>
      </c>
    </row>
    <row r="149">
      <c r="G149" s="34" t="inlineStr">
        <is>
          <t>2026-03-10</t>
        </is>
      </c>
      <c r="H149" t="n">
        <v>11654</v>
      </c>
      <c r="J149" t="n">
        <v>24261.6</v>
      </c>
    </row>
    <row r="150">
      <c r="G150" s="34" t="inlineStr">
        <is>
          <t>2026-03-09</t>
        </is>
      </c>
      <c r="H150" t="n">
        <v>11378</v>
      </c>
      <c r="J150" t="n">
        <v>24028.05</v>
      </c>
    </row>
    <row r="151">
      <c r="G151" s="34" t="inlineStr">
        <is>
          <t>2026-03-06</t>
        </is>
      </c>
      <c r="H151" t="n">
        <v>11987</v>
      </c>
      <c r="J151" t="n">
        <v>24450.45</v>
      </c>
    </row>
    <row r="152">
      <c r="G152" s="34" t="inlineStr">
        <is>
          <t>2026-03-05</t>
        </is>
      </c>
      <c r="H152" t="n">
        <v>12288</v>
      </c>
      <c r="J152" t="n">
        <v>24765.9</v>
      </c>
    </row>
    <row r="153">
      <c r="G153" s="34" t="inlineStr">
        <is>
          <t>2026-03-04</t>
        </is>
      </c>
      <c r="H153" t="n">
        <v>12107</v>
      </c>
      <c r="J153" t="n">
        <v>24480.5</v>
      </c>
    </row>
    <row r="154">
      <c r="G154" s="34" t="inlineStr">
        <is>
          <t>2026-03-02</t>
        </is>
      </c>
      <c r="H154" t="n">
        <v>12521</v>
      </c>
      <c r="J154" t="n">
        <v>24865.7</v>
      </c>
    </row>
    <row r="155">
      <c r="G155" s="34" t="inlineStr">
        <is>
          <t>2026-02-27</t>
        </is>
      </c>
      <c r="H155" t="n">
        <v>12677</v>
      </c>
      <c r="J155" t="n">
        <v>25178.65</v>
      </c>
    </row>
    <row r="156">
      <c r="G156" s="34" t="inlineStr">
        <is>
          <t>2026-02-26</t>
        </is>
      </c>
      <c r="H156" t="n">
        <v>12937</v>
      </c>
      <c r="J156" t="n">
        <v>25496.55</v>
      </c>
    </row>
    <row r="157">
      <c r="G157" s="34" t="inlineStr">
        <is>
          <t>2026-02-25</t>
        </is>
      </c>
      <c r="H157" t="n">
        <v>13041</v>
      </c>
      <c r="J157" t="n">
        <v>25482.5</v>
      </c>
    </row>
    <row r="158">
      <c r="G158" s="34" t="inlineStr">
        <is>
          <t>2026-02-24</t>
        </is>
      </c>
      <c r="H158" t="n">
        <v>12960</v>
      </c>
      <c r="J158" t="n">
        <v>25424.65</v>
      </c>
    </row>
    <row r="159">
      <c r="G159" s="34" t="inlineStr">
        <is>
          <t>2026-02-23</t>
        </is>
      </c>
      <c r="H159" t="n">
        <v>12976</v>
      </c>
      <c r="J159" t="n">
        <v>25713</v>
      </c>
    </row>
    <row r="160">
      <c r="G160" s="34" t="inlineStr">
        <is>
          <t>2026-02-20</t>
        </is>
      </c>
      <c r="H160" t="n">
        <v>12766</v>
      </c>
      <c r="J160" t="n">
        <v>25571.25</v>
      </c>
    </row>
    <row r="161">
      <c r="G161" s="34" t="inlineStr">
        <is>
          <t>2026-02-19</t>
        </is>
      </c>
      <c r="H161" t="n">
        <v>12688</v>
      </c>
      <c r="J161" t="n">
        <v>25454.35</v>
      </c>
    </row>
    <row r="162">
      <c r="G162" s="34" t="inlineStr">
        <is>
          <t>2026-02-18</t>
        </is>
      </c>
      <c r="H162" t="n">
        <v>13052</v>
      </c>
      <c r="J162" t="n">
        <v>25819.35</v>
      </c>
    </row>
    <row r="163">
      <c r="G163" s="34" t="inlineStr">
        <is>
          <t>2026-02-17</t>
        </is>
      </c>
      <c r="H163" t="n">
        <v>12984</v>
      </c>
      <c r="J163" t="n">
        <v>25725.4</v>
      </c>
    </row>
    <row r="164">
      <c r="G164" s="34" t="inlineStr">
        <is>
          <t>2026-02-16</t>
        </is>
      </c>
      <c r="H164" t="n">
        <v>12981</v>
      </c>
      <c r="J164" t="n">
        <v>25682.75</v>
      </c>
    </row>
    <row r="165">
      <c r="G165" s="34" t="inlineStr">
        <is>
          <t>2026-02-13</t>
        </is>
      </c>
      <c r="H165" t="n">
        <v>12963</v>
      </c>
      <c r="J165" t="n">
        <v>25471.1</v>
      </c>
    </row>
    <row r="166">
      <c r="G166" s="34" t="inlineStr">
        <is>
          <t>2026-02-12</t>
        </is>
      </c>
      <c r="H166" t="n">
        <v>13029</v>
      </c>
      <c r="J166" t="n">
        <v>25807.2</v>
      </c>
    </row>
    <row r="167">
      <c r="G167" s="34" t="inlineStr">
        <is>
          <t>2026-02-11</t>
        </is>
      </c>
      <c r="H167" t="n">
        <v>12969</v>
      </c>
      <c r="J167" t="n">
        <v>25953.85</v>
      </c>
    </row>
    <row r="168">
      <c r="G168" s="34" t="inlineStr">
        <is>
          <t>2026-02-10</t>
        </is>
      </c>
      <c r="H168" t="n">
        <v>13023</v>
      </c>
      <c r="J168" t="n">
        <v>25935.15</v>
      </c>
    </row>
    <row r="169">
      <c r="G169" s="34" t="inlineStr">
        <is>
          <t>2026-02-09</t>
        </is>
      </c>
      <c r="H169" t="n">
        <v>13048</v>
      </c>
      <c r="J169" t="n">
        <v>25867.3</v>
      </c>
    </row>
    <row r="170">
      <c r="G170" s="34" t="inlineStr">
        <is>
          <t>2026-02-06</t>
        </is>
      </c>
      <c r="H170" t="n">
        <v>12722</v>
      </c>
      <c r="J170" t="n">
        <v>25693.7</v>
      </c>
    </row>
    <row r="171">
      <c r="G171" s="34" t="inlineStr">
        <is>
          <t>2026-02-05</t>
        </is>
      </c>
      <c r="H171" t="n">
        <v>12773</v>
      </c>
      <c r="J171" t="n">
        <v>25642.8</v>
      </c>
    </row>
    <row r="172">
      <c r="G172" s="34" t="inlineStr">
        <is>
          <t>2026-02-04</t>
        </is>
      </c>
      <c r="H172" t="n">
        <v>12806</v>
      </c>
      <c r="J172" t="n">
        <v>25776</v>
      </c>
    </row>
    <row r="173">
      <c r="G173" s="34" t="inlineStr">
        <is>
          <t>2026-02-03</t>
        </is>
      </c>
      <c r="H173" t="n">
        <v>12590</v>
      </c>
      <c r="J173" t="n">
        <v>25727.55</v>
      </c>
    </row>
    <row r="174">
      <c r="G174" s="34" t="inlineStr">
        <is>
          <t>2026-02-02</t>
        </is>
      </c>
      <c r="H174" t="n">
        <v>12535</v>
      </c>
      <c r="J174" t="n">
        <v>25088.4</v>
      </c>
    </row>
    <row r="175">
      <c r="G175" s="34" t="inlineStr">
        <is>
          <t>2026-02-01</t>
        </is>
      </c>
      <c r="H175" t="n">
        <v>12284</v>
      </c>
      <c r="J175" t="n">
        <v>25320.65</v>
      </c>
    </row>
    <row r="176">
      <c r="G176" s="34" t="inlineStr">
        <is>
          <t>2026-01-30</t>
        </is>
      </c>
      <c r="H176" t="n">
        <v>12694</v>
      </c>
      <c r="J176" t="n">
        <v>25320.65</v>
      </c>
    </row>
    <row r="177">
      <c r="G177" s="34" t="inlineStr">
        <is>
          <t>2026-01-29</t>
        </is>
      </c>
      <c r="H177" t="n">
        <v>12717</v>
      </c>
      <c r="J177" t="n">
        <v>25418.9</v>
      </c>
    </row>
    <row r="178">
      <c r="G178" s="34" t="inlineStr">
        <is>
          <t>2026-01-28</t>
        </is>
      </c>
      <c r="H178" t="n">
        <v>12767</v>
      </c>
      <c r="J178" t="n">
        <v>25342.75</v>
      </c>
    </row>
    <row r="179">
      <c r="G179" s="34" t="inlineStr">
        <is>
          <t>2026-01-27</t>
        </is>
      </c>
      <c r="H179" t="n">
        <v>12589</v>
      </c>
      <c r="J179" t="n">
        <v>25175.4</v>
      </c>
    </row>
    <row r="180">
      <c r="G180" s="34" t="inlineStr">
        <is>
          <t>2026-01-23</t>
        </is>
      </c>
      <c r="H180" t="n">
        <v>12369</v>
      </c>
      <c r="J180" t="n">
        <v>25048.65</v>
      </c>
    </row>
    <row r="181">
      <c r="G181" s="34" t="inlineStr">
        <is>
          <t>2026-01-22</t>
        </is>
      </c>
      <c r="H181" t="n">
        <v>12364</v>
      </c>
      <c r="J181" t="n">
        <v>25289.9</v>
      </c>
    </row>
    <row r="182">
      <c r="G182" s="34" t="inlineStr">
        <is>
          <t>2026-01-21</t>
        </is>
      </c>
      <c r="H182" t="n">
        <v>12231</v>
      </c>
      <c r="J182" t="n">
        <v>25157.5</v>
      </c>
    </row>
    <row r="183">
      <c r="G183" s="34" t="inlineStr">
        <is>
          <t>2026-01-20</t>
        </is>
      </c>
      <c r="H183" t="n">
        <v>12059</v>
      </c>
      <c r="J183" t="n">
        <v>25232.5</v>
      </c>
    </row>
    <row r="184">
      <c r="G184" s="34" t="inlineStr">
        <is>
          <t>2026-01-19</t>
        </is>
      </c>
      <c r="H184" t="n">
        <v>12297</v>
      </c>
      <c r="J184" t="n">
        <v>25585.5</v>
      </c>
    </row>
    <row r="185">
      <c r="G185" s="34" t="inlineStr">
        <is>
          <t>2026-01-16</t>
        </is>
      </c>
      <c r="H185" t="n">
        <v>12378</v>
      </c>
      <c r="J185" t="n">
        <v>25694.35</v>
      </c>
    </row>
    <row r="186">
      <c r="G186" s="34" t="inlineStr">
        <is>
          <t>2026-01-14</t>
        </is>
      </c>
      <c r="H186" t="n">
        <v>12255</v>
      </c>
      <c r="J186" t="n">
        <v>25665.6</v>
      </c>
    </row>
    <row r="187">
      <c r="G187" s="34" t="inlineStr">
        <is>
          <t>2026-01-13</t>
        </is>
      </c>
      <c r="H187" t="n">
        <v>12044</v>
      </c>
      <c r="J187" t="n">
        <v>25732.3</v>
      </c>
    </row>
    <row r="188">
      <c r="G188" s="34" t="inlineStr">
        <is>
          <t>2026-01-12</t>
        </is>
      </c>
      <c r="H188" t="n">
        <v>12098</v>
      </c>
      <c r="J188" t="n">
        <v>25790.25</v>
      </c>
    </row>
    <row r="189">
      <c r="G189" s="34" t="inlineStr">
        <is>
          <t>2026-01-09</t>
        </is>
      </c>
      <c r="H189" t="n">
        <v>11937</v>
      </c>
      <c r="J189" t="n">
        <v>25683.3</v>
      </c>
    </row>
    <row r="190">
      <c r="G190" s="34" t="inlineStr">
        <is>
          <t>2026-01-08</t>
        </is>
      </c>
      <c r="H190" t="n">
        <v>12064</v>
      </c>
      <c r="J190" t="n">
        <v>25876.85</v>
      </c>
    </row>
    <row r="191">
      <c r="G191" s="34" t="inlineStr">
        <is>
          <t>2026-01-07</t>
        </is>
      </c>
      <c r="H191" t="n">
        <v>12184</v>
      </c>
      <c r="J191" t="n">
        <v>26140.75</v>
      </c>
    </row>
    <row r="192">
      <c r="G192" s="34" t="inlineStr">
        <is>
          <t>2026-01-06</t>
        </is>
      </c>
      <c r="H192" t="n">
        <v>12204</v>
      </c>
      <c r="J192" t="n">
        <v>26178.7</v>
      </c>
    </row>
    <row r="193">
      <c r="G193" s="34" t="inlineStr">
        <is>
          <t>2026-01-05</t>
        </is>
      </c>
      <c r="H193" t="n">
        <v>12087</v>
      </c>
      <c r="J193" t="n">
        <v>26250.3</v>
      </c>
    </row>
    <row r="194">
      <c r="G194" s="34" t="inlineStr">
        <is>
          <t>2026-01-02</t>
        </is>
      </c>
      <c r="H194" t="n">
        <v>11899</v>
      </c>
      <c r="J194" t="n">
        <v>26328.55</v>
      </c>
    </row>
    <row r="195">
      <c r="G195" s="34" t="inlineStr">
        <is>
          <t>2026-01-01</t>
        </is>
      </c>
      <c r="H195" t="n">
        <v>11901</v>
      </c>
      <c r="J195" t="n">
        <v>26146.55</v>
      </c>
    </row>
    <row r="196">
      <c r="G196" s="34" t="inlineStr">
        <is>
          <t>2025-12-31</t>
        </is>
      </c>
      <c r="H196" t="n">
        <v>11784</v>
      </c>
      <c r="J196" t="n">
        <v>26129.6</v>
      </c>
    </row>
    <row r="197">
      <c r="G197" s="34" t="inlineStr">
        <is>
          <t>2025-12-30</t>
        </is>
      </c>
      <c r="H197" t="n">
        <v>11705</v>
      </c>
      <c r="J197" t="n">
        <v>25938.85</v>
      </c>
    </row>
    <row r="198">
      <c r="G198" s="34" t="inlineStr">
        <is>
          <t>2025-12-29</t>
        </is>
      </c>
      <c r="H198" t="n">
        <v>11799</v>
      </c>
      <c r="J198" t="n">
        <v>25942.1</v>
      </c>
    </row>
    <row r="199">
      <c r="G199" s="34" t="inlineStr">
        <is>
          <t>2025-12-26</t>
        </is>
      </c>
      <c r="H199" t="n">
        <v>11794</v>
      </c>
      <c r="J199" t="n">
        <v>26042.3</v>
      </c>
    </row>
    <row r="200">
      <c r="G200" s="34" t="inlineStr">
        <is>
          <t>2025-12-24</t>
        </is>
      </c>
      <c r="H200" t="n">
        <v>11764</v>
      </c>
      <c r="J200" t="n">
        <v>26142.1</v>
      </c>
    </row>
    <row r="201">
      <c r="G201" s="34" t="inlineStr">
        <is>
          <t>2025-12-23</t>
        </is>
      </c>
      <c r="H201" t="n">
        <v>11678</v>
      </c>
      <c r="J201" t="n">
        <v>26177.15</v>
      </c>
    </row>
    <row r="202">
      <c r="G202" s="34" t="inlineStr">
        <is>
          <t>2025-12-22</t>
        </is>
      </c>
      <c r="H202" t="n">
        <v>11532</v>
      </c>
      <c r="J202" t="n">
        <v>26172.4</v>
      </c>
    </row>
    <row r="203">
      <c r="G203" s="34" t="inlineStr">
        <is>
          <t>2025-12-19</t>
        </is>
      </c>
      <c r="H203" t="n">
        <v>11496</v>
      </c>
      <c r="J203" t="n">
        <v>25966.4</v>
      </c>
    </row>
    <row r="204">
      <c r="G204" s="34" t="inlineStr">
        <is>
          <t>2025-12-18</t>
        </is>
      </c>
      <c r="H204" t="n">
        <v>11461</v>
      </c>
      <c r="J204" t="n">
        <v>25815.55</v>
      </c>
    </row>
    <row r="205">
      <c r="G205" s="34" t="inlineStr">
        <is>
          <t>2025-12-17</t>
        </is>
      </c>
      <c r="H205" t="n">
        <v>11540</v>
      </c>
      <c r="J205" t="n">
        <v>25818.55</v>
      </c>
    </row>
    <row r="206">
      <c r="G206" s="34" t="inlineStr">
        <is>
          <t>2025-12-16</t>
        </is>
      </c>
      <c r="H206" t="n">
        <v>11528</v>
      </c>
      <c r="J206" t="n">
        <v>25860.1</v>
      </c>
    </row>
    <row r="207">
      <c r="G207" s="34" t="inlineStr">
        <is>
          <t>2025-12-15</t>
        </is>
      </c>
      <c r="H207" t="n">
        <v>11728</v>
      </c>
      <c r="J207" t="n">
        <v>26027.3</v>
      </c>
    </row>
    <row r="208">
      <c r="G208" s="34" t="inlineStr">
        <is>
          <t>2025-12-12</t>
        </is>
      </c>
      <c r="H208" t="n">
        <v>11723</v>
      </c>
      <c r="J208" t="n">
        <v>26046.95</v>
      </c>
    </row>
    <row r="209">
      <c r="G209" s="34" t="inlineStr">
        <is>
          <t>2025-12-11</t>
        </is>
      </c>
      <c r="H209" t="n">
        <v>11472</v>
      </c>
      <c r="J209" t="n">
        <v>25898.55</v>
      </c>
    </row>
    <row r="210">
      <c r="G210" s="34" t="inlineStr">
        <is>
          <t>2025-12-10</t>
        </is>
      </c>
      <c r="H210" t="n">
        <v>11317</v>
      </c>
      <c r="J210" t="n">
        <v>25758</v>
      </c>
    </row>
    <row r="211">
      <c r="G211" s="34" t="inlineStr">
        <is>
          <t>2025-12-09</t>
        </is>
      </c>
      <c r="H211" t="n">
        <v>11414</v>
      </c>
      <c r="J211" t="n">
        <v>25839.65</v>
      </c>
    </row>
    <row r="212">
      <c r="G212" s="34" t="inlineStr">
        <is>
          <t>2025-12-08</t>
        </is>
      </c>
      <c r="H212" t="n">
        <v>11540</v>
      </c>
      <c r="J212" t="n">
        <v>25960.55</v>
      </c>
    </row>
    <row r="213">
      <c r="G213" s="34" t="inlineStr">
        <is>
          <t>2025-12-05</t>
        </is>
      </c>
      <c r="H213" t="n">
        <v>11597</v>
      </c>
      <c r="J213" t="n">
        <v>26186.45</v>
      </c>
    </row>
    <row r="214">
      <c r="G214" s="34" t="inlineStr">
        <is>
          <t>2025-12-04</t>
        </is>
      </c>
      <c r="H214" t="n">
        <v>11608</v>
      </c>
      <c r="J214" t="n">
        <v>26033.75</v>
      </c>
    </row>
    <row r="215">
      <c r="G215" s="34" t="inlineStr">
        <is>
          <t>2025-12-03</t>
        </is>
      </c>
      <c r="H215" t="n">
        <v>11591</v>
      </c>
      <c r="J215" t="n">
        <v>25986</v>
      </c>
    </row>
    <row r="216">
      <c r="G216" s="34" t="inlineStr">
        <is>
          <t>2025-12-02</t>
        </is>
      </c>
      <c r="H216" t="n">
        <v>11666</v>
      </c>
      <c r="J216" t="n">
        <v>26032.2</v>
      </c>
    </row>
    <row r="217">
      <c r="G217" s="34" t="inlineStr">
        <is>
          <t>2025-12-01</t>
        </is>
      </c>
      <c r="H217" t="n">
        <v>11662</v>
      </c>
      <c r="J217" t="n">
        <v>26175.75</v>
      </c>
    </row>
    <row r="218">
      <c r="G218" s="34" t="inlineStr">
        <is>
          <t>2025-11-28</t>
        </is>
      </c>
      <c r="H218" t="n">
        <v>11600</v>
      </c>
      <c r="J218" t="n">
        <v>26202.95</v>
      </c>
    </row>
    <row r="219">
      <c r="G219" s="34" t="inlineStr">
        <is>
          <t>2025-11-27</t>
        </is>
      </c>
      <c r="H219" t="n">
        <v>11617</v>
      </c>
      <c r="J219" t="n">
        <v>26215.55</v>
      </c>
    </row>
    <row r="220">
      <c r="G220" s="34" t="inlineStr">
        <is>
          <t>2025-11-26</t>
        </is>
      </c>
      <c r="H220" t="n">
        <v>11759</v>
      </c>
      <c r="J220" t="n">
        <v>26205.3</v>
      </c>
    </row>
    <row r="221">
      <c r="G221" s="34" t="inlineStr">
        <is>
          <t>2025-11-25</t>
        </is>
      </c>
      <c r="H221" t="n">
        <v>11580</v>
      </c>
      <c r="J221" t="n">
        <v>25884.8</v>
      </c>
    </row>
    <row r="222">
      <c r="G222" s="34" t="inlineStr">
        <is>
          <t>2025-11-24</t>
        </is>
      </c>
      <c r="H222" t="n">
        <v>11584</v>
      </c>
      <c r="J222" t="n">
        <v>25959.5</v>
      </c>
    </row>
    <row r="223">
      <c r="G223" s="34" t="inlineStr">
        <is>
          <t>2025-11-21</t>
        </is>
      </c>
      <c r="H223" t="n">
        <v>11729</v>
      </c>
      <c r="J223" t="n">
        <v>26068.15</v>
      </c>
    </row>
    <row r="224">
      <c r="G224" s="34" t="inlineStr">
        <is>
          <t>2025-11-20</t>
        </is>
      </c>
      <c r="H224" t="n">
        <v>11753</v>
      </c>
      <c r="J224" t="n">
        <v>26192.15</v>
      </c>
    </row>
    <row r="225">
      <c r="G225" s="34" t="inlineStr">
        <is>
          <t>2025-11-19</t>
        </is>
      </c>
      <c r="H225" t="n">
        <v>11666</v>
      </c>
      <c r="J225" t="n">
        <v>26052.65</v>
      </c>
    </row>
    <row r="226">
      <c r="G226" s="34" t="inlineStr">
        <is>
          <t>2025-11-18</t>
        </is>
      </c>
      <c r="H226" t="n">
        <v>11707</v>
      </c>
      <c r="J226" t="n">
        <v>25910.05</v>
      </c>
    </row>
    <row r="227">
      <c r="G227" s="34" t="inlineStr">
        <is>
          <t>2025-11-17</t>
        </is>
      </c>
      <c r="H227" t="n">
        <v>11778</v>
      </c>
      <c r="J227" t="n">
        <v>26013.45</v>
      </c>
    </row>
    <row r="228">
      <c r="G228" s="34" t="inlineStr">
        <is>
          <t>2025-11-14</t>
        </is>
      </c>
      <c r="H228" t="n">
        <v>11874</v>
      </c>
      <c r="J228" t="n">
        <v>25910.05</v>
      </c>
    </row>
    <row r="229">
      <c r="G229" s="34" t="inlineStr">
        <is>
          <t>2025-11-13</t>
        </is>
      </c>
      <c r="H229" t="n">
        <v>11934</v>
      </c>
      <c r="J229" t="n">
        <v>25879.15</v>
      </c>
    </row>
    <row r="230">
      <c r="G230" s="34" t="inlineStr">
        <is>
          <t>2025-11-12</t>
        </is>
      </c>
      <c r="H230" t="n">
        <v>11921</v>
      </c>
      <c r="J230" t="n">
        <v>25875.8</v>
      </c>
    </row>
    <row r="231">
      <c r="G231" s="34" t="inlineStr">
        <is>
          <t>2025-11-11</t>
        </is>
      </c>
      <c r="H231" t="n">
        <v>11825</v>
      </c>
      <c r="J231" t="n">
        <v>25694.95</v>
      </c>
    </row>
    <row r="232">
      <c r="G232" s="34" t="inlineStr">
        <is>
          <t>2025-11-10</t>
        </is>
      </c>
      <c r="H232" t="n">
        <v>11728</v>
      </c>
      <c r="J232" t="n">
        <v>25574.35</v>
      </c>
    </row>
    <row r="233">
      <c r="G233" s="34" t="inlineStr">
        <is>
          <t>2025-11-07</t>
        </is>
      </c>
      <c r="H233" t="n">
        <v>11849</v>
      </c>
      <c r="J233" t="n">
        <v>25492.3</v>
      </c>
    </row>
    <row r="234">
      <c r="G234" s="34" t="inlineStr">
        <is>
          <t>2025-11-06</t>
        </is>
      </c>
      <c r="H234" t="n">
        <v>11910</v>
      </c>
      <c r="J234" t="n">
        <v>25509.7</v>
      </c>
    </row>
    <row r="235">
      <c r="G235" s="34" t="inlineStr">
        <is>
          <t>2025-11-04</t>
        </is>
      </c>
      <c r="H235" t="n">
        <v>11819</v>
      </c>
      <c r="J235" t="n">
        <v>25597.65</v>
      </c>
    </row>
    <row r="236">
      <c r="G236" s="34" t="inlineStr">
        <is>
          <t>2025-11-03</t>
        </is>
      </c>
      <c r="H236" t="n">
        <v>11950</v>
      </c>
      <c r="J236" t="n">
        <v>25763.35</v>
      </c>
    </row>
    <row r="237">
      <c r="G237" s="34" t="inlineStr">
        <is>
          <t>2025-10-31</t>
        </is>
      </c>
      <c r="H237" t="n">
        <v>11947</v>
      </c>
      <c r="J237" t="n">
        <v>25722.1</v>
      </c>
    </row>
    <row r="238">
      <c r="G238" s="34" t="inlineStr">
        <is>
          <t>2025-10-30</t>
        </is>
      </c>
      <c r="H238" t="n">
        <v>12053</v>
      </c>
      <c r="J238" t="n">
        <v>25877.85</v>
      </c>
    </row>
    <row r="239">
      <c r="G239" s="34" t="inlineStr">
        <is>
          <t>2025-10-29</t>
        </is>
      </c>
      <c r="H239" t="n">
        <v>11999</v>
      </c>
      <c r="J239" t="n">
        <v>26053.9</v>
      </c>
    </row>
    <row r="240">
      <c r="G240" s="34" t="inlineStr">
        <is>
          <t>2025-10-28</t>
        </is>
      </c>
      <c r="H240" t="n">
        <v>11931</v>
      </c>
      <c r="J240" t="n">
        <v>25936.2</v>
      </c>
    </row>
    <row r="241">
      <c r="G241" s="34" t="inlineStr">
        <is>
          <t>2025-10-27</t>
        </is>
      </c>
      <c r="H241" t="n">
        <v>12015</v>
      </c>
      <c r="J241" t="n">
        <v>25966.05</v>
      </c>
    </row>
    <row r="242">
      <c r="G242" s="34" t="inlineStr">
        <is>
          <t>2025-10-24</t>
        </is>
      </c>
      <c r="H242" t="n">
        <v>11918</v>
      </c>
      <c r="J242" t="n">
        <v>25795.15</v>
      </c>
    </row>
    <row r="243">
      <c r="G243" s="34" t="inlineStr">
        <is>
          <t>2025-10-23</t>
        </is>
      </c>
      <c r="H243" t="n">
        <v>12145</v>
      </c>
      <c r="J243" t="n">
        <v>25891.4</v>
      </c>
    </row>
    <row r="244">
      <c r="G244" s="34" t="inlineStr">
        <is>
          <t>2025-10-21</t>
        </is>
      </c>
      <c r="H244" t="n">
        <v>12342</v>
      </c>
      <c r="J244" t="n">
        <v>25868.6</v>
      </c>
    </row>
    <row r="245">
      <c r="G245" s="34" t="inlineStr">
        <is>
          <t>2025-10-20</t>
        </is>
      </c>
      <c r="H245" t="n">
        <v>12346</v>
      </c>
      <c r="J245" t="n">
        <v>25843.15</v>
      </c>
    </row>
    <row r="246">
      <c r="G246" s="34" t="inlineStr">
        <is>
          <t>2025-10-17</t>
        </is>
      </c>
      <c r="H246" t="n">
        <v>12370</v>
      </c>
      <c r="J246" t="n">
        <v>25709.85</v>
      </c>
    </row>
    <row r="247">
      <c r="G247" s="34" t="inlineStr">
        <is>
          <t>2025-10-16</t>
        </is>
      </c>
      <c r="H247" t="n">
        <v>12358</v>
      </c>
      <c r="J247" t="n">
        <v>25585.3</v>
      </c>
    </row>
    <row r="248">
      <c r="G248" s="34" t="inlineStr">
        <is>
          <t>2025-10-15</t>
        </is>
      </c>
      <c r="H248" t="n">
        <v>12311</v>
      </c>
      <c r="J248" t="n">
        <v>25323.55</v>
      </c>
    </row>
    <row r="249">
      <c r="G249" s="161" t="inlineStr">
        <is>
          <t>2025-10-14</t>
        </is>
      </c>
      <c r="H249" t="n">
        <v>12070</v>
      </c>
      <c r="J249" t="n">
        <v>25145.5</v>
      </c>
    </row>
    <row r="250">
      <c r="G250" s="161" t="inlineStr">
        <is>
          <t>2025-10-13</t>
        </is>
      </c>
      <c r="H250" t="n">
        <v>12172</v>
      </c>
      <c r="J250" t="n">
        <v>25227.35</v>
      </c>
    </row>
    <row r="251">
      <c r="G251" s="161" t="inlineStr">
        <is>
          <t>2025-10-10</t>
        </is>
      </c>
      <c r="H251" t="n">
        <v>12281</v>
      </c>
      <c r="J251" t="n">
        <v>25285.35</v>
      </c>
    </row>
    <row r="252">
      <c r="G252" s="161" t="inlineStr">
        <is>
          <t>2025-10-09</t>
        </is>
      </c>
      <c r="H252" t="n">
        <v>12192</v>
      </c>
      <c r="J252" t="n">
        <v>25181.8</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AMBUJACEM</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JKCEMENT</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GRASIM</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DALBHARAT</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ACC</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JSWSTEEL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HINDZINC</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TATASTEEL</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UltraTech commissions 116.55-MW wind project; 1st Indian co to hit 2 GW captive green power capacity</t>
        </is>
      </c>
    </row>
    <row r="38"/>
    <row r="39">
      <c r="A39" t="inlineStr">
        <is>
          <t>•</t>
        </is>
      </c>
      <c r="B39" s="184" t="inlineStr">
        <is>
          <t>UltraTech Cement comes up with a record June quarter, profit surges 17%</t>
        </is>
      </c>
    </row>
    <row r="40"/>
    <row r="41">
      <c r="A41" t="inlineStr">
        <is>
          <t>•</t>
        </is>
      </c>
      <c r="B41" s="184" t="inlineStr">
        <is>
          <t>Pilani Investment to sell 1.7 million UltraTech Cement shares for ₹1,908 crore</t>
        </is>
      </c>
    </row>
    <row r="42"/>
    <row r="43">
      <c r="A43" t="inlineStr">
        <is>
          <t>•</t>
        </is>
      </c>
      <c r="B43" s="184" t="inlineStr">
        <is>
          <t>Stocks in news: UltraTech Cement, Tata Motors PV, Axis Bank, Apollo Hospitals and Ircon</t>
        </is>
      </c>
    </row>
    <row r="44"/>
    <row r="45">
      <c r="A45" t="inlineStr">
        <is>
          <t>•</t>
        </is>
      </c>
      <c r="B45" s="184" t="inlineStr">
        <is>
          <t>UltraTech Cement Q1 Results: Cons profit jumps 17% YoY to Rs 2,599 crore; revenue rises 16%</t>
        </is>
      </c>
    </row>
    <row r="46"/>
    <row r="47">
      <c r="A47" t="inlineStr">
        <is>
          <t>•</t>
        </is>
      </c>
      <c r="B47" s="184" t="inlineStr">
        <is>
          <t>ULTRATECH CEMENT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UltraTech commissions 116.55-MW wind project; 1st Indian co to hit 2 GW captive green power capacity</t>
        </is>
      </c>
    </row>
    <row r="37"/>
    <row r="38" ht="14.4" customHeight="1" s="176">
      <c r="A38" t="inlineStr">
        <is>
          <t>•</t>
        </is>
      </c>
      <c r="B38" s="184" t="inlineStr">
        <is>
          <t>UltraTech Cement comes up with a record June quarter, profit surges 17%</t>
        </is>
      </c>
    </row>
    <row r="39"/>
    <row r="40" ht="20.4" customHeight="1" s="176">
      <c r="A40" t="inlineStr">
        <is>
          <t>•</t>
        </is>
      </c>
      <c r="B40" s="184" t="inlineStr">
        <is>
          <t>Pilani Investment to sell 1.7 million UltraTech Cement shares for ₹1,908 crore</t>
        </is>
      </c>
    </row>
    <row r="41"/>
    <row r="42">
      <c r="A42" t="inlineStr">
        <is>
          <t>•</t>
        </is>
      </c>
      <c r="B42" s="184" t="inlineStr">
        <is>
          <t>Stocks in news: UltraTech Cement, Tata Motors PV, Axis Bank, Apollo Hospitals and Ircon</t>
        </is>
      </c>
    </row>
    <row r="43"/>
    <row r="44">
      <c r="A44" t="inlineStr">
        <is>
          <t>•</t>
        </is>
      </c>
      <c r="B44" s="184" t="inlineStr">
        <is>
          <t>UltraTech Cement Q1 Results: Cons profit jumps 17% YoY to Rs 2,599 crore; revenue rises 16%</t>
        </is>
      </c>
    </row>
    <row r="45"/>
    <row r="46">
      <c r="A46" t="inlineStr">
        <is>
          <t>•</t>
        </is>
      </c>
      <c r="B46" s="184" t="inlineStr">
        <is>
          <t>ULTRATECH CEMENT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23306</v>
      </c>
      <c r="T4" s="73" t="n">
        <v>25153</v>
      </c>
      <c r="U4" s="73" t="n">
        <v>25375</v>
      </c>
      <c r="V4" s="73" t="n">
        <v>30979</v>
      </c>
      <c r="W4" s="73" t="n">
        <v>41462</v>
      </c>
      <c r="X4" s="73" t="n">
        <v>42430</v>
      </c>
      <c r="Y4" s="73" t="n">
        <v>44726</v>
      </c>
      <c r="Z4" s="73" t="n">
        <v>52599</v>
      </c>
      <c r="AA4" s="73" t="n">
        <v>63240</v>
      </c>
      <c r="AB4" s="73" t="n">
        <v>70908</v>
      </c>
      <c r="AC4" s="73" t="n">
        <v>75955</v>
      </c>
      <c r="AD4" s="73" t="n">
        <v>88512</v>
      </c>
      <c r="AE4" s="73" t="n">
        <v>91884</v>
      </c>
    </row>
    <row r="5">
      <c r="B5" s="35" t="inlineStr">
        <is>
          <t>Equity Capital</t>
        </is>
      </c>
      <c r="C5" t="n">
        <v>274</v>
      </c>
      <c r="D5" s="47" t="n">
        <v>274</v>
      </c>
      <c r="E5" s="47" t="n">
        <v>275</v>
      </c>
      <c r="F5" s="47" t="n">
        <v>275</v>
      </c>
      <c r="G5" s="47" t="n">
        <v>275</v>
      </c>
      <c r="H5" s="47" t="n">
        <v>289</v>
      </c>
      <c r="I5" s="47" t="n">
        <v>289</v>
      </c>
      <c r="J5" s="47" t="n">
        <v>289</v>
      </c>
      <c r="K5" s="47" t="n">
        <v>289</v>
      </c>
      <c r="L5" s="47" t="n">
        <v>289</v>
      </c>
      <c r="M5" s="47" t="n">
        <v>295</v>
      </c>
      <c r="N5" s="47" t="n">
        <v>295</v>
      </c>
      <c r="R5" t="inlineStr">
        <is>
          <t>Expenses +</t>
        </is>
      </c>
      <c r="S5" s="73" t="n">
        <v>18881</v>
      </c>
      <c r="T5" s="73" t="n">
        <v>20252</v>
      </c>
      <c r="U5" s="73" t="n">
        <v>20162</v>
      </c>
      <c r="V5" s="73" t="n">
        <v>24834</v>
      </c>
      <c r="W5" s="73" t="n">
        <v>34115</v>
      </c>
      <c r="X5" s="73" t="n">
        <v>33184</v>
      </c>
      <c r="Y5" s="73" t="n">
        <v>33158</v>
      </c>
      <c r="Z5" s="73" t="n">
        <v>41084</v>
      </c>
      <c r="AA5" s="73" t="n">
        <v>52620</v>
      </c>
      <c r="AB5" s="73" t="n">
        <v>57930</v>
      </c>
      <c r="AC5" s="73" t="n">
        <v>63408</v>
      </c>
      <c r="AD5" s="73" t="n">
        <v>71507</v>
      </c>
      <c r="AE5" s="73" t="n">
        <v>74270</v>
      </c>
    </row>
    <row r="6">
      <c r="B6" t="inlineStr">
        <is>
          <t>Reserves</t>
        </is>
      </c>
      <c r="C6" s="73" t="n">
        <v>18767</v>
      </c>
      <c r="D6" s="73" t="n">
        <v>21671</v>
      </c>
      <c r="E6" s="73" t="n">
        <v>24117</v>
      </c>
      <c r="F6" s="73" t="n">
        <v>26107</v>
      </c>
      <c r="G6" s="73" t="n">
        <v>33476</v>
      </c>
      <c r="H6" s="73" t="n">
        <v>38755</v>
      </c>
      <c r="I6" s="73" t="n">
        <v>43886</v>
      </c>
      <c r="J6" s="73" t="n">
        <v>50147</v>
      </c>
      <c r="K6" s="73" t="n">
        <v>54036</v>
      </c>
      <c r="L6" s="73" t="n">
        <v>59939</v>
      </c>
      <c r="M6" s="73" t="n">
        <v>70412</v>
      </c>
      <c r="N6" s="73" t="n">
        <v>76329</v>
      </c>
      <c r="O6" s="73" t="n"/>
      <c r="R6" t="inlineStr">
        <is>
          <t>Operating Profit</t>
        </is>
      </c>
      <c r="S6" s="73" t="n">
        <v>4425</v>
      </c>
      <c r="T6" s="73" t="n">
        <v>4901</v>
      </c>
      <c r="U6" s="73" t="n">
        <v>5212</v>
      </c>
      <c r="V6" s="73" t="n">
        <v>6145</v>
      </c>
      <c r="W6" s="73" t="n">
        <v>7347</v>
      </c>
      <c r="X6" s="73" t="n">
        <v>9246</v>
      </c>
      <c r="Y6" s="73" t="n">
        <v>11568</v>
      </c>
      <c r="Z6" s="73" t="n">
        <v>11514</v>
      </c>
      <c r="AA6" s="73" t="n">
        <v>10620</v>
      </c>
      <c r="AB6" s="73" t="n">
        <v>12979</v>
      </c>
      <c r="AC6" s="73" t="n">
        <v>12547</v>
      </c>
      <c r="AD6" s="73" t="n">
        <v>17004</v>
      </c>
      <c r="AE6" s="73" t="n">
        <v>17614</v>
      </c>
    </row>
    <row r="7">
      <c r="B7" s="73" t="inlineStr">
        <is>
          <t>Borrowings -</t>
        </is>
      </c>
      <c r="C7" s="73" t="n">
        <v>9829</v>
      </c>
      <c r="D7" s="73" t="n">
        <v>10616</v>
      </c>
      <c r="E7" s="73" t="n">
        <v>8474</v>
      </c>
      <c r="F7" s="73" t="n">
        <v>19480</v>
      </c>
      <c r="G7" s="73" t="n">
        <v>25337</v>
      </c>
      <c r="H7" s="73" t="n">
        <v>23019</v>
      </c>
      <c r="I7" s="73" t="n">
        <v>21719</v>
      </c>
      <c r="J7" s="73" t="n">
        <v>11299</v>
      </c>
      <c r="K7" s="73" t="n">
        <v>11058</v>
      </c>
      <c r="L7" s="73" t="n">
        <v>11403</v>
      </c>
      <c r="M7" s="73" t="n">
        <v>24102</v>
      </c>
      <c r="N7" s="73" t="n">
        <v>23755</v>
      </c>
      <c r="O7" s="73" t="n"/>
      <c r="R7" t="inlineStr">
        <is>
          <t>OPM %</t>
        </is>
      </c>
      <c r="S7" s="75" t="n">
        <v>19</v>
      </c>
      <c r="T7" s="75" t="n">
        <v>19</v>
      </c>
      <c r="U7" s="75" t="n">
        <v>21</v>
      </c>
      <c r="V7" s="75" t="n">
        <v>20</v>
      </c>
      <c r="W7" s="75" t="n">
        <v>18</v>
      </c>
      <c r="X7" s="75" t="n">
        <v>22</v>
      </c>
      <c r="Y7" s="75" t="n">
        <v>26</v>
      </c>
      <c r="Z7" s="75" t="n">
        <v>22</v>
      </c>
      <c r="AA7" s="75" t="n">
        <v>17</v>
      </c>
      <c r="AB7" s="75" t="n">
        <v>18</v>
      </c>
      <c r="AC7" s="75" t="n">
        <v>17</v>
      </c>
      <c r="AD7" s="75" t="n">
        <v>19</v>
      </c>
      <c r="AE7" s="75" t="n">
        <v>19</v>
      </c>
    </row>
    <row r="8">
      <c r="B8" s="73" t="inlineStr">
        <is>
          <t>Long term Borrowings</t>
        </is>
      </c>
      <c r="C8" s="73" t="n">
        <v>4993</v>
      </c>
      <c r="D8" s="73" t="n">
        <v>4897</v>
      </c>
      <c r="E8" s="73" t="n">
        <v>6371</v>
      </c>
      <c r="F8" s="73" t="n">
        <v>15863</v>
      </c>
      <c r="G8" s="73" t="n">
        <v>20650</v>
      </c>
      <c r="H8" s="73" t="n">
        <v>17368</v>
      </c>
      <c r="I8" s="73" t="n">
        <v>13548</v>
      </c>
      <c r="J8" s="73" t="n">
        <v>5303</v>
      </c>
      <c r="K8" s="73" t="n">
        <v>5356</v>
      </c>
      <c r="L8" s="73" t="n">
        <v>5308</v>
      </c>
      <c r="M8" s="73" t="n">
        <v>15781</v>
      </c>
      <c r="N8" s="73" t="n">
        <v>15019</v>
      </c>
      <c r="R8" t="inlineStr">
        <is>
          <t>Other Income +</t>
        </is>
      </c>
      <c r="S8" s="73" t="n">
        <v>350</v>
      </c>
      <c r="T8" s="73" t="n">
        <v>464</v>
      </c>
      <c r="U8" s="73" t="n">
        <v>648</v>
      </c>
      <c r="V8" s="73" t="n">
        <v>242</v>
      </c>
      <c r="W8" s="73" t="n">
        <v>350</v>
      </c>
      <c r="X8" s="73" t="n">
        <v>651</v>
      </c>
      <c r="Y8" s="73" t="n">
        <v>619</v>
      </c>
      <c r="Z8" s="73" t="n">
        <v>669</v>
      </c>
      <c r="AA8" s="73" t="n">
        <v>507</v>
      </c>
      <c r="AB8" s="73" t="n">
        <v>557</v>
      </c>
      <c r="AC8" s="73" t="n">
        <v>647</v>
      </c>
      <c r="AD8" s="73" t="n">
        <v>439</v>
      </c>
      <c r="AE8" s="73" t="n">
        <v>416</v>
      </c>
    </row>
    <row r="9">
      <c r="B9" t="inlineStr">
        <is>
          <t>Short term Borrowings</t>
        </is>
      </c>
      <c r="C9" t="n">
        <v>2564</v>
      </c>
      <c r="D9" t="n">
        <v>2476</v>
      </c>
      <c r="E9" t="n">
        <v>1079</v>
      </c>
      <c r="F9" t="n">
        <v>2763</v>
      </c>
      <c r="G9" t="n">
        <v>3668</v>
      </c>
      <c r="H9" t="n">
        <v>4106</v>
      </c>
      <c r="I9" t="n">
        <v>6939</v>
      </c>
      <c r="J9" t="n">
        <v>4900</v>
      </c>
      <c r="K9" t="n">
        <v>4544</v>
      </c>
      <c r="L9" t="n">
        <v>4991</v>
      </c>
      <c r="M9" t="n">
        <v>7250</v>
      </c>
      <c r="N9" s="73" t="n">
        <v>7762</v>
      </c>
      <c r="R9" t="inlineStr">
        <is>
          <t>Interest</t>
        </is>
      </c>
      <c r="S9" t="n">
        <v>587</v>
      </c>
      <c r="T9" t="n">
        <v>566</v>
      </c>
      <c r="U9" t="n">
        <v>640</v>
      </c>
      <c r="V9" t="n">
        <v>1238</v>
      </c>
      <c r="W9" t="n">
        <v>1778</v>
      </c>
      <c r="X9" t="n">
        <v>1992</v>
      </c>
      <c r="Y9" t="n">
        <v>1486</v>
      </c>
      <c r="Z9" t="n">
        <v>945</v>
      </c>
      <c r="AA9" t="n">
        <v>823</v>
      </c>
      <c r="AB9" t="n">
        <v>968</v>
      </c>
      <c r="AC9" t="n">
        <v>1651</v>
      </c>
      <c r="AD9" t="n">
        <v>1872</v>
      </c>
      <c r="AE9" t="n">
        <v>1891</v>
      </c>
    </row>
    <row r="10">
      <c r="B10" t="inlineStr">
        <is>
          <t>Lease Liabilities</t>
        </is>
      </c>
      <c r="C10" t="n">
        <v>0</v>
      </c>
      <c r="D10" t="n">
        <v>0</v>
      </c>
      <c r="E10" t="n">
        <v>0</v>
      </c>
      <c r="F10" t="n">
        <v>0</v>
      </c>
      <c r="G10" t="n">
        <v>0</v>
      </c>
      <c r="H10" t="n">
        <v>0</v>
      </c>
      <c r="I10" t="n">
        <v>1232</v>
      </c>
      <c r="J10" t="n">
        <v>1096</v>
      </c>
      <c r="K10" t="n">
        <v>1157</v>
      </c>
      <c r="L10" t="n">
        <v>1105</v>
      </c>
      <c r="M10" t="n">
        <v>1071</v>
      </c>
      <c r="N10" t="n">
        <v>974</v>
      </c>
      <c r="O10" s="73" t="n"/>
      <c r="R10" t="inlineStr">
        <is>
          <t>Depreciation</t>
        </is>
      </c>
      <c r="S10" s="73" t="n">
        <v>1203</v>
      </c>
      <c r="T10" s="73" t="n">
        <v>1377</v>
      </c>
      <c r="U10" s="73" t="n">
        <v>1348</v>
      </c>
      <c r="V10" s="73" t="n">
        <v>1848</v>
      </c>
      <c r="W10" s="73" t="n">
        <v>2451</v>
      </c>
      <c r="X10" s="73" t="n">
        <v>2723</v>
      </c>
      <c r="Y10" s="73" t="n">
        <v>2700</v>
      </c>
      <c r="Z10" s="73" t="n">
        <v>2715</v>
      </c>
      <c r="AA10" s="73" t="n">
        <v>2888</v>
      </c>
      <c r="AB10" s="73" t="n">
        <v>3145</v>
      </c>
      <c r="AC10" s="73" t="n">
        <v>4015</v>
      </c>
      <c r="AD10" s="73" t="n">
        <v>4644</v>
      </c>
      <c r="AE10" s="73" t="n">
        <v>4738</v>
      </c>
    </row>
    <row r="11">
      <c r="B11" s="73" t="inlineStr">
        <is>
          <t>Other Borrowings</t>
        </is>
      </c>
      <c r="C11" s="73" t="n">
        <v>2273</v>
      </c>
      <c r="D11" s="73" t="n">
        <v>3244</v>
      </c>
      <c r="E11" s="73" t="n">
        <v>1024</v>
      </c>
      <c r="F11" s="73" t="n">
        <v>853</v>
      </c>
      <c r="G11" s="73" t="n">
        <v>1018</v>
      </c>
      <c r="H11" s="73" t="n">
        <v>1545</v>
      </c>
      <c r="I11" s="73" t="n">
        <v>0</v>
      </c>
      <c r="J11" s="73" t="n">
        <v>0</v>
      </c>
      <c r="K11" s="73" t="n">
        <v>0</v>
      </c>
      <c r="L11" s="73" t="n">
        <v>0</v>
      </c>
      <c r="M11" s="73" t="n">
        <v>0</v>
      </c>
      <c r="N11" s="73" t="n">
        <v>0</v>
      </c>
      <c r="O11" s="73" t="n"/>
      <c r="R11" t="inlineStr">
        <is>
          <t>Profit before tax</t>
        </is>
      </c>
      <c r="S11" s="73" t="n">
        <v>2986</v>
      </c>
      <c r="T11" s="73" t="n">
        <v>3421</v>
      </c>
      <c r="U11" s="73" t="n">
        <v>3872</v>
      </c>
      <c r="V11" s="73" t="n">
        <v>3301</v>
      </c>
      <c r="W11" s="73" t="n">
        <v>3468</v>
      </c>
      <c r="X11" s="73" t="n">
        <v>5183</v>
      </c>
      <c r="Y11" s="73" t="n">
        <v>8001</v>
      </c>
      <c r="Z11" s="73" t="n">
        <v>8524</v>
      </c>
      <c r="AA11" s="73" t="n">
        <v>7416</v>
      </c>
      <c r="AB11" s="73" t="n">
        <v>9422</v>
      </c>
      <c r="AC11" s="73" t="n">
        <v>7528</v>
      </c>
      <c r="AD11" s="73" t="n">
        <v>10927</v>
      </c>
      <c r="AE11" s="73" t="n">
        <v>11400</v>
      </c>
    </row>
    <row r="12">
      <c r="B12" s="73" t="inlineStr">
        <is>
          <t>Other Liabilities -</t>
        </is>
      </c>
      <c r="C12" s="73" t="n">
        <v>9183</v>
      </c>
      <c r="D12" s="73" t="n">
        <v>8631</v>
      </c>
      <c r="E12" s="73" t="n">
        <v>9343</v>
      </c>
      <c r="F12" s="73" t="n">
        <v>11280</v>
      </c>
      <c r="G12" s="73" t="n">
        <v>17438</v>
      </c>
      <c r="H12" s="73" t="n">
        <v>17151</v>
      </c>
      <c r="I12" s="73" t="n">
        <v>20282</v>
      </c>
      <c r="J12" s="73" t="n">
        <v>22077</v>
      </c>
      <c r="K12" s="73" t="n">
        <v>25998</v>
      </c>
      <c r="L12" s="73" t="n">
        <v>29167</v>
      </c>
      <c r="M12" s="73" t="n">
        <v>38823</v>
      </c>
      <c r="N12" s="73" t="n">
        <v>40936</v>
      </c>
      <c r="R12" t="inlineStr">
        <is>
          <t>Tax %</t>
        </is>
      </c>
      <c r="S12" s="75" t="n">
        <v>30</v>
      </c>
      <c r="T12" s="75" t="n">
        <v>28</v>
      </c>
      <c r="U12" s="75" t="n">
        <v>30</v>
      </c>
      <c r="V12" s="75" t="n">
        <v>33</v>
      </c>
      <c r="W12" s="75" t="n">
        <v>31</v>
      </c>
      <c r="X12" s="75" t="n">
        <v>-11</v>
      </c>
      <c r="Y12" s="75" t="n">
        <v>32</v>
      </c>
      <c r="Z12" s="75" t="n">
        <v>14</v>
      </c>
      <c r="AA12" s="75" t="n">
        <v>32</v>
      </c>
      <c r="AB12" s="75" t="n">
        <v>26</v>
      </c>
      <c r="AC12" s="75" t="n">
        <v>20</v>
      </c>
      <c r="AD12" s="75" t="n">
        <v>25</v>
      </c>
      <c r="AE12" t="n">
        <v>0</v>
      </c>
    </row>
    <row r="13">
      <c r="B13" t="inlineStr">
        <is>
          <t>Non controlling int</t>
        </is>
      </c>
      <c r="C13" t="n">
        <v>18</v>
      </c>
      <c r="D13" t="n">
        <v>15</v>
      </c>
      <c r="E13" t="n">
        <v>10</v>
      </c>
      <c r="F13" t="n">
        <v>16</v>
      </c>
      <c r="G13" t="n">
        <v>12</v>
      </c>
      <c r="H13" t="n">
        <v>8</v>
      </c>
      <c r="I13" t="n">
        <v>6</v>
      </c>
      <c r="J13" t="n">
        <v>-3</v>
      </c>
      <c r="K13" t="n">
        <v>56</v>
      </c>
      <c r="L13" t="n">
        <v>56</v>
      </c>
      <c r="M13" t="n">
        <v>3187</v>
      </c>
      <c r="N13" t="n">
        <v>4089</v>
      </c>
      <c r="O13" s="73" t="n"/>
      <c r="R13" t="inlineStr">
        <is>
          <t>Net Profit +</t>
        </is>
      </c>
      <c r="S13" s="73" t="n">
        <v>2102</v>
      </c>
      <c r="T13" s="73" t="n">
        <v>2480</v>
      </c>
      <c r="U13" s="73" t="n">
        <v>2714</v>
      </c>
      <c r="V13" s="73" t="n">
        <v>2224</v>
      </c>
      <c r="W13" s="73" t="n">
        <v>2400</v>
      </c>
      <c r="X13" s="73" t="n">
        <v>5751</v>
      </c>
      <c r="Y13" s="73" t="n">
        <v>5462</v>
      </c>
      <c r="Z13" s="73" t="n">
        <v>7334</v>
      </c>
      <c r="AA13" s="73" t="n">
        <v>5073</v>
      </c>
      <c r="AB13" s="73" t="n">
        <v>7004</v>
      </c>
      <c r="AC13" s="73" t="n">
        <v>6040</v>
      </c>
      <c r="AD13" s="73" t="n">
        <v>8188</v>
      </c>
      <c r="AE13" s="73" t="n">
        <v>8571</v>
      </c>
    </row>
    <row r="14">
      <c r="B14" s="73" t="inlineStr">
        <is>
          <t>Trade Payables</t>
        </is>
      </c>
      <c r="C14" s="73" t="n">
        <v>1711</v>
      </c>
      <c r="D14" s="73" t="n">
        <v>1717</v>
      </c>
      <c r="E14" s="73" t="n">
        <v>1849</v>
      </c>
      <c r="F14" s="73" t="n">
        <v>2385</v>
      </c>
      <c r="G14" s="73" t="n">
        <v>3160</v>
      </c>
      <c r="H14" s="73" t="n">
        <v>3363</v>
      </c>
      <c r="I14" s="73" t="n">
        <v>4548</v>
      </c>
      <c r="J14" s="73" t="n">
        <v>5863</v>
      </c>
      <c r="K14" s="73" t="n">
        <v>7209</v>
      </c>
      <c r="L14" s="73" t="n">
        <v>8478</v>
      </c>
      <c r="M14" s="73" t="n">
        <v>9327</v>
      </c>
      <c r="N14" s="73" t="n">
        <v>10237</v>
      </c>
      <c r="S14" t="n">
        <v>76.47</v>
      </c>
      <c r="T14" t="n">
        <v>90.3</v>
      </c>
      <c r="U14" t="n">
        <v>98.90000000000001</v>
      </c>
      <c r="V14" t="n">
        <v>80.92</v>
      </c>
      <c r="W14" t="n">
        <v>87.51000000000001</v>
      </c>
      <c r="X14" t="n">
        <v>199.4</v>
      </c>
      <c r="Y14" t="n">
        <v>189.26</v>
      </c>
      <c r="Z14" t="n">
        <v>254.42</v>
      </c>
      <c r="AA14" t="n">
        <v>175.41</v>
      </c>
      <c r="AB14" t="n">
        <v>242.65</v>
      </c>
      <c r="AC14" t="n">
        <v>204.94</v>
      </c>
      <c r="AD14" t="n">
        <v>277.1</v>
      </c>
      <c r="AE14" t="n">
        <v>289.77</v>
      </c>
    </row>
    <row r="15">
      <c r="B15" t="inlineStr">
        <is>
          <t>Advance from Customers</t>
        </is>
      </c>
      <c r="C15" t="n">
        <v>0</v>
      </c>
      <c r="D15" t="n">
        <v>166</v>
      </c>
      <c r="E15" t="n">
        <v>196</v>
      </c>
      <c r="F15" t="n">
        <v>305</v>
      </c>
      <c r="G15" t="n">
        <v>357</v>
      </c>
      <c r="H15" t="n">
        <v>464</v>
      </c>
      <c r="I15" t="n">
        <v>415</v>
      </c>
      <c r="J15" s="73" t="n">
        <v>465</v>
      </c>
      <c r="K15" s="73" t="n">
        <v>384</v>
      </c>
      <c r="L15" t="n">
        <v>527</v>
      </c>
      <c r="M15" s="73" t="n">
        <v>541</v>
      </c>
      <c r="N15" s="73" t="n">
        <v>678</v>
      </c>
      <c r="O15" s="73" t="n"/>
      <c r="S15" t="n">
        <v>12</v>
      </c>
      <c r="T15" t="n">
        <v>11</v>
      </c>
      <c r="U15" t="n">
        <v>10</v>
      </c>
      <c r="V15" t="n">
        <v>13</v>
      </c>
      <c r="W15" t="n">
        <v>13</v>
      </c>
      <c r="X15" t="n">
        <v>7</v>
      </c>
      <c r="Y15" t="n">
        <v>20</v>
      </c>
      <c r="Z15" t="n">
        <v>15</v>
      </c>
      <c r="AA15" t="n">
        <v>22</v>
      </c>
      <c r="AB15" t="n">
        <v>29</v>
      </c>
      <c r="AC15" t="n">
        <v>38</v>
      </c>
      <c r="AD15" t="n">
        <v>87</v>
      </c>
      <c r="AE15" t="n">
        <v>0</v>
      </c>
    </row>
    <row r="16">
      <c r="B16" s="73" t="inlineStr">
        <is>
          <t>Other liability items</t>
        </is>
      </c>
      <c r="C16" s="73" t="n">
        <v>7454</v>
      </c>
      <c r="D16" s="73" t="n">
        <v>6733</v>
      </c>
      <c r="E16" s="73" t="n">
        <v>7288</v>
      </c>
      <c r="F16" s="73" t="n">
        <v>8574</v>
      </c>
      <c r="G16" s="73" t="n">
        <v>13909</v>
      </c>
      <c r="H16" s="73" t="n">
        <v>13316</v>
      </c>
      <c r="I16" s="73" t="n">
        <v>15313</v>
      </c>
      <c r="J16" s="73" t="n">
        <v>15753</v>
      </c>
      <c r="K16" s="73" t="n">
        <v>18349</v>
      </c>
      <c r="L16" s="73" t="n">
        <v>20106</v>
      </c>
      <c r="M16" s="73" t="n">
        <v>25768</v>
      </c>
      <c r="N16" s="73" t="n">
        <v>25933</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38053</v>
      </c>
      <c r="D18" s="71" t="n">
        <v>41193</v>
      </c>
      <c r="E18" s="71" t="n">
        <v>42209</v>
      </c>
      <c r="F18" s="71" t="n">
        <v>57141</v>
      </c>
      <c r="G18" s="71" t="n">
        <v>76525</v>
      </c>
      <c r="H18" s="71" t="n">
        <v>79214</v>
      </c>
      <c r="I18" s="71" t="n">
        <v>86176</v>
      </c>
      <c r="J18" s="71" t="n">
        <v>83811</v>
      </c>
      <c r="K18" s="71" t="n">
        <v>91380</v>
      </c>
      <c r="L18" s="71" t="n">
        <v>100797</v>
      </c>
      <c r="M18" s="71" t="n">
        <v>133632</v>
      </c>
      <c r="N18" s="71" t="n">
        <v>141315</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4190</v>
      </c>
      <c r="T19" s="73" t="n">
        <v>4526</v>
      </c>
      <c r="U19" s="73" t="n">
        <v>5005</v>
      </c>
      <c r="V19" s="73" t="n">
        <v>3888</v>
      </c>
      <c r="W19" s="73" t="n">
        <v>5956</v>
      </c>
      <c r="X19" s="73" t="n">
        <v>8972</v>
      </c>
      <c r="Y19" s="73" t="n">
        <v>12500</v>
      </c>
      <c r="Z19" s="73" t="n">
        <v>9283</v>
      </c>
      <c r="AA19" s="73" t="n">
        <v>9069</v>
      </c>
      <c r="AB19" s="73" t="n">
        <v>10898</v>
      </c>
      <c r="AC19" s="73" t="n">
        <v>10673</v>
      </c>
      <c r="AD19" s="73" t="n">
        <v>15316</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4464</v>
      </c>
      <c r="T20" s="73" t="n">
        <v>4948</v>
      </c>
      <c r="U20" s="73" t="n">
        <v>5220</v>
      </c>
      <c r="V20" s="73" t="n">
        <v>5986</v>
      </c>
      <c r="W20" s="73" t="n">
        <v>7362</v>
      </c>
      <c r="X20" s="73" t="n">
        <v>9348</v>
      </c>
      <c r="Y20" s="73" t="n">
        <v>11465</v>
      </c>
      <c r="Z20" s="73" t="n">
        <v>11311</v>
      </c>
      <c r="AA20" s="73" t="n">
        <v>10530</v>
      </c>
      <c r="AB20" s="73" t="n">
        <v>13029</v>
      </c>
      <c r="AC20" s="73" t="n">
        <v>12645</v>
      </c>
      <c r="AD20" s="73" t="n">
        <v>16850</v>
      </c>
      <c r="AE20" t="n">
        <v>0</v>
      </c>
    </row>
    <row r="21">
      <c r="B21" s="73" t="inlineStr">
        <is>
          <t>Fixed Assets -</t>
        </is>
      </c>
      <c r="C21" s="73" t="n">
        <v>23343</v>
      </c>
      <c r="D21" s="73" t="n">
        <v>25309</v>
      </c>
      <c r="E21" s="73" t="n">
        <v>25904</v>
      </c>
      <c r="F21" s="73" t="n">
        <v>39715</v>
      </c>
      <c r="G21" s="73" t="n">
        <v>56645</v>
      </c>
      <c r="H21" s="73" t="n">
        <v>57151</v>
      </c>
      <c r="I21" s="73" t="n">
        <v>55412</v>
      </c>
      <c r="J21" s="73" t="n">
        <v>55488</v>
      </c>
      <c r="K21" s="73" t="n">
        <v>59579</v>
      </c>
      <c r="L21" s="73" t="n">
        <v>62878</v>
      </c>
      <c r="M21" s="73" t="n">
        <v>94564</v>
      </c>
      <c r="N21" s="73" t="n">
        <v>98794</v>
      </c>
      <c r="R21" t="inlineStr">
        <is>
          <t>Receivables</t>
        </is>
      </c>
      <c r="S21" t="n">
        <v>-27</v>
      </c>
      <c r="T21" t="n">
        <v>-287</v>
      </c>
      <c r="U21" t="n">
        <v>156</v>
      </c>
      <c r="V21" t="n">
        <v>-454</v>
      </c>
      <c r="W21" t="n">
        <v>-279</v>
      </c>
      <c r="X21" s="73" t="n">
        <v>473</v>
      </c>
      <c r="Y21" t="n">
        <v>-201</v>
      </c>
      <c r="Z21" t="n">
        <v>-495</v>
      </c>
      <c r="AA21" t="n">
        <v>-752</v>
      </c>
      <c r="AB21" t="n">
        <v>-421</v>
      </c>
      <c r="AC21" s="73" t="n">
        <v>-608</v>
      </c>
      <c r="AD21" t="n">
        <v>-28</v>
      </c>
      <c r="AE21" t="n">
        <v>0</v>
      </c>
    </row>
    <row r="22">
      <c r="B22" s="73" t="inlineStr">
        <is>
          <t>Land</t>
        </is>
      </c>
      <c r="C22" s="73" t="n">
        <v>3311</v>
      </c>
      <c r="D22" s="73" t="n">
        <v>3627</v>
      </c>
      <c r="E22" s="73" t="n">
        <v>3785</v>
      </c>
      <c r="F22" s="73" t="n">
        <v>6361</v>
      </c>
      <c r="G22" s="73" t="n">
        <v>7492</v>
      </c>
      <c r="H22" s="73" t="n">
        <v>7943</v>
      </c>
      <c r="I22" s="73" t="n">
        <v>8085</v>
      </c>
      <c r="J22" s="73" t="n">
        <v>8454</v>
      </c>
      <c r="K22" s="73" t="n">
        <v>8709</v>
      </c>
      <c r="L22" s="73" t="n">
        <v>9259</v>
      </c>
      <c r="M22" s="73" t="n">
        <v>19872</v>
      </c>
      <c r="N22" s="73" t="n">
        <v>20391</v>
      </c>
      <c r="O22" s="73" t="n"/>
      <c r="R22" t="inlineStr">
        <is>
          <t>Inventory</t>
        </is>
      </c>
      <c r="S22" t="n">
        <v>-326</v>
      </c>
      <c r="T22" t="n">
        <v>374</v>
      </c>
      <c r="U22" t="n">
        <v>54</v>
      </c>
      <c r="V22" t="n">
        <v>-623</v>
      </c>
      <c r="W22" t="n">
        <v>-15</v>
      </c>
      <c r="X22" t="n">
        <v>-64</v>
      </c>
      <c r="Y22" s="73" t="n">
        <v>165</v>
      </c>
      <c r="Z22" t="n">
        <v>-1579</v>
      </c>
      <c r="AA22" s="73" t="n">
        <v>-992</v>
      </c>
      <c r="AB22" s="73" t="n">
        <v>-1712</v>
      </c>
      <c r="AC22" s="73" t="n">
        <v>-317</v>
      </c>
      <c r="AD22" s="73" t="n">
        <v>-68</v>
      </c>
      <c r="AE22" t="n">
        <v>0</v>
      </c>
    </row>
    <row r="23">
      <c r="B23" s="73" t="inlineStr">
        <is>
          <t>Building</t>
        </is>
      </c>
      <c r="C23" s="73" t="n">
        <v>2792</v>
      </c>
      <c r="D23" s="73" t="n">
        <v>2469</v>
      </c>
      <c r="E23" s="73" t="n">
        <v>2766</v>
      </c>
      <c r="F23" s="73" t="n">
        <v>4346</v>
      </c>
      <c r="G23" s="73" t="n">
        <v>5130</v>
      </c>
      <c r="H23" s="73" t="n">
        <v>5511</v>
      </c>
      <c r="I23" s="73" t="n">
        <v>5606</v>
      </c>
      <c r="J23" s="73" t="n">
        <v>5831</v>
      </c>
      <c r="K23" s="73" t="n">
        <v>6287</v>
      </c>
      <c r="L23" s="73" t="n">
        <v>6772</v>
      </c>
      <c r="M23" s="73" t="n">
        <v>9361</v>
      </c>
      <c r="N23" s="73" t="n">
        <v>10208</v>
      </c>
      <c r="O23" s="73" t="n"/>
      <c r="R23" t="inlineStr">
        <is>
          <t>Payables</t>
        </is>
      </c>
      <c r="S23" t="n">
        <v>383</v>
      </c>
      <c r="T23" t="n">
        <v>310</v>
      </c>
      <c r="U23" t="n">
        <v>482</v>
      </c>
      <c r="V23" s="73" t="n">
        <v>346</v>
      </c>
      <c r="W23" t="n">
        <v>766</v>
      </c>
      <c r="X23" t="n">
        <v>279</v>
      </c>
      <c r="Y23" s="73" t="n">
        <v>2868</v>
      </c>
      <c r="Z23" s="73" t="n">
        <v>2077</v>
      </c>
      <c r="AA23" s="73" t="n">
        <v>1869</v>
      </c>
      <c r="AB23" t="n">
        <v>1959</v>
      </c>
      <c r="AC23" s="73" t="n">
        <v>-476</v>
      </c>
      <c r="AD23" t="n">
        <v>590</v>
      </c>
      <c r="AE23" t="n">
        <v>0</v>
      </c>
    </row>
    <row r="24">
      <c r="B24" s="73" t="inlineStr">
        <is>
          <t>Plant Machinery</t>
        </is>
      </c>
      <c r="C24" s="73" t="n">
        <v>26327</v>
      </c>
      <c r="D24" s="73" t="n">
        <v>18452</v>
      </c>
      <c r="E24" s="73" t="n">
        <v>19713</v>
      </c>
      <c r="F24" s="73" t="n">
        <v>28048</v>
      </c>
      <c r="G24" s="73" t="n">
        <v>36920</v>
      </c>
      <c r="H24" s="73" t="n">
        <v>38369</v>
      </c>
      <c r="I24" s="73" t="n">
        <v>38655</v>
      </c>
      <c r="J24" s="73" t="n">
        <v>40604</v>
      </c>
      <c r="K24" s="73" t="n">
        <v>46270</v>
      </c>
      <c r="L24" s="73" t="n">
        <v>51343</v>
      </c>
      <c r="M24" s="73" t="n">
        <v>67010</v>
      </c>
      <c r="N24" s="73" t="n">
        <v>73760</v>
      </c>
      <c r="R24" t="inlineStr">
        <is>
          <t>Working capital changes</t>
        </is>
      </c>
      <c r="S24" t="n">
        <v>-104</v>
      </c>
      <c r="T24" t="n">
        <v>429</v>
      </c>
      <c r="U24" t="n">
        <v>529</v>
      </c>
      <c r="V24" s="73" t="n">
        <v>-1255</v>
      </c>
      <c r="W24" t="n">
        <v>-696</v>
      </c>
      <c r="X24" t="n">
        <v>516</v>
      </c>
      <c r="Y24" t="n">
        <v>2326</v>
      </c>
      <c r="Z24" t="n">
        <v>-473</v>
      </c>
      <c r="AA24" t="n">
        <v>-337</v>
      </c>
      <c r="AB24" s="73" t="n">
        <v>-481</v>
      </c>
      <c r="AC24" s="73" t="n">
        <v>-671</v>
      </c>
      <c r="AD24" s="73" t="n">
        <v>-233</v>
      </c>
      <c r="AE24" t="n">
        <v>0</v>
      </c>
    </row>
    <row r="25">
      <c r="B25" t="inlineStr">
        <is>
          <t>Equipments</t>
        </is>
      </c>
      <c r="C25" t="n">
        <v>236</v>
      </c>
      <c r="D25" t="n">
        <v>99</v>
      </c>
      <c r="E25" t="n">
        <v>115</v>
      </c>
      <c r="F25" t="n">
        <v>150</v>
      </c>
      <c r="G25" t="n">
        <v>208</v>
      </c>
      <c r="H25" t="n">
        <v>265</v>
      </c>
      <c r="I25" t="n">
        <v>289</v>
      </c>
      <c r="J25" t="n">
        <v>336</v>
      </c>
      <c r="K25" t="n">
        <v>387</v>
      </c>
      <c r="L25" t="n">
        <v>466</v>
      </c>
      <c r="M25" t="n">
        <v>555</v>
      </c>
      <c r="N25" t="n">
        <v>596</v>
      </c>
      <c r="R25" t="inlineStr">
        <is>
          <t>Direct taxes</t>
        </is>
      </c>
      <c r="S25" s="73" t="n">
        <v>-169</v>
      </c>
      <c r="T25" s="73" t="n">
        <v>-852</v>
      </c>
      <c r="U25" s="73" t="n">
        <v>-744</v>
      </c>
      <c r="V25" s="73" t="n">
        <v>-843</v>
      </c>
      <c r="W25" s="73" t="n">
        <v>-710</v>
      </c>
      <c r="X25" s="73" t="n">
        <v>-891</v>
      </c>
      <c r="Y25" s="73" t="n">
        <v>-1291</v>
      </c>
      <c r="Z25" s="73" t="n">
        <v>-1555</v>
      </c>
      <c r="AA25" s="73" t="n">
        <v>-1124</v>
      </c>
      <c r="AB25" s="73" t="n">
        <v>-1651</v>
      </c>
      <c r="AC25" s="73" t="n">
        <v>-1301</v>
      </c>
      <c r="AD25" s="73" t="n">
        <v>-1301</v>
      </c>
      <c r="AE25" t="n">
        <v>0</v>
      </c>
    </row>
    <row r="26">
      <c r="B26" s="73" t="inlineStr">
        <is>
          <t>Furniture n fittings</t>
        </is>
      </c>
      <c r="C26" s="73" t="n">
        <v>163</v>
      </c>
      <c r="D26" s="73" t="n">
        <v>57</v>
      </c>
      <c r="E26" s="73" t="n">
        <v>71</v>
      </c>
      <c r="F26" s="73" t="n">
        <v>80</v>
      </c>
      <c r="G26" s="73" t="n">
        <v>106</v>
      </c>
      <c r="H26" s="73" t="n">
        <v>112</v>
      </c>
      <c r="I26" s="73" t="n">
        <v>111</v>
      </c>
      <c r="J26" s="73" t="n">
        <v>114</v>
      </c>
      <c r="K26" s="73" t="n">
        <v>122</v>
      </c>
      <c r="L26" s="73" t="n">
        <v>154</v>
      </c>
      <c r="M26" s="73" t="n">
        <v>219</v>
      </c>
      <c r="N26" s="73" t="n">
        <v>229</v>
      </c>
      <c r="R26" t="inlineStr">
        <is>
          <t>Cash from Investing Activity -</t>
        </is>
      </c>
      <c r="S26" s="73" t="n">
        <v>-2144</v>
      </c>
      <c r="T26" s="73" t="n">
        <v>-3673</v>
      </c>
      <c r="U26" s="73" t="n">
        <v>-2501</v>
      </c>
      <c r="V26" s="73" t="n">
        <v>1866</v>
      </c>
      <c r="W26" s="73" t="n">
        <v>1165</v>
      </c>
      <c r="X26" s="73" t="n">
        <v>-4192</v>
      </c>
      <c r="Y26" s="73" t="n">
        <v>-8856</v>
      </c>
      <c r="Z26" s="73" t="n">
        <v>2257</v>
      </c>
      <c r="AA26" s="73" t="n">
        <v>-7188</v>
      </c>
      <c r="AB26" s="73" t="n">
        <v>-8789</v>
      </c>
      <c r="AC26" t="n">
        <v>-15836</v>
      </c>
      <c r="AD26" s="73" t="n">
        <v>-9475</v>
      </c>
      <c r="AE26" t="n">
        <v>0</v>
      </c>
    </row>
    <row r="27">
      <c r="B27" s="73" t="inlineStr">
        <is>
          <t>Railway sidings</t>
        </is>
      </c>
      <c r="C27" s="73" t="n">
        <v>536</v>
      </c>
      <c r="D27" s="73" t="n">
        <v>399</v>
      </c>
      <c r="E27" s="73" t="n">
        <v>444</v>
      </c>
      <c r="F27" s="73" t="n">
        <v>653</v>
      </c>
      <c r="G27" s="73" t="n">
        <v>890</v>
      </c>
      <c r="H27" s="73" t="n">
        <v>906</v>
      </c>
      <c r="I27" s="73" t="n">
        <v>959</v>
      </c>
      <c r="J27" s="73" t="n">
        <v>989</v>
      </c>
      <c r="K27" s="73" t="n">
        <v>1008</v>
      </c>
      <c r="L27" s="73" t="n">
        <v>1088</v>
      </c>
      <c r="M27" s="73" t="n">
        <v>1305</v>
      </c>
      <c r="N27" s="73" t="n">
        <v>1420</v>
      </c>
      <c r="R27" t="inlineStr">
        <is>
          <t>Fixed assets purchased</t>
        </is>
      </c>
      <c r="S27" s="73" t="n">
        <v>-2722</v>
      </c>
      <c r="T27" s="73" t="n">
        <v>-2150</v>
      </c>
      <c r="U27" s="73" t="n">
        <v>-1402</v>
      </c>
      <c r="V27" s="73" t="n">
        <v>-2103</v>
      </c>
      <c r="W27" s="73" t="n">
        <v>-1808</v>
      </c>
      <c r="X27" s="73" t="n">
        <v>-1766</v>
      </c>
      <c r="Y27" s="73" t="n">
        <v>-1925</v>
      </c>
      <c r="Z27" s="73" t="n">
        <v>-5680</v>
      </c>
      <c r="AA27" s="73" t="n">
        <v>-6200</v>
      </c>
      <c r="AB27" s="73" t="n">
        <v>-9006</v>
      </c>
      <c r="AC27" s="73" t="n">
        <v>-9129</v>
      </c>
      <c r="AD27" s="73" t="n">
        <v>-9678</v>
      </c>
      <c r="AE27" t="n">
        <v>0</v>
      </c>
    </row>
    <row r="28">
      <c r="B28" t="inlineStr">
        <is>
          <t>Vehicles</t>
        </is>
      </c>
      <c r="C28" t="n">
        <v>78</v>
      </c>
      <c r="D28" t="n">
        <v>46</v>
      </c>
      <c r="E28" t="n">
        <v>63</v>
      </c>
      <c r="F28" t="n">
        <v>91</v>
      </c>
      <c r="G28" t="n">
        <v>110</v>
      </c>
      <c r="H28" t="n">
        <v>122</v>
      </c>
      <c r="I28" t="n">
        <v>133</v>
      </c>
      <c r="J28" t="n">
        <v>163</v>
      </c>
      <c r="K28" t="n">
        <v>200</v>
      </c>
      <c r="L28" t="n">
        <v>260</v>
      </c>
      <c r="M28" t="n">
        <v>354</v>
      </c>
      <c r="N28" t="n">
        <v>480</v>
      </c>
      <c r="O28" s="73" t="n"/>
      <c r="R28" t="inlineStr">
        <is>
          <t>Fixed assets sold</t>
        </is>
      </c>
      <c r="S28" s="73" t="n">
        <v>12</v>
      </c>
      <c r="T28" s="73" t="n">
        <v>18</v>
      </c>
      <c r="U28" s="73" t="n">
        <v>35</v>
      </c>
      <c r="V28" s="73" t="n">
        <v>220</v>
      </c>
      <c r="W28" s="73" t="n">
        <v>160</v>
      </c>
      <c r="X28" s="73" t="n">
        <v>79</v>
      </c>
      <c r="Y28" s="73" t="n">
        <v>86</v>
      </c>
      <c r="Z28" s="73" t="n">
        <v>73</v>
      </c>
      <c r="AA28" s="73" t="n">
        <v>95</v>
      </c>
      <c r="AB28" t="n">
        <v>122</v>
      </c>
      <c r="AC28" s="73" t="n">
        <v>179</v>
      </c>
      <c r="AD28" s="73" t="n">
        <v>167</v>
      </c>
      <c r="AE28" t="n">
        <v>0</v>
      </c>
    </row>
    <row r="29">
      <c r="B29" t="inlineStr">
        <is>
          <t>Intangible Assets</t>
        </is>
      </c>
      <c r="C29" t="n">
        <v>1053</v>
      </c>
      <c r="D29" t="n">
        <v>1287</v>
      </c>
      <c r="E29" t="n">
        <v>1329</v>
      </c>
      <c r="F29" t="n">
        <v>1280</v>
      </c>
      <c r="G29" t="n">
        <v>6626</v>
      </c>
      <c r="H29" t="n">
        <v>6680</v>
      </c>
      <c r="I29" s="73" t="n">
        <v>6375</v>
      </c>
      <c r="J29" s="73" t="n">
        <v>6405</v>
      </c>
      <c r="K29" s="73" t="n">
        <v>6484</v>
      </c>
      <c r="L29" s="73" t="n">
        <v>6501</v>
      </c>
      <c r="M29" s="73" t="n">
        <v>8108</v>
      </c>
      <c r="N29" s="73" t="n">
        <v>8359</v>
      </c>
      <c r="R29" t="inlineStr">
        <is>
          <t>Investments purchased</t>
        </is>
      </c>
      <c r="S29" s="73" t="n">
        <v>-602</v>
      </c>
      <c r="T29" s="73" t="n">
        <v>-2698</v>
      </c>
      <c r="U29" s="73" t="n">
        <v>-3377</v>
      </c>
      <c r="V29" s="73" t="n">
        <v>-3960</v>
      </c>
      <c r="W29" s="73" t="n">
        <v>-1700</v>
      </c>
      <c r="X29" s="73" t="n">
        <v>-6086</v>
      </c>
      <c r="Y29" s="73" t="n">
        <v>-12689</v>
      </c>
      <c r="Z29" s="73" t="n">
        <v>-7795</v>
      </c>
      <c r="AA29" s="73" t="n">
        <v>-7260</v>
      </c>
      <c r="AB29" s="73" t="n">
        <v>-7750</v>
      </c>
      <c r="AC29" s="73" t="n">
        <v>-15885</v>
      </c>
      <c r="AD29" s="73" t="n">
        <v>-5098</v>
      </c>
      <c r="AE29" t="n">
        <v>0</v>
      </c>
    </row>
    <row r="30">
      <c r="B30" t="inlineStr">
        <is>
          <t>Other fixed assets</t>
        </is>
      </c>
      <c r="C30" t="n">
        <v>414</v>
      </c>
      <c r="D30" t="n">
        <v>176</v>
      </c>
      <c r="E30" t="n">
        <v>213</v>
      </c>
      <c r="F30" t="n">
        <v>3073</v>
      </c>
      <c r="G30" t="n">
        <v>5899</v>
      </c>
      <c r="H30" t="n">
        <v>5927</v>
      </c>
      <c r="I30" t="n">
        <v>6289</v>
      </c>
      <c r="J30" t="n">
        <v>6387</v>
      </c>
      <c r="K30" t="n">
        <v>6695</v>
      </c>
      <c r="L30" t="n">
        <v>6637</v>
      </c>
      <c r="M30" t="n">
        <v>11055</v>
      </c>
      <c r="N30" s="73" t="n">
        <v>11308</v>
      </c>
      <c r="O30" s="73" t="n"/>
      <c r="R30" t="inlineStr">
        <is>
          <t>Investments sold</t>
        </is>
      </c>
      <c r="S30" s="73" t="n">
        <v>1263</v>
      </c>
      <c r="T30" s="73" t="n">
        <v>2948</v>
      </c>
      <c r="U30" s="73" t="n">
        <v>2228</v>
      </c>
      <c r="V30" s="73" t="n">
        <v>5588</v>
      </c>
      <c r="W30" s="73" t="n">
        <v>4478</v>
      </c>
      <c r="X30" s="73" t="n">
        <v>3443</v>
      </c>
      <c r="Y30" s="73" t="n">
        <v>7101</v>
      </c>
      <c r="Z30" s="73" t="n">
        <v>13965</v>
      </c>
      <c r="AA30" s="73" t="n">
        <v>7156</v>
      </c>
      <c r="AB30" s="73" t="n">
        <v>7164</v>
      </c>
      <c r="AC30" s="73" t="n">
        <v>19115</v>
      </c>
      <c r="AD30" s="73" t="n">
        <v>3822</v>
      </c>
      <c r="AE30" t="n">
        <v>0</v>
      </c>
    </row>
    <row r="31">
      <c r="B31" t="inlineStr">
        <is>
          <t>Gross Block</t>
        </is>
      </c>
      <c r="C31" s="73" t="n">
        <v>34910</v>
      </c>
      <c r="D31" s="73" t="n">
        <v>26611</v>
      </c>
      <c r="E31" s="73" t="n">
        <v>28498</v>
      </c>
      <c r="F31" s="73" t="n">
        <v>44082</v>
      </c>
      <c r="G31" s="73" t="n">
        <v>63382</v>
      </c>
      <c r="H31" s="73" t="n">
        <v>66550</v>
      </c>
      <c r="I31" s="73" t="n">
        <v>67332</v>
      </c>
      <c r="J31" s="73" t="n">
        <v>70002</v>
      </c>
      <c r="K31" s="73" t="n">
        <v>76957</v>
      </c>
      <c r="L31" s="73" t="n">
        <v>83280</v>
      </c>
      <c r="M31" s="73" t="n">
        <v>118631</v>
      </c>
      <c r="N31" s="73" t="n">
        <v>127473</v>
      </c>
      <c r="O31" s="73" t="n"/>
      <c r="R31" t="inlineStr">
        <is>
          <t>Interest received</t>
        </is>
      </c>
      <c r="S31" t="n">
        <v>35</v>
      </c>
      <c r="T31" t="n">
        <v>59</v>
      </c>
      <c r="U31" s="73" t="n">
        <v>47</v>
      </c>
      <c r="V31" s="73" t="n">
        <v>67</v>
      </c>
      <c r="W31" s="73" t="n">
        <v>78</v>
      </c>
      <c r="X31" s="73" t="n">
        <v>89</v>
      </c>
      <c r="Y31" s="73" t="n">
        <v>77</v>
      </c>
      <c r="Z31" s="73" t="n">
        <v>174</v>
      </c>
      <c r="AA31" s="73" t="n">
        <v>283</v>
      </c>
      <c r="AB31" s="73" t="n">
        <v>161</v>
      </c>
      <c r="AC31" s="73" t="n">
        <v>342</v>
      </c>
      <c r="AD31" s="73" t="n">
        <v>207</v>
      </c>
      <c r="AE31" t="n">
        <v>0</v>
      </c>
    </row>
    <row r="32">
      <c r="B32" s="73" t="inlineStr">
        <is>
          <t>Accumulated Depreciation</t>
        </is>
      </c>
      <c r="C32" s="73" t="n">
        <v>11567</v>
      </c>
      <c r="D32" s="73" t="n">
        <v>1302</v>
      </c>
      <c r="E32" s="73" t="n">
        <v>2594</v>
      </c>
      <c r="F32" s="73" t="n">
        <v>4366</v>
      </c>
      <c r="G32" s="73" t="n">
        <v>6737</v>
      </c>
      <c r="H32" s="73" t="n">
        <v>9399</v>
      </c>
      <c r="I32" s="73" t="n">
        <v>11921</v>
      </c>
      <c r="J32" s="73" t="n">
        <v>14514</v>
      </c>
      <c r="K32" s="73" t="n">
        <v>17378</v>
      </c>
      <c r="L32" s="73" t="n">
        <v>20403</v>
      </c>
      <c r="M32" s="73" t="n">
        <v>24067</v>
      </c>
      <c r="N32" s="73" t="n">
        <v>28679</v>
      </c>
      <c r="O32" s="73" t="n"/>
      <c r="R32" t="inlineStr">
        <is>
          <t>Dividends received</t>
        </is>
      </c>
      <c r="S32" t="n">
        <v>0</v>
      </c>
      <c r="T32" t="n">
        <v>0</v>
      </c>
      <c r="U32" s="73" t="n">
        <v>0</v>
      </c>
      <c r="V32" t="n">
        <v>0</v>
      </c>
      <c r="W32" t="n">
        <v>22</v>
      </c>
      <c r="X32" t="n">
        <v>32</v>
      </c>
      <c r="Y32" s="73" t="n">
        <v>0</v>
      </c>
      <c r="Z32" s="73" t="n">
        <v>0</v>
      </c>
      <c r="AA32" s="73" t="n">
        <v>0</v>
      </c>
      <c r="AB32" s="73" t="n">
        <v>0</v>
      </c>
      <c r="AC32" s="73" t="n">
        <v>1</v>
      </c>
      <c r="AD32" s="73" t="n">
        <v>0</v>
      </c>
      <c r="AE32" t="n">
        <v>0</v>
      </c>
    </row>
    <row r="33">
      <c r="B33" t="inlineStr">
        <is>
          <t>Net Block</t>
        </is>
      </c>
      <c r="C33" s="73" t="n">
        <v>23343</v>
      </c>
      <c r="D33" s="73" t="n">
        <v>25309</v>
      </c>
      <c r="E33" s="73" t="n">
        <v>25904</v>
      </c>
      <c r="F33" s="73" t="n">
        <v>39715</v>
      </c>
      <c r="G33" s="73" t="n">
        <v>56645</v>
      </c>
      <c r="H33" s="73" t="n">
        <v>57151</v>
      </c>
      <c r="I33" s="73" t="n">
        <v>55412</v>
      </c>
      <c r="J33" s="73" t="n">
        <v>55488</v>
      </c>
      <c r="K33" s="73" t="n">
        <v>59579</v>
      </c>
      <c r="L33" s="73" t="n">
        <v>62878</v>
      </c>
      <c r="M33" s="73" t="n">
        <v>94564</v>
      </c>
      <c r="N33" s="73" t="n">
        <v>98794</v>
      </c>
      <c r="O33" s="73" t="n"/>
      <c r="R33" t="inlineStr">
        <is>
          <t>Invest in subsidiaries</t>
        </is>
      </c>
      <c r="S33" t="n">
        <v>-21</v>
      </c>
      <c r="T33" t="n">
        <v>-13</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-1</v>
      </c>
      <c r="W34" s="73" t="n">
        <v>-8</v>
      </c>
      <c r="X34" s="73" t="n">
        <v>-6</v>
      </c>
      <c r="Y34" s="73" t="n">
        <v>-3</v>
      </c>
      <c r="Z34" s="73" t="n">
        <v>0</v>
      </c>
      <c r="AA34" s="73" t="n">
        <v>0</v>
      </c>
      <c r="AB34" s="73" t="n">
        <v>0</v>
      </c>
      <c r="AC34" s="73" t="n">
        <v>0</v>
      </c>
      <c r="AD34" s="73" t="n">
        <v>0</v>
      </c>
      <c r="AE34" t="n">
        <v>0</v>
      </c>
    </row>
    <row r="35">
      <c r="B35" t="inlineStr">
        <is>
          <t>CWIP</t>
        </is>
      </c>
      <c r="C35" s="73" t="n">
        <v>2250</v>
      </c>
      <c r="D35" s="73" t="n">
        <v>1469</v>
      </c>
      <c r="E35" s="73" t="n">
        <v>921</v>
      </c>
      <c r="F35" s="73" t="n">
        <v>1511</v>
      </c>
      <c r="G35" s="73" t="n">
        <v>1153</v>
      </c>
      <c r="H35" s="73" t="n">
        <v>920</v>
      </c>
      <c r="I35" s="73" t="n">
        <v>1687</v>
      </c>
      <c r="J35" s="73" t="n">
        <v>4785</v>
      </c>
      <c r="K35" s="73" t="n">
        <v>4040</v>
      </c>
      <c r="L35" s="73" t="n">
        <v>6811</v>
      </c>
      <c r="M35" s="73" t="n">
        <v>6234</v>
      </c>
      <c r="N35" s="73" t="n">
        <v>8742</v>
      </c>
      <c r="O35" s="73" t="n"/>
      <c r="R35" t="inlineStr">
        <is>
          <t>Redemp n Canc of Shares</t>
        </is>
      </c>
      <c r="S35" s="73" t="n">
        <v>0</v>
      </c>
      <c r="T35" s="73" t="n">
        <v>0</v>
      </c>
      <c r="U35" s="73" t="n">
        <v>0</v>
      </c>
      <c r="V35" s="73" t="n">
        <v>0</v>
      </c>
      <c r="W35" s="73" t="n">
        <v>0</v>
      </c>
      <c r="X35" s="73" t="n">
        <v>0</v>
      </c>
      <c r="Y35" s="73" t="n">
        <v>0</v>
      </c>
      <c r="Z35" s="73" t="n">
        <v>0</v>
      </c>
      <c r="AA35" s="73" t="n">
        <v>3</v>
      </c>
      <c r="AB35" s="73" t="n">
        <v>0</v>
      </c>
      <c r="AC35" s="73" t="n">
        <v>36</v>
      </c>
      <c r="AD35" s="73" t="n">
        <v>789</v>
      </c>
      <c r="AE35" t="n">
        <v>0</v>
      </c>
    </row>
    <row r="36">
      <c r="B36" t="inlineStr">
        <is>
          <t>Investments</t>
        </is>
      </c>
      <c r="C36" s="73" t="n">
        <v>4500</v>
      </c>
      <c r="D36" s="73" t="n">
        <v>5095</v>
      </c>
      <c r="E36" s="73" t="n">
        <v>6691</v>
      </c>
      <c r="F36" s="73" t="n">
        <v>5447</v>
      </c>
      <c r="G36" s="73" t="n">
        <v>2921</v>
      </c>
      <c r="H36" s="73" t="n">
        <v>5929</v>
      </c>
      <c r="I36" s="73" t="n">
        <v>12178</v>
      </c>
      <c r="J36" s="73" t="n">
        <v>6336</v>
      </c>
      <c r="K36" s="73" t="n">
        <v>7297</v>
      </c>
      <c r="L36" s="73" t="n">
        <v>8249</v>
      </c>
      <c r="M36" s="73" t="n">
        <v>5156</v>
      </c>
      <c r="N36" s="73" t="n">
        <v>6740</v>
      </c>
      <c r="O36" s="73" t="n"/>
      <c r="R36" t="inlineStr">
        <is>
          <t>Other investing items</t>
        </is>
      </c>
      <c r="S36" s="73" t="n">
        <v>-110</v>
      </c>
      <c r="T36" s="73" t="n">
        <v>-1839</v>
      </c>
      <c r="U36" s="73" t="n">
        <v>-32</v>
      </c>
      <c r="V36" s="73" t="n">
        <v>2055</v>
      </c>
      <c r="W36" s="73" t="n">
        <v>-58</v>
      </c>
      <c r="X36" s="73" t="n">
        <v>22</v>
      </c>
      <c r="Y36" s="73" t="n">
        <v>-1503</v>
      </c>
      <c r="Z36" s="73" t="n">
        <v>1518</v>
      </c>
      <c r="AA36" t="n">
        <v>-417</v>
      </c>
      <c r="AB36" s="73" t="n">
        <v>581</v>
      </c>
      <c r="AC36" t="n">
        <v>-232</v>
      </c>
      <c r="AD36" s="73" t="n">
        <v>443</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-2110</v>
      </c>
      <c r="T37" s="73" t="n">
        <v>-844</v>
      </c>
      <c r="U37" s="73" t="n">
        <v>-2535</v>
      </c>
      <c r="V37" s="73" t="n">
        <v>-5735</v>
      </c>
      <c r="W37" s="73" t="n">
        <v>-6757</v>
      </c>
      <c r="X37" s="73" t="n">
        <v>-5076</v>
      </c>
      <c r="Y37" s="73" t="n">
        <v>-4356</v>
      </c>
      <c r="Z37" s="73" t="n">
        <v>-12498</v>
      </c>
      <c r="AA37" s="73" t="n">
        <v>-1631</v>
      </c>
      <c r="AB37" s="73" t="n">
        <v>-1926</v>
      </c>
      <c r="AC37" s="73" t="n">
        <v>5076</v>
      </c>
      <c r="AD37" s="73" t="n">
        <v>-5954</v>
      </c>
      <c r="AE37" t="n">
        <v>0</v>
      </c>
    </row>
    <row r="38">
      <c r="B38" t="inlineStr">
        <is>
          <t>Other Assets -</t>
        </is>
      </c>
      <c r="C38" s="73" t="n">
        <v>7961</v>
      </c>
      <c r="D38" s="73" t="n">
        <v>9319</v>
      </c>
      <c r="E38" s="73" t="n">
        <v>8693</v>
      </c>
      <c r="F38" s="73" t="n">
        <v>10468</v>
      </c>
      <c r="G38" s="73" t="n">
        <v>15806</v>
      </c>
      <c r="H38" s="73" t="n">
        <v>15215</v>
      </c>
      <c r="I38" s="73" t="n">
        <v>16900</v>
      </c>
      <c r="J38" s="73" t="n">
        <v>17203</v>
      </c>
      <c r="K38" s="73" t="n">
        <v>20464</v>
      </c>
      <c r="L38" s="73" t="n">
        <v>22859</v>
      </c>
      <c r="M38" s="73" t="n">
        <v>27677</v>
      </c>
      <c r="N38" s="73" t="n">
        <v>27040</v>
      </c>
      <c r="O38" s="73" t="n"/>
      <c r="R38" t="inlineStr">
        <is>
          <t>Proceeds from shares</t>
        </is>
      </c>
      <c r="S38" t="n">
        <v>3</v>
      </c>
      <c r="T38" t="n">
        <v>3</v>
      </c>
      <c r="U38" s="73" t="n">
        <v>7</v>
      </c>
      <c r="V38" t="n">
        <v>16</v>
      </c>
      <c r="W38" t="n">
        <v>5</v>
      </c>
      <c r="X38" t="n">
        <v>3</v>
      </c>
      <c r="Y38" t="n">
        <v>14</v>
      </c>
      <c r="Z38" t="n">
        <v>13</v>
      </c>
      <c r="AA38" s="73" t="n">
        <v>13</v>
      </c>
      <c r="AB38" s="73" t="n">
        <v>18</v>
      </c>
      <c r="AC38" t="n">
        <v>33</v>
      </c>
      <c r="AD38" t="n">
        <v>50</v>
      </c>
      <c r="AE38" t="n">
        <v>0</v>
      </c>
    </row>
    <row r="39">
      <c r="B39" t="inlineStr">
        <is>
          <t>Inventories</t>
        </is>
      </c>
      <c r="C39" s="73" t="n">
        <v>2949</v>
      </c>
      <c r="D39" s="73" t="n">
        <v>2455</v>
      </c>
      <c r="E39" s="73" t="n">
        <v>2401</v>
      </c>
      <c r="F39" s="73" t="n">
        <v>3268</v>
      </c>
      <c r="G39" s="73" t="n">
        <v>4099</v>
      </c>
      <c r="H39" s="73" t="n">
        <v>4183</v>
      </c>
      <c r="I39" s="73" t="n">
        <v>4018</v>
      </c>
      <c r="J39" s="73" t="n">
        <v>5596</v>
      </c>
      <c r="K39" s="73" t="n">
        <v>6612</v>
      </c>
      <c r="L39" s="73" t="n">
        <v>8330</v>
      </c>
      <c r="M39" s="73" t="n">
        <v>9563</v>
      </c>
      <c r="N39" s="73" t="n">
        <v>9694</v>
      </c>
      <c r="O39" s="73" t="n"/>
      <c r="R39" t="inlineStr">
        <is>
          <t>Proceeds from borrowings</t>
        </is>
      </c>
      <c r="S39" t="n">
        <v>2728</v>
      </c>
      <c r="T39" t="n">
        <v>2821</v>
      </c>
      <c r="U39" t="n">
        <v>3656</v>
      </c>
      <c r="V39" t="n">
        <v>15775</v>
      </c>
      <c r="W39" t="n">
        <v>9772</v>
      </c>
      <c r="X39" t="n">
        <v>1510</v>
      </c>
      <c r="Y39" t="n">
        <v>4103</v>
      </c>
      <c r="Z39" t="n">
        <v>175</v>
      </c>
      <c r="AA39" t="n">
        <v>1032</v>
      </c>
      <c r="AB39" t="n">
        <v>1399</v>
      </c>
      <c r="AC39" t="n">
        <v>9410</v>
      </c>
      <c r="AD39" s="73" t="n">
        <v>203</v>
      </c>
      <c r="AE39" t="n">
        <v>0</v>
      </c>
    </row>
    <row r="40">
      <c r="B40" t="inlineStr">
        <is>
          <t>Trade receivables +</t>
        </is>
      </c>
      <c r="C40" s="73" t="n">
        <v>1659</v>
      </c>
      <c r="D40" s="73" t="n">
        <v>1928</v>
      </c>
      <c r="E40" s="73" t="n">
        <v>1757</v>
      </c>
      <c r="F40" s="73" t="n">
        <v>2221</v>
      </c>
      <c r="G40" s="73" t="n">
        <v>2787</v>
      </c>
      <c r="H40" s="73" t="n">
        <v>2383</v>
      </c>
      <c r="I40" s="73" t="n">
        <v>2572</v>
      </c>
      <c r="J40" s="73" t="n">
        <v>3072</v>
      </c>
      <c r="K40" s="73" t="n">
        <v>3867</v>
      </c>
      <c r="L40" s="73" t="n">
        <v>4278</v>
      </c>
      <c r="M40" s="73" t="n">
        <v>5890</v>
      </c>
      <c r="N40" s="73" t="n">
        <v>6029</v>
      </c>
      <c r="O40" s="73" t="n"/>
      <c r="R40" t="inlineStr">
        <is>
          <t>Repayment of borrowings</t>
        </is>
      </c>
      <c r="S40" t="n">
        <v>-311</v>
      </c>
      <c r="T40" t="n">
        <v>-2775</v>
      </c>
      <c r="U40" t="n">
        <v>-5272</v>
      </c>
      <c r="V40" s="73" t="n">
        <v>-19982</v>
      </c>
      <c r="W40" t="n">
        <v>-14420</v>
      </c>
      <c r="X40" t="n">
        <v>-4154</v>
      </c>
      <c r="Y40" s="73" t="n">
        <v>-6499</v>
      </c>
      <c r="Z40" t="n">
        <v>-10346</v>
      </c>
      <c r="AA40" s="73" t="n">
        <v>-579</v>
      </c>
      <c r="AB40" s="73" t="n">
        <v>-1069</v>
      </c>
      <c r="AC40" s="73" t="n">
        <v>-550</v>
      </c>
      <c r="AD40" s="73" t="n">
        <v>-1669</v>
      </c>
      <c r="AE40" t="n">
        <v>0</v>
      </c>
    </row>
    <row r="41">
      <c r="B41" t="inlineStr">
        <is>
          <t>Cash Equivalents</t>
        </is>
      </c>
      <c r="C41" s="73" t="n">
        <v>371</v>
      </c>
      <c r="D41" s="73" t="n">
        <v>2267</v>
      </c>
      <c r="E41" s="73" t="n">
        <v>2249</v>
      </c>
      <c r="F41" s="73" t="n">
        <v>219</v>
      </c>
      <c r="G41" s="73" t="n">
        <v>740</v>
      </c>
      <c r="H41" s="73" t="n">
        <v>540</v>
      </c>
      <c r="I41" s="73" t="n">
        <v>2008</v>
      </c>
      <c r="J41" s="73" t="n">
        <v>359</v>
      </c>
      <c r="K41" s="73" t="n">
        <v>1150</v>
      </c>
      <c r="L41" s="73" t="n">
        <v>783</v>
      </c>
      <c r="M41" s="73" t="n">
        <v>1673</v>
      </c>
      <c r="N41" s="73" t="n">
        <v>1384</v>
      </c>
      <c r="O41" s="73" t="n"/>
      <c r="R41" t="inlineStr">
        <is>
          <t>Interest paid fin</t>
        </is>
      </c>
      <c r="S41" s="73" t="n">
        <v>-589</v>
      </c>
      <c r="T41" s="73" t="n">
        <v>-596</v>
      </c>
      <c r="U41" s="73" t="n">
        <v>-614</v>
      </c>
      <c r="V41" s="73" t="n">
        <v>-1210</v>
      </c>
      <c r="W41" s="73" t="n">
        <v>-1685</v>
      </c>
      <c r="X41" s="73" t="n">
        <v>-1950</v>
      </c>
      <c r="Y41" s="73" t="n">
        <v>-1481</v>
      </c>
      <c r="Z41" s="73" t="n">
        <v>-1026</v>
      </c>
      <c r="AA41" s="73" t="n">
        <v>-765</v>
      </c>
      <c r="AB41" s="73" t="n">
        <v>-917</v>
      </c>
      <c r="AC41" s="73" t="n">
        <v>-1540</v>
      </c>
      <c r="AD41" s="73" t="n">
        <v>-1928</v>
      </c>
      <c r="AE41" t="n">
        <v>0</v>
      </c>
    </row>
    <row r="42">
      <c r="B42" t="inlineStr">
        <is>
          <t>Loans n Advances</t>
        </is>
      </c>
      <c r="C42" s="73" t="n">
        <v>2</v>
      </c>
      <c r="D42" s="73" t="n">
        <v>377</v>
      </c>
      <c r="E42" s="73" t="n">
        <v>519</v>
      </c>
      <c r="F42" s="73" t="n">
        <v>544</v>
      </c>
      <c r="G42" s="73" t="n">
        <v>750</v>
      </c>
      <c r="H42" s="73" t="n">
        <v>796</v>
      </c>
      <c r="I42" s="73" t="n">
        <v>660</v>
      </c>
      <c r="J42" s="73" t="n">
        <v>873</v>
      </c>
      <c r="K42" s="73" t="n">
        <v>951</v>
      </c>
      <c r="L42" s="73" t="n">
        <v>985</v>
      </c>
      <c r="M42" s="73" t="n">
        <v>1259</v>
      </c>
      <c r="N42" s="73" t="n">
        <v>1920</v>
      </c>
      <c r="O42" s="73" t="n"/>
      <c r="R42" t="inlineStr">
        <is>
          <t>Dividends paid</t>
        </is>
      </c>
      <c r="S42" s="73" t="n">
        <v>-253</v>
      </c>
      <c r="T42" s="73" t="n">
        <v>-297</v>
      </c>
      <c r="U42" s="73" t="n">
        <v>-312</v>
      </c>
      <c r="V42" s="73" t="n">
        <v>-334</v>
      </c>
      <c r="W42" s="73" t="n">
        <v>-346</v>
      </c>
      <c r="X42" s="73" t="n">
        <v>-380</v>
      </c>
      <c r="Y42" s="73" t="n">
        <v>-375</v>
      </c>
      <c r="Z42" s="73" t="n">
        <v>-1065</v>
      </c>
      <c r="AA42" s="73" t="n">
        <v>-1091</v>
      </c>
      <c r="AB42" s="73" t="n">
        <v>-1094</v>
      </c>
      <c r="AC42" s="73" t="n">
        <v>-2012</v>
      </c>
      <c r="AD42" s="73" t="n">
        <v>-2273</v>
      </c>
      <c r="AE42" t="n">
        <v>0</v>
      </c>
    </row>
    <row r="43">
      <c r="B43" t="inlineStr">
        <is>
          <t>Other asset items</t>
        </is>
      </c>
      <c r="C43" s="73" t="n">
        <v>2980</v>
      </c>
      <c r="D43" s="73" t="n">
        <v>2292</v>
      </c>
      <c r="E43" s="73" t="n">
        <v>1768</v>
      </c>
      <c r="F43" s="73" t="n">
        <v>4216</v>
      </c>
      <c r="G43" s="73" t="n">
        <v>7430</v>
      </c>
      <c r="H43" s="73" t="n">
        <v>7312</v>
      </c>
      <c r="I43" s="73" t="n">
        <v>7642</v>
      </c>
      <c r="J43" s="73" t="n">
        <v>7304</v>
      </c>
      <c r="K43" s="73" t="n">
        <v>7885</v>
      </c>
      <c r="L43" s="73" t="n">
        <v>8483</v>
      </c>
      <c r="M43" s="73" t="n">
        <v>9292</v>
      </c>
      <c r="N43" s="73" t="n">
        <v>8012</v>
      </c>
      <c r="O43" s="73" t="n"/>
      <c r="R43" t="inlineStr">
        <is>
          <t>Financial liabilities</t>
        </is>
      </c>
      <c r="S43" t="n">
        <v>0</v>
      </c>
      <c r="T43" t="n">
        <v>0</v>
      </c>
      <c r="U43" t="n">
        <v>0</v>
      </c>
      <c r="V43" t="n">
        <v>0</v>
      </c>
      <c r="W43" t="n">
        <v>0</v>
      </c>
      <c r="X43" t="n">
        <v>-101</v>
      </c>
      <c r="Y43" t="n">
        <v>-118</v>
      </c>
      <c r="Z43" t="n">
        <v>-157</v>
      </c>
      <c r="AA43" t="n">
        <v>-126</v>
      </c>
      <c r="AB43" t="n">
        <v>-162</v>
      </c>
      <c r="AC43" t="n">
        <v>-165</v>
      </c>
      <c r="AD43" t="n">
        <v>-217</v>
      </c>
      <c r="AE43" t="n">
        <v>0</v>
      </c>
    </row>
    <row r="44">
      <c r="B44" s="57" t="inlineStr">
        <is>
          <t>Total Assets</t>
        </is>
      </c>
      <c r="C44" s="73" t="n">
        <v>38053</v>
      </c>
      <c r="D44" s="73" t="n">
        <v>41193</v>
      </c>
      <c r="E44" s="73" t="n">
        <v>42209</v>
      </c>
      <c r="F44" s="73" t="n">
        <v>57141</v>
      </c>
      <c r="G44" s="73" t="n">
        <v>76525</v>
      </c>
      <c r="H44" s="73" t="n">
        <v>79214</v>
      </c>
      <c r="I44" s="73" t="n">
        <v>86176</v>
      </c>
      <c r="J44" s="73" t="n">
        <v>83811</v>
      </c>
      <c r="K44" s="73" t="n">
        <v>91380</v>
      </c>
      <c r="L44" s="73" t="n">
        <v>100797</v>
      </c>
      <c r="M44" s="73" t="n">
        <v>133632</v>
      </c>
      <c r="N44" s="73" t="n">
        <v>141315</v>
      </c>
      <c r="R44" t="inlineStr">
        <is>
          <t>Other financing items</t>
        </is>
      </c>
      <c r="S44" t="n">
        <v>-3689</v>
      </c>
      <c r="T44" t="n">
        <v>1</v>
      </c>
      <c r="U44" s="73" t="n">
        <v>0</v>
      </c>
      <c r="V44" s="73" t="n">
        <v>0</v>
      </c>
      <c r="W44" s="73" t="n">
        <v>-83</v>
      </c>
      <c r="X44" s="73" t="n">
        <v>-4</v>
      </c>
      <c r="Y44" t="n">
        <v>0</v>
      </c>
      <c r="Z44" t="n">
        <v>-91</v>
      </c>
      <c r="AA44" t="n">
        <v>-115</v>
      </c>
      <c r="AB44" t="n">
        <v>-100</v>
      </c>
      <c r="AC44" t="n">
        <v>-100</v>
      </c>
      <c r="AD44" t="n">
        <v>-119</v>
      </c>
      <c r="AE44" t="n">
        <v>0</v>
      </c>
    </row>
    <row r="45">
      <c r="R45" t="inlineStr">
        <is>
          <t>Net Cash Flow</t>
        </is>
      </c>
      <c r="S45" t="n">
        <v>-63</v>
      </c>
      <c r="T45" t="n">
        <v>8</v>
      </c>
      <c r="U45" t="n">
        <v>-31</v>
      </c>
      <c r="V45" t="n">
        <v>18</v>
      </c>
      <c r="W45" t="n">
        <v>364</v>
      </c>
      <c r="X45" t="n">
        <v>-295</v>
      </c>
      <c r="Y45" t="n">
        <v>-712</v>
      </c>
      <c r="Z45" t="n">
        <v>-958</v>
      </c>
      <c r="AA45" t="n">
        <v>250</v>
      </c>
      <c r="AB45" t="n">
        <v>183</v>
      </c>
      <c r="AC45" t="n">
        <v>-86</v>
      </c>
      <c r="AD45" t="n">
        <v>-113</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Ambuja Cements</t>
        </is>
      </c>
      <c r="M57" t="n">
        <v>346.55</v>
      </c>
      <c r="N57" t="n">
        <v>248.4819</v>
      </c>
      <c r="AR57" t="n">
        <v>86111.39999999999</v>
      </c>
      <c r="AS57">
        <f>AZ57-BA57</f>
        <v/>
      </c>
      <c r="AT57">
        <f>AR57+AS57</f>
        <v/>
      </c>
      <c r="AU57" t="n">
        <v>38000</v>
      </c>
      <c r="AV57" t="n">
        <v>3960</v>
      </c>
      <c r="AW57" t="n">
        <v>4700.4</v>
      </c>
      <c r="AX57" t="n">
        <v>15</v>
      </c>
      <c r="AZ57" t="n">
        <v>866</v>
      </c>
      <c r="BA57" t="n">
        <v>113</v>
      </c>
    </row>
    <row r="58">
      <c r="K58" t="n">
        <v>2</v>
      </c>
      <c r="L58" t="inlineStr">
        <is>
          <t>J K Cements</t>
        </is>
      </c>
      <c r="M58" t="n">
        <v>4964.65</v>
      </c>
      <c r="N58" t="n">
        <v>7.7268</v>
      </c>
      <c r="AR58" t="n">
        <v>38361</v>
      </c>
      <c r="AS58">
        <f>AZ58-BA58</f>
        <v/>
      </c>
      <c r="AT58">
        <f>AR58+AS58</f>
        <v/>
      </c>
      <c r="AU58" t="n">
        <v>16126.9</v>
      </c>
      <c r="AV58" t="n">
        <v>1647.7</v>
      </c>
      <c r="AW58" t="n">
        <v>976.85</v>
      </c>
      <c r="AX58" t="n">
        <v>15</v>
      </c>
      <c r="AZ58" t="n">
        <v>6183</v>
      </c>
      <c r="BA58" t="n">
        <v>447</v>
      </c>
    </row>
    <row r="59">
      <c r="K59" t="n">
        <v>3</v>
      </c>
      <c r="L59" t="inlineStr">
        <is>
          <t>Grasim Inds</t>
        </is>
      </c>
      <c r="M59" t="n">
        <v>2877.7</v>
      </c>
      <c r="N59" t="n">
        <v>68.0536</v>
      </c>
      <c r="AR59" t="n">
        <v>195837.8</v>
      </c>
      <c r="AS59">
        <f>AZ59-BA59</f>
        <v/>
      </c>
      <c r="AT59">
        <f>AR59+AS59</f>
        <v/>
      </c>
      <c r="AU59" t="n">
        <v>194864.8</v>
      </c>
      <c r="AV59" t="n">
        <v>23077.7</v>
      </c>
      <c r="AW59" t="n">
        <v>5744.73</v>
      </c>
      <c r="AX59" t="n">
        <v>15</v>
      </c>
      <c r="AZ59" t="n">
        <v>227853</v>
      </c>
      <c r="BA59" t="n">
        <v>154982</v>
      </c>
    </row>
    <row r="60">
      <c r="K60" t="n">
        <v>4</v>
      </c>
      <c r="L60" t="inlineStr">
        <is>
          <t>Dalmia BharatLtd</t>
        </is>
      </c>
      <c r="M60" t="n">
        <v>1598.55</v>
      </c>
      <c r="N60" t="n">
        <v>18.7566</v>
      </c>
      <c r="AR60" t="n">
        <v>29983.3</v>
      </c>
      <c r="AS60">
        <f>AZ60-BA60</f>
        <v/>
      </c>
      <c r="AT60">
        <f>AR60+AS60</f>
        <v/>
      </c>
      <c r="AU60" t="n">
        <v>15560</v>
      </c>
      <c r="AV60" t="n">
        <v>1152</v>
      </c>
      <c r="AW60" t="n">
        <v>1097.49</v>
      </c>
      <c r="AX60" t="n">
        <v>15</v>
      </c>
      <c r="AZ60" t="n">
        <v>7406</v>
      </c>
      <c r="BA60" t="n">
        <v>5878</v>
      </c>
    </row>
    <row r="61">
      <c r="K61" t="n">
        <v>5</v>
      </c>
      <c r="L61" t="inlineStr">
        <is>
          <t>ACC</t>
        </is>
      </c>
      <c r="M61" t="n">
        <v>1137.95</v>
      </c>
      <c r="N61" t="n">
        <v>18.7787</v>
      </c>
      <c r="AR61" t="n">
        <v>21369.2</v>
      </c>
      <c r="AS61">
        <f>AZ61-BA61</f>
        <v/>
      </c>
      <c r="AT61">
        <f>AR61+AS61</f>
        <v/>
      </c>
      <c r="AU61" t="n">
        <v>23232</v>
      </c>
      <c r="AV61" t="n">
        <v>882</v>
      </c>
      <c r="AW61" t="n">
        <v>1906.26</v>
      </c>
      <c r="AX61" t="n">
        <v>15</v>
      </c>
      <c r="AZ61" t="n">
        <v>429</v>
      </c>
      <c r="BA61" t="n">
        <v>55</v>
      </c>
    </row>
    <row r="62">
      <c r="K62" t="n">
        <v>6</v>
      </c>
      <c r="L62" t="inlineStr">
        <is>
          <t>JSW Steel</t>
        </is>
      </c>
      <c r="M62" t="n">
        <v>1179.9</v>
      </c>
      <c r="N62" t="n">
        <v>244.5454</v>
      </c>
      <c r="AR62" t="n">
        <v>288539.1</v>
      </c>
      <c r="AS62">
        <f>AZ62-BA62</f>
        <v/>
      </c>
      <c r="AT62">
        <f>AR62+AS62</f>
        <v/>
      </c>
      <c r="AU62" t="n">
        <v>189456</v>
      </c>
      <c r="AV62" t="n">
        <v>28176</v>
      </c>
      <c r="AW62" t="n">
        <v>12027.47</v>
      </c>
      <c r="AX62" t="n">
        <v>15</v>
      </c>
      <c r="AZ62" t="n">
        <v>79000</v>
      </c>
      <c r="BA62" t="n">
        <v>12500</v>
      </c>
    </row>
    <row r="63">
      <c r="K63" t="n">
        <v>7</v>
      </c>
      <c r="L63" t="inlineStr">
        <is>
          <t>Hindustan Zinc</t>
        </is>
      </c>
      <c r="M63" t="n">
        <v>533.2</v>
      </c>
      <c r="N63" t="n">
        <v>422.5319</v>
      </c>
      <c r="AR63" t="n">
        <v>225294</v>
      </c>
      <c r="AS63">
        <f>AZ63-BA63</f>
        <v/>
      </c>
      <c r="AT63">
        <f>AR63+AS63</f>
        <v/>
      </c>
      <c r="AU63" t="n">
        <v>54748</v>
      </c>
      <c r="AV63" t="n">
        <v>32550</v>
      </c>
      <c r="AW63" t="n">
        <v>16863.32</v>
      </c>
      <c r="AX63" t="n">
        <v>15</v>
      </c>
      <c r="AZ63" t="n">
        <v>8728</v>
      </c>
      <c r="BA63" t="n">
        <v>14468</v>
      </c>
    </row>
    <row r="64">
      <c r="K64" t="n">
        <v>8</v>
      </c>
      <c r="L64" t="inlineStr">
        <is>
          <t>Tata Steel</t>
        </is>
      </c>
      <c r="M64" t="n">
        <v>172.35</v>
      </c>
      <c r="N64" t="n">
        <v>1248.3528</v>
      </c>
      <c r="AR64" t="n">
        <v>215153.6</v>
      </c>
      <c r="AS64">
        <f>AZ64-BA64</f>
        <v/>
      </c>
      <c r="AT64">
        <f>AR64+AS64</f>
        <v/>
      </c>
      <c r="AU64" t="n">
        <v>243177.2</v>
      </c>
      <c r="AV64" t="n">
        <v>14311.4</v>
      </c>
      <c r="AW64" t="n">
        <v>11834.63</v>
      </c>
      <c r="AX64" t="n">
        <v>15</v>
      </c>
      <c r="AZ64" t="n">
        <v>87000</v>
      </c>
      <c r="BA64" t="n">
        <v>10058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2026-10-08T09:20:26Z</dcterms:modified>
  <cp:lastModifiedBy>Loveish</cp:lastModifiedBy>
  <cp:lastPrinted>2012-12-06T18:14:13Z</cp:lastPrinted>
</cp:coreProperties>
</file>